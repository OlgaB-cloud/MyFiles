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" sheetId="2" state="visible" r:id="rId2"/>
    <sheet xmlns:r="http://schemas.openxmlformats.org/officeDocument/2006/relationships" name="Reconciliation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#,##0.00&quot; $&quot;"/>
    <numFmt numFmtId="165" formatCode="0.0%"/>
    <numFmt numFmtId="166" formatCode="#,##0;\(#,##0\);\-"/>
    <numFmt numFmtId="167" formatCode="#,##0.00;\(#,##0.00\);\-"/>
    <numFmt numFmtId="168" formatCode="0.0000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864"/>
      <sz val="15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1F3864"/>
      <sz val="9"/>
    </font>
    <font>
      <name val="Arial"/>
      <charset val="1"/>
      <family val="0"/>
      <color rgb="FF595959"/>
      <sz val="9"/>
    </font>
    <font>
      <name val="Arial"/>
      <charset val="1"/>
      <family val="0"/>
      <sz val="9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5" fontId="8" fillId="0" borderId="0" applyAlignment="1" pivotButton="0" quotePrefix="0" xfId="0">
      <alignment horizontal="right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bottom"/>
    </xf>
    <xf numFmtId="166" fontId="7" fillId="0" borderId="2" applyAlignment="1" pivotButton="0" quotePrefix="0" xfId="0">
      <alignment horizontal="right" vertical="bottom"/>
    </xf>
    <xf numFmtId="167" fontId="7" fillId="0" borderId="2" applyAlignment="1" pivotButton="0" quotePrefix="0" xfId="0">
      <alignment horizontal="right" vertical="bottom"/>
    </xf>
    <xf numFmtId="165" fontId="7" fillId="0" borderId="2" applyAlignment="1" pivotButton="0" quotePrefix="0" xfId="0">
      <alignment horizontal="right" vertical="bottom"/>
    </xf>
    <xf numFmtId="168" fontId="10" fillId="0" borderId="2" applyAlignment="1" pivotButton="0" quotePrefix="0" xfId="0">
      <alignment horizontal="right" vertical="bottom"/>
    </xf>
    <xf numFmtId="167" fontId="8" fillId="0" borderId="2" applyAlignment="1" pivotButton="0" quotePrefix="0" xfId="0">
      <alignment horizontal="right" vertical="bottom"/>
    </xf>
    <xf numFmtId="0" fontId="7" fillId="3" borderId="2" applyAlignment="1" pivotButton="0" quotePrefix="0" xfId="0">
      <alignment horizontal="center" vertical="bottom"/>
    </xf>
    <xf numFmtId="166" fontId="7" fillId="3" borderId="2" applyAlignment="1" pivotButton="0" quotePrefix="0" xfId="0">
      <alignment horizontal="right" vertical="bottom"/>
    </xf>
    <xf numFmtId="167" fontId="7" fillId="3" borderId="2" applyAlignment="1" pivotButton="0" quotePrefix="0" xfId="0">
      <alignment horizontal="right" vertical="bottom"/>
    </xf>
    <xf numFmtId="165" fontId="7" fillId="3" borderId="2" applyAlignment="1" pivotButton="0" quotePrefix="0" xfId="0">
      <alignment horizontal="right" vertical="bottom"/>
    </xf>
    <xf numFmtId="168" fontId="10" fillId="3" borderId="2" applyAlignment="1" pivotButton="0" quotePrefix="0" xfId="0">
      <alignment horizontal="right" vertical="bottom"/>
    </xf>
    <xf numFmtId="167" fontId="8" fillId="3" borderId="2" applyAlignment="1" pivotButton="0" quotePrefix="0" xfId="0">
      <alignment horizontal="right" vertical="bottom"/>
    </xf>
    <xf numFmtId="0" fontId="6" fillId="4" borderId="1" applyAlignment="1" pivotButton="0" quotePrefix="0" xfId="0">
      <alignment horizontal="general" vertical="bottom"/>
    </xf>
    <xf numFmtId="166" fontId="6" fillId="4" borderId="1" applyAlignment="1" pivotButton="0" quotePrefix="0" xfId="0">
      <alignment horizontal="right" vertical="bottom"/>
    </xf>
    <xf numFmtId="0" fontId="0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right" vertical="bottom"/>
    </xf>
    <xf numFmtId="167" fontId="6" fillId="4" borderId="1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right" vertical="bottom"/>
    </xf>
    <xf numFmtId="167" fontId="13" fillId="0" borderId="2" applyAlignment="1" pivotButton="0" quotePrefix="0" xfId="0">
      <alignment horizontal="right" vertical="bottom"/>
    </xf>
    <xf numFmtId="0" fontId="13" fillId="3" borderId="2" applyAlignment="1" pivotButton="0" quotePrefix="0" xfId="0">
      <alignment horizontal="center" vertical="bottom"/>
    </xf>
    <xf numFmtId="0" fontId="13" fillId="3" borderId="2" applyAlignment="1" pivotButton="0" quotePrefix="0" xfId="0">
      <alignment horizontal="general" vertical="bottom"/>
    </xf>
    <xf numFmtId="3" fontId="13" fillId="3" borderId="2" applyAlignment="1" pivotButton="0" quotePrefix="0" xfId="0">
      <alignment horizontal="right" vertical="bottom"/>
    </xf>
    <xf numFmtId="167" fontId="13" fillId="3" borderId="2" applyAlignment="1" pivotButton="0" quotePrefix="0" xfId="0">
      <alignment horizontal="right" vertical="bottom"/>
    </xf>
    <xf numFmtId="0" fontId="11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4" fontId="6" fillId="4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right" vertical="bottom"/>
    </xf>
    <xf numFmtId="165" fontId="8" fillId="0" borderId="0" applyAlignment="1" pivotButton="0" quotePrefix="0" xfId="0">
      <alignment horizontal="right" vertical="bottom"/>
    </xf>
    <xf numFmtId="0" fontId="9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bottom"/>
    </xf>
    <xf numFmtId="166" fontId="7" fillId="0" borderId="2" applyAlignment="1" pivotButton="0" quotePrefix="0" xfId="0">
      <alignment horizontal="right" vertical="bottom"/>
    </xf>
    <xf numFmtId="167" fontId="7" fillId="0" borderId="2" applyAlignment="1" pivotButton="0" quotePrefix="0" xfId="0">
      <alignment horizontal="right" vertical="bottom"/>
    </xf>
    <xf numFmtId="165" fontId="7" fillId="0" borderId="2" applyAlignment="1" pivotButton="0" quotePrefix="0" xfId="0">
      <alignment horizontal="right" vertical="bottom"/>
    </xf>
    <xf numFmtId="168" fontId="10" fillId="0" borderId="2" applyAlignment="1" pivotButton="0" quotePrefix="0" xfId="0">
      <alignment horizontal="right" vertical="bottom"/>
    </xf>
    <xf numFmtId="167" fontId="8" fillId="0" borderId="2" applyAlignment="1" pivotButton="0" quotePrefix="0" xfId="0">
      <alignment horizontal="right" vertical="bottom"/>
    </xf>
    <xf numFmtId="0" fontId="7" fillId="3" borderId="2" applyAlignment="1" pivotButton="0" quotePrefix="0" xfId="0">
      <alignment horizontal="center" vertical="bottom"/>
    </xf>
    <xf numFmtId="166" fontId="7" fillId="3" borderId="2" applyAlignment="1" pivotButton="0" quotePrefix="0" xfId="0">
      <alignment horizontal="right" vertical="bottom"/>
    </xf>
    <xf numFmtId="167" fontId="7" fillId="3" borderId="2" applyAlignment="1" pivotButton="0" quotePrefix="0" xfId="0">
      <alignment horizontal="right" vertical="bottom"/>
    </xf>
    <xf numFmtId="165" fontId="7" fillId="3" borderId="2" applyAlignment="1" pivotButton="0" quotePrefix="0" xfId="0">
      <alignment horizontal="right" vertical="bottom"/>
    </xf>
    <xf numFmtId="168" fontId="10" fillId="3" borderId="2" applyAlignment="1" pivotButton="0" quotePrefix="0" xfId="0">
      <alignment horizontal="right" vertical="bottom"/>
    </xf>
    <xf numFmtId="167" fontId="8" fillId="3" borderId="2" applyAlignment="1" pivotButton="0" quotePrefix="0" xfId="0">
      <alignment horizontal="right" vertical="bottom"/>
    </xf>
    <xf numFmtId="0" fontId="6" fillId="4" borderId="1" applyAlignment="1" pivotButton="0" quotePrefix="0" xfId="0">
      <alignment horizontal="general" vertical="bottom"/>
    </xf>
    <xf numFmtId="166" fontId="6" fillId="4" borderId="1" applyAlignment="1" pivotButton="0" quotePrefix="0" xfId="0">
      <alignment horizontal="right" vertical="bottom"/>
    </xf>
    <xf numFmtId="0" fontId="0" fillId="4" borderId="1" applyAlignment="1" pivotButton="0" quotePrefix="0" xfId="0">
      <alignment horizontal="general" vertical="bottom"/>
    </xf>
    <xf numFmtId="165" fontId="6" fillId="4" borderId="1" applyAlignment="1" pivotButton="0" quotePrefix="0" xfId="0">
      <alignment horizontal="right" vertical="bottom"/>
    </xf>
    <xf numFmtId="167" fontId="6" fillId="4" borderId="1" applyAlignment="1" pivotButton="0" quotePrefix="0" xfId="0">
      <alignment horizontal="right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2" applyAlignment="1" pivotButton="0" quotePrefix="0" xfId="0">
      <alignment horizontal="center" vertical="bottom"/>
    </xf>
    <xf numFmtId="0" fontId="13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right" vertical="bottom"/>
    </xf>
    <xf numFmtId="167" fontId="13" fillId="0" borderId="2" applyAlignment="1" pivotButton="0" quotePrefix="0" xfId="0">
      <alignment horizontal="right" vertical="bottom"/>
    </xf>
    <xf numFmtId="0" fontId="13" fillId="3" borderId="2" applyAlignment="1" pivotButton="0" quotePrefix="0" xfId="0">
      <alignment horizontal="center" vertical="bottom"/>
    </xf>
    <xf numFmtId="0" fontId="13" fillId="3" borderId="2" applyAlignment="1" pivotButton="0" quotePrefix="0" xfId="0">
      <alignment horizontal="general" vertical="bottom"/>
    </xf>
    <xf numFmtId="3" fontId="13" fillId="3" borderId="2" applyAlignment="1" pivotButton="0" quotePrefix="0" xfId="0">
      <alignment horizontal="right" vertical="bottom"/>
    </xf>
    <xf numFmtId="167" fontId="13" fillId="3" borderId="2" applyAlignment="1" pivotButton="0" quotePrefix="0" xfId="0">
      <alignment horizontal="right" vertical="bottom"/>
    </xf>
    <xf numFmtId="0" fontId="11" fillId="4" borderId="1" applyAlignment="1" pivotButton="0" quotePrefix="0" xfId="0">
      <alignment horizontal="general" vertical="bottom"/>
    </xf>
    <xf numFmtId="3" fontId="11" fillId="4" borderId="1" applyAlignment="1" pivotButton="0" quotePrefix="0" xfId="0">
      <alignment horizontal="right" vertical="bottom"/>
    </xf>
    <xf numFmtId="4" fontId="6" fillId="4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9" min="1" max="1"/>
    <col width="8" customWidth="1" style="39" min="2" max="2"/>
    <col width="15" customWidth="1" style="39" min="3" max="4"/>
    <col width="14" customWidth="1" style="39" min="5" max="5"/>
    <col width="12" customWidth="1" style="39" min="6" max="7"/>
    <col width="15" customWidth="1" style="39" min="8" max="8"/>
    <col width="14" customWidth="1" style="39" min="9" max="9"/>
    <col width="15" customWidth="1" style="39" min="10" max="10"/>
  </cols>
  <sheetData>
    <row r="1" ht="18.55" customHeight="1" s="40">
      <c r="A1" s="41" t="inlineStr">
        <is>
          <t>Apple App Store — Gross to Net Reconciliation</t>
        </is>
      </c>
    </row>
    <row r="2" ht="15" customHeight="1" s="40">
      <c r="A2" s="42" t="inlineStr">
        <is>
          <t>Fiscal month September 2026 (08/30/2026 – 09/26/2026)  ·  PROFOLKS LTD  ·  Financial Report, All Countries (Detailed)</t>
        </is>
      </c>
    </row>
    <row r="3"/>
    <row r="4" ht="15" customHeight="1" s="40">
      <c r="A4" s="43" t="inlineStr">
        <is>
          <t>KEY FIGURES (USD)</t>
        </is>
      </c>
    </row>
    <row r="5" ht="15" customHeight="1" s="40">
      <c r="A5" s="44" t="inlineStr">
        <is>
          <t>Gross revenue (customer price)</t>
        </is>
      </c>
      <c r="B5" s="45">
        <f>SUM(H10:H17)</f>
        <v/>
      </c>
    </row>
    <row r="6" ht="15" customHeight="1" s="40">
      <c r="A6" s="44" t="inlineStr">
        <is>
          <t>Apple commission</t>
        </is>
      </c>
      <c r="B6" s="45">
        <f>SUM(I10:I17)</f>
        <v/>
      </c>
    </row>
    <row r="7" ht="15" customHeight="1" s="40">
      <c r="A7" s="44" t="inlineStr">
        <is>
          <t>Net proceeds receivable</t>
        </is>
      </c>
      <c r="B7" s="45">
        <f>SUM(J10:J17)</f>
        <v/>
      </c>
    </row>
    <row r="8" ht="15" customHeight="1" s="40">
      <c r="A8" s="44" t="inlineStr">
        <is>
          <t>Effective commission rate</t>
        </is>
      </c>
      <c r="B8" s="46">
        <f>IFERROR(B6/B5,0)</f>
        <v/>
      </c>
    </row>
    <row r="9" ht="31.5" customHeight="1" s="40">
      <c r="A9" s="47" t="inlineStr">
        <is>
          <t>Currency</t>
        </is>
      </c>
      <c r="B9" s="47" t="inlineStr">
        <is>
          <t>Units</t>
        </is>
      </c>
      <c r="C9" s="47" t="inlineStr">
        <is>
          <t>Customer Price
(local)</t>
        </is>
      </c>
      <c r="D9" s="47" t="inlineStr">
        <is>
          <t>Partner Share
(local)</t>
        </is>
      </c>
      <c r="E9" s="47" t="inlineStr">
        <is>
          <t>Commission
(local)</t>
        </is>
      </c>
      <c r="F9" s="47" t="inlineStr">
        <is>
          <t>Commission
%</t>
        </is>
      </c>
      <c r="G9" s="47" t="inlineStr">
        <is>
          <t>FX Rate
to USD</t>
        </is>
      </c>
      <c r="H9" s="47" t="inlineStr">
        <is>
          <t>Gross Revenue
(USD)</t>
        </is>
      </c>
      <c r="I9" s="47" t="inlineStr">
        <is>
          <t>Commission
(USD)</t>
        </is>
      </c>
      <c r="J9" s="47" t="inlineStr">
        <is>
          <t>Net Proceeds
(USD)</t>
        </is>
      </c>
    </row>
    <row r="10" ht="15" customHeight="1" s="40">
      <c r="A10" s="48" t="inlineStr">
        <is>
          <t>USD</t>
        </is>
      </c>
      <c r="B10" s="49" t="n">
        <v>42</v>
      </c>
      <c r="C10" s="50" t="n">
        <v>209.58</v>
      </c>
      <c r="D10" s="50" t="n">
        <v>178.08</v>
      </c>
      <c r="E10" s="50">
        <f>C10-D10</f>
        <v/>
      </c>
      <c r="F10" s="51">
        <f>IFERROR(E10/C10,0)</f>
        <v/>
      </c>
      <c r="G10" s="52" t="n">
        <v>1</v>
      </c>
      <c r="H10" s="50">
        <f>C10*G10</f>
        <v/>
      </c>
      <c r="I10" s="50">
        <f>E10*G10</f>
        <v/>
      </c>
      <c r="J10" s="53">
        <f>D10*G10</f>
        <v/>
      </c>
    </row>
    <row r="11" ht="15" customHeight="1" s="40">
      <c r="A11" s="54" t="inlineStr">
        <is>
          <t>EUR</t>
        </is>
      </c>
      <c r="B11" s="55" t="n">
        <v>7</v>
      </c>
      <c r="C11" s="56" t="n">
        <v>38.43</v>
      </c>
      <c r="D11" s="56" t="n">
        <v>26.86</v>
      </c>
      <c r="E11" s="56">
        <f>C11-D11</f>
        <v/>
      </c>
      <c r="F11" s="57">
        <f>IFERROR(E11/C11,0)</f>
        <v/>
      </c>
      <c r="G11" s="58" t="n">
        <v>1.08265</v>
      </c>
      <c r="H11" s="56">
        <f>C11*G11</f>
        <v/>
      </c>
      <c r="I11" s="56">
        <f>E11*G11</f>
        <v/>
      </c>
      <c r="J11" s="59">
        <f>D11*G11</f>
        <v/>
      </c>
    </row>
    <row r="12" ht="15" customHeight="1" s="40">
      <c r="A12" s="48" t="inlineStr">
        <is>
          <t>CAD</t>
        </is>
      </c>
      <c r="B12" s="49" t="n">
        <v>3</v>
      </c>
      <c r="C12" s="50" t="n">
        <v>19.47</v>
      </c>
      <c r="D12" s="50" t="n">
        <v>16.56</v>
      </c>
      <c r="E12" s="50">
        <f>C12-D12</f>
        <v/>
      </c>
      <c r="F12" s="51">
        <f>IFERROR(E12/C12,0)</f>
        <v/>
      </c>
      <c r="G12" s="52" t="n">
        <v>0.73551</v>
      </c>
      <c r="H12" s="50">
        <f>C12*G12</f>
        <v/>
      </c>
      <c r="I12" s="50">
        <f>E12*G12</f>
        <v/>
      </c>
      <c r="J12" s="53">
        <f>D12*G12</f>
        <v/>
      </c>
    </row>
    <row r="13" ht="15" customHeight="1" s="40">
      <c r="A13" s="54" t="inlineStr">
        <is>
          <t>GBP</t>
        </is>
      </c>
      <c r="B13" s="55" t="n">
        <v>3</v>
      </c>
      <c r="C13" s="56" t="n">
        <v>13.47</v>
      </c>
      <c r="D13" s="56" t="n">
        <v>9.51</v>
      </c>
      <c r="E13" s="56">
        <f>C13-D13</f>
        <v/>
      </c>
      <c r="F13" s="57">
        <f>IFERROR(E13/C13,0)</f>
        <v/>
      </c>
      <c r="G13" s="58" t="n">
        <v>1.26288</v>
      </c>
      <c r="H13" s="56">
        <f>C13*G13</f>
        <v/>
      </c>
      <c r="I13" s="56">
        <f>E13*G13</f>
        <v/>
      </c>
      <c r="J13" s="59">
        <f>D13*G13</f>
        <v/>
      </c>
    </row>
    <row r="14" ht="15" customHeight="1" s="40">
      <c r="A14" s="48" t="inlineStr">
        <is>
          <t>NZD</t>
        </is>
      </c>
      <c r="B14" s="49" t="n">
        <v>2</v>
      </c>
      <c r="C14" s="50" t="n">
        <v>16.98</v>
      </c>
      <c r="D14" s="50" t="n">
        <v>12.56</v>
      </c>
      <c r="E14" s="50">
        <f>C14-D14</f>
        <v/>
      </c>
      <c r="F14" s="51">
        <f>IFERROR(E14/C14,0)</f>
        <v/>
      </c>
      <c r="G14" s="52" t="n">
        <v>0.60032</v>
      </c>
      <c r="H14" s="50">
        <f>C14*G14</f>
        <v/>
      </c>
      <c r="I14" s="50">
        <f>E14*G14</f>
        <v/>
      </c>
      <c r="J14" s="53">
        <f>D14*G14</f>
        <v/>
      </c>
    </row>
    <row r="15" ht="15" customHeight="1" s="40">
      <c r="A15" s="54" t="inlineStr">
        <is>
          <t>CHF</t>
        </is>
      </c>
      <c r="B15" s="55" t="n">
        <v>1</v>
      </c>
      <c r="C15" s="56" t="n">
        <v>5.5</v>
      </c>
      <c r="D15" s="56" t="n">
        <v>4.32</v>
      </c>
      <c r="E15" s="56">
        <f>C15-D15</f>
        <v/>
      </c>
      <c r="F15" s="57">
        <f>IFERROR(E15/C15,0)</f>
        <v/>
      </c>
      <c r="G15" s="58" t="n">
        <v>1.10185</v>
      </c>
      <c r="H15" s="56">
        <f>C15*G15</f>
        <v/>
      </c>
      <c r="I15" s="56">
        <f>E15*G15</f>
        <v/>
      </c>
      <c r="J15" s="59">
        <f>D15*G15</f>
        <v/>
      </c>
    </row>
    <row r="16" ht="15" customHeight="1" s="40">
      <c r="A16" s="48" t="inlineStr">
        <is>
          <t>NOK</t>
        </is>
      </c>
      <c r="B16" s="49" t="n">
        <v>1</v>
      </c>
      <c r="C16" s="50" t="n">
        <v>55</v>
      </c>
      <c r="D16" s="50" t="n">
        <v>37.4</v>
      </c>
      <c r="E16" s="50">
        <f>C16-D16</f>
        <v/>
      </c>
      <c r="F16" s="51">
        <f>IFERROR(E16/C16,0)</f>
        <v/>
      </c>
      <c r="G16" s="52" t="n">
        <v>0.09278</v>
      </c>
      <c r="H16" s="50">
        <f>C16*G16</f>
        <v/>
      </c>
      <c r="I16" s="50">
        <f>E16*G16</f>
        <v/>
      </c>
      <c r="J16" s="53">
        <f>D16*G16</f>
        <v/>
      </c>
    </row>
    <row r="17" ht="15" customHeight="1" s="40">
      <c r="A17" s="54" t="inlineStr">
        <is>
          <t>TRY</t>
        </is>
      </c>
      <c r="B17" s="55" t="n">
        <v>1</v>
      </c>
      <c r="C17" s="56" t="n">
        <v>32.99</v>
      </c>
      <c r="D17" s="56" t="n">
        <v>22.2</v>
      </c>
      <c r="E17" s="56">
        <f>C17-D17</f>
        <v/>
      </c>
      <c r="F17" s="57">
        <f>IFERROR(E17/C17,0)</f>
        <v/>
      </c>
      <c r="G17" s="58" t="n">
        <v>0.03108</v>
      </c>
      <c r="H17" s="56">
        <f>C17*G17</f>
        <v/>
      </c>
      <c r="I17" s="56">
        <f>E17*G17</f>
        <v/>
      </c>
      <c r="J17" s="59">
        <f>D17*G17</f>
        <v/>
      </c>
    </row>
    <row r="18" ht="15" customHeight="1" s="40">
      <c r="A18" s="60" t="inlineStr">
        <is>
          <t>TOTAL</t>
        </is>
      </c>
      <c r="B18" s="61">
        <f>SUM(B10:B17)</f>
        <v/>
      </c>
      <c r="C18" s="62" t="n"/>
      <c r="D18" s="62" t="n"/>
      <c r="E18" s="62" t="n"/>
      <c r="F18" s="63">
        <f>IFERROR(I18/H18,0)</f>
        <v/>
      </c>
      <c r="G18" s="62" t="n"/>
      <c r="H18" s="64">
        <f>SUM(H10:H17)</f>
        <v/>
      </c>
      <c r="I18" s="64">
        <f>SUM(I10:I17)</f>
        <v/>
      </c>
      <c r="J18" s="64">
        <f>SUM(J10:J17)</f>
        <v/>
      </c>
    </row>
    <row r="19"/>
    <row r="20" ht="15" customHeight="1" s="40">
      <c r="A20" s="65" t="inlineStr">
        <is>
          <t>NOTES</t>
        </is>
      </c>
    </row>
    <row r="21" ht="15" customHeight="1" s="40">
      <c r="A21" s="66" t="inlineStr">
        <is>
          <t>Commission = Customer Price less Partner Share. Apple issues no separate commission invoice to Cyprus-based developers.</t>
        </is>
      </c>
    </row>
    <row r="22" ht="15" customHeight="1" s="40">
      <c r="A22" s="66" t="inlineStr">
        <is>
          <t>FX rates (blue) are derived from Apple's Payments and Financial Reports summary for this month (Proceeds ÷ Total Owed).</t>
        </is>
      </c>
    </row>
    <row r="23" ht="15" customHeight="1" s="40">
      <c r="A23" s="66" t="inlineStr">
        <is>
          <t>Headline commission is 15% under the App Store Small Business Program. Rates above 15% arise because customer prices in those markets are VAT-inclusive while Partner Share is computed after VAT is removed.</t>
        </is>
      </c>
    </row>
    <row r="24" ht="15" customHeight="1" s="40">
      <c r="A24" s="66" t="inlineStr">
        <is>
          <t>All units are product type IAY (auto-renewable subscription IAP). No returns in the period.</t>
        </is>
      </c>
    </row>
    <row r="25" ht="15" customHeight="1" s="40">
      <c r="A25" s="66" t="inlineStr">
        <is>
          <t>Gross presentation shown here. If a net policy is adopted, revenue equals the Net Proceeds column and no commission expense is recognised.</t>
        </is>
      </c>
    </row>
  </sheetData>
  <mergeCells count="2">
    <mergeCell ref="A1:J1"/>
    <mergeCell ref="A2:J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8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39" min="1" max="2"/>
    <col width="38" customWidth="1" style="39" min="3" max="3"/>
    <col width="9" customWidth="1" style="39" min="4" max="6"/>
    <col width="6" customWidth="1" style="39" min="7" max="7"/>
    <col width="14" customWidth="1" style="39" min="8" max="10"/>
    <col width="12" customWidth="1" style="39" min="11" max="11"/>
    <col width="7" customWidth="1" style="39" min="12" max="12"/>
  </cols>
  <sheetData>
    <row r="1" ht="18.55" customHeight="1" s="40">
      <c r="A1" s="41" t="inlineStr">
        <is>
          <t>Transaction Detail — September 2026</t>
        </is>
      </c>
    </row>
    <row r="2" ht="15" customHeight="1" s="40">
      <c r="A2" s="42" t="inlineStr">
        <is>
          <t>59 lines as reported by Apple. Commission columns are calculated.</t>
        </is>
      </c>
    </row>
    <row r="3"/>
    <row r="4" ht="31.5" customHeight="1" s="40">
      <c r="A4" s="47" t="inlineStr">
        <is>
          <t>Transaction
Date</t>
        </is>
      </c>
      <c r="B4" s="47" t="inlineStr">
        <is>
          <t>Settlement
Date</t>
        </is>
      </c>
      <c r="C4" s="47" t="inlineStr">
        <is>
          <t>SKU</t>
        </is>
      </c>
      <c r="D4" s="47" t="inlineStr">
        <is>
          <t>Product
Type</t>
        </is>
      </c>
      <c r="E4" s="47" t="inlineStr">
        <is>
          <t>Country</t>
        </is>
      </c>
      <c r="F4" s="47" t="inlineStr">
        <is>
          <t>Region</t>
        </is>
      </c>
      <c r="G4" s="47" t="inlineStr">
        <is>
          <t>Qty</t>
        </is>
      </c>
      <c r="H4" s="47" t="inlineStr">
        <is>
          <t>Customer Price
(unit)</t>
        </is>
      </c>
      <c r="I4" s="47" t="inlineStr">
        <is>
          <t>Customer Price
(ext)</t>
        </is>
      </c>
      <c r="J4" s="47" t="inlineStr">
        <is>
          <t>Partner Share
(ext)</t>
        </is>
      </c>
      <c r="K4" s="47" t="inlineStr">
        <is>
          <t>Commission</t>
        </is>
      </c>
      <c r="L4" s="47" t="inlineStr">
        <is>
          <t>Ccy</t>
        </is>
      </c>
    </row>
    <row r="5" ht="15" customHeight="1" s="40">
      <c r="A5" s="67" t="inlineStr">
        <is>
          <t>08/30/2026</t>
        </is>
      </c>
      <c r="B5" s="67" t="inlineStr">
        <is>
          <t>08/30/2026</t>
        </is>
      </c>
      <c r="C5" s="68" t="inlineStr">
        <is>
          <t>com.amuseum.sub.month.trial.3.price.5</t>
        </is>
      </c>
      <c r="D5" s="67" t="inlineStr">
        <is>
          <t>IAY</t>
        </is>
      </c>
      <c r="E5" s="67" t="inlineStr">
        <is>
          <t>CA</t>
        </is>
      </c>
      <c r="F5" s="67" t="inlineStr">
        <is>
          <t>MB</t>
        </is>
      </c>
      <c r="G5" s="69" t="n">
        <v>1</v>
      </c>
      <c r="H5" s="70" t="n">
        <v>6.49</v>
      </c>
      <c r="I5" s="70">
        <f>G5*H5</f>
        <v/>
      </c>
      <c r="J5" s="70" t="n">
        <v>5.52</v>
      </c>
      <c r="K5" s="70">
        <f>I5-J5</f>
        <v/>
      </c>
      <c r="L5" s="67" t="inlineStr">
        <is>
          <t>CAD</t>
        </is>
      </c>
    </row>
    <row r="6" ht="15" customHeight="1" s="40">
      <c r="A6" s="71" t="inlineStr">
        <is>
          <t>09/07/2026</t>
        </is>
      </c>
      <c r="B6" s="71" t="inlineStr">
        <is>
          <t>09/09/2026</t>
        </is>
      </c>
      <c r="C6" s="72" t="inlineStr">
        <is>
          <t>com.amuseum.sub.month.trial.3.price.5</t>
        </is>
      </c>
      <c r="D6" s="71" t="inlineStr">
        <is>
          <t>IAY</t>
        </is>
      </c>
      <c r="E6" s="71" t="inlineStr">
        <is>
          <t>CA</t>
        </is>
      </c>
      <c r="F6" s="71" t="inlineStr">
        <is>
          <t>AB</t>
        </is>
      </c>
      <c r="G6" s="73" t="n">
        <v>1</v>
      </c>
      <c r="H6" s="74" t="n">
        <v>6.49</v>
      </c>
      <c r="I6" s="74">
        <f>G6*H6</f>
        <v/>
      </c>
      <c r="J6" s="74" t="n">
        <v>5.52</v>
      </c>
      <c r="K6" s="74">
        <f>I6-J6</f>
        <v/>
      </c>
      <c r="L6" s="71" t="inlineStr">
        <is>
          <t>CAD</t>
        </is>
      </c>
    </row>
    <row r="7" ht="15" customHeight="1" s="40">
      <c r="A7" s="67" t="inlineStr">
        <is>
          <t>08/31/2026</t>
        </is>
      </c>
      <c r="B7" s="67" t="inlineStr">
        <is>
          <t>08/31/2026</t>
        </is>
      </c>
      <c r="C7" s="68" t="inlineStr">
        <is>
          <t>com.amuseum.sub.month.trial.3.price.5</t>
        </is>
      </c>
      <c r="D7" s="67" t="inlineStr">
        <is>
          <t>IAY</t>
        </is>
      </c>
      <c r="E7" s="67" t="inlineStr">
        <is>
          <t>CA</t>
        </is>
      </c>
      <c r="F7" s="67" t="inlineStr">
        <is>
          <t>NB</t>
        </is>
      </c>
      <c r="G7" s="69" t="n">
        <v>1</v>
      </c>
      <c r="H7" s="70" t="n">
        <v>6.49</v>
      </c>
      <c r="I7" s="70">
        <f>G7*H7</f>
        <v/>
      </c>
      <c r="J7" s="70" t="n">
        <v>5.52</v>
      </c>
      <c r="K7" s="70">
        <f>I7-J7</f>
        <v/>
      </c>
      <c r="L7" s="67" t="inlineStr">
        <is>
          <t>CAD</t>
        </is>
      </c>
    </row>
    <row r="8" ht="15" customHeight="1" s="40">
      <c r="A8" s="71" t="inlineStr">
        <is>
          <t>09/24/2026</t>
        </is>
      </c>
      <c r="B8" s="71" t="inlineStr">
        <is>
          <t>09/25/2026</t>
        </is>
      </c>
      <c r="C8" s="72" t="inlineStr">
        <is>
          <t>com.amuseum.sub.month.trial.3.price.5</t>
        </is>
      </c>
      <c r="D8" s="71" t="inlineStr">
        <is>
          <t>IAY</t>
        </is>
      </c>
      <c r="E8" s="71" t="inlineStr">
        <is>
          <t>CH</t>
        </is>
      </c>
      <c r="F8" s="71" t="n"/>
      <c r="G8" s="73" t="n">
        <v>1</v>
      </c>
      <c r="H8" s="74" t="n">
        <v>5.5</v>
      </c>
      <c r="I8" s="74">
        <f>G8*H8</f>
        <v/>
      </c>
      <c r="J8" s="74" t="n">
        <v>4.32</v>
      </c>
      <c r="K8" s="74">
        <f>I8-J8</f>
        <v/>
      </c>
      <c r="L8" s="71" t="inlineStr">
        <is>
          <t>CHF</t>
        </is>
      </c>
    </row>
    <row r="9" ht="15" customHeight="1" s="40">
      <c r="A9" s="67" t="inlineStr">
        <is>
          <t>09/01/2026</t>
        </is>
      </c>
      <c r="B9" s="67" t="inlineStr">
        <is>
          <t>09/01/2026</t>
        </is>
      </c>
      <c r="C9" s="68" t="inlineStr">
        <is>
          <t>com.amuseum.sub.month.trial.3.price.5</t>
        </is>
      </c>
      <c r="D9" s="67" t="inlineStr">
        <is>
          <t>IAY</t>
        </is>
      </c>
      <c r="E9" s="67" t="inlineStr">
        <is>
          <t>FI</t>
        </is>
      </c>
      <c r="F9" s="67" t="n"/>
      <c r="G9" s="69" t="n">
        <v>1</v>
      </c>
      <c r="H9" s="70" t="n">
        <v>5.49</v>
      </c>
      <c r="I9" s="70">
        <f>G9*H9</f>
        <v/>
      </c>
      <c r="J9" s="70" t="n">
        <v>3.72</v>
      </c>
      <c r="K9" s="70">
        <f>I9-J9</f>
        <v/>
      </c>
      <c r="L9" s="67" t="inlineStr">
        <is>
          <t>EUR</t>
        </is>
      </c>
    </row>
    <row r="10" ht="15" customHeight="1" s="40">
      <c r="A10" s="71" t="inlineStr">
        <is>
          <t>09/02/2026</t>
        </is>
      </c>
      <c r="B10" s="71" t="inlineStr">
        <is>
          <t>09/02/2026</t>
        </is>
      </c>
      <c r="C10" s="72" t="inlineStr">
        <is>
          <t>com.amuseum.sub.month.trial.3.price.5</t>
        </is>
      </c>
      <c r="D10" s="71" t="inlineStr">
        <is>
          <t>IAY</t>
        </is>
      </c>
      <c r="E10" s="71" t="inlineStr">
        <is>
          <t>FR</t>
        </is>
      </c>
      <c r="F10" s="71" t="n"/>
      <c r="G10" s="73" t="n">
        <v>1</v>
      </c>
      <c r="H10" s="74" t="n">
        <v>5.49</v>
      </c>
      <c r="I10" s="74">
        <f>G10*H10</f>
        <v/>
      </c>
      <c r="J10" s="74" t="n">
        <v>3.89</v>
      </c>
      <c r="K10" s="74">
        <f>I10-J10</f>
        <v/>
      </c>
      <c r="L10" s="71" t="inlineStr">
        <is>
          <t>EUR</t>
        </is>
      </c>
    </row>
    <row r="11" ht="15" customHeight="1" s="40">
      <c r="A11" s="67" t="inlineStr">
        <is>
          <t>09/11/2026</t>
        </is>
      </c>
      <c r="B11" s="67" t="inlineStr">
        <is>
          <t>09/11/2026</t>
        </is>
      </c>
      <c r="C11" s="68" t="inlineStr">
        <is>
          <t>com.amuseum.sub.month.trial.3.price.5</t>
        </is>
      </c>
      <c r="D11" s="67" t="inlineStr">
        <is>
          <t>IAY</t>
        </is>
      </c>
      <c r="E11" s="67" t="inlineStr">
        <is>
          <t>IT</t>
        </is>
      </c>
      <c r="F11" s="67" t="n"/>
      <c r="G11" s="69" t="n">
        <v>1</v>
      </c>
      <c r="H11" s="70" t="n">
        <v>5.49</v>
      </c>
      <c r="I11" s="70">
        <f>G11*H11</f>
        <v/>
      </c>
      <c r="J11" s="70" t="n">
        <v>3.81</v>
      </c>
      <c r="K11" s="70">
        <f>I11-J11</f>
        <v/>
      </c>
      <c r="L11" s="67" t="inlineStr">
        <is>
          <t>EUR</t>
        </is>
      </c>
    </row>
    <row r="12" ht="15" customHeight="1" s="40">
      <c r="A12" s="71" t="inlineStr">
        <is>
          <t>09/12/2026</t>
        </is>
      </c>
      <c r="B12" s="71" t="inlineStr">
        <is>
          <t>09/13/2026</t>
        </is>
      </c>
      <c r="C12" s="72" t="inlineStr">
        <is>
          <t>com.amuseum.sub.month.trial.3.price.5</t>
        </is>
      </c>
      <c r="D12" s="71" t="inlineStr">
        <is>
          <t>IAY</t>
        </is>
      </c>
      <c r="E12" s="71" t="inlineStr">
        <is>
          <t>NL</t>
        </is>
      </c>
      <c r="F12" s="71" t="n"/>
      <c r="G12" s="73" t="n">
        <v>1</v>
      </c>
      <c r="H12" s="74" t="n">
        <v>5.49</v>
      </c>
      <c r="I12" s="74">
        <f>G12*H12</f>
        <v/>
      </c>
      <c r="J12" s="74" t="n">
        <v>3.86</v>
      </c>
      <c r="K12" s="74">
        <f>I12-J12</f>
        <v/>
      </c>
      <c r="L12" s="71" t="inlineStr">
        <is>
          <t>EUR</t>
        </is>
      </c>
    </row>
    <row r="13" ht="15" customHeight="1" s="40">
      <c r="A13" s="67" t="inlineStr">
        <is>
          <t>09/18/2026</t>
        </is>
      </c>
      <c r="B13" s="67" t="inlineStr">
        <is>
          <t>09/18/2026</t>
        </is>
      </c>
      <c r="C13" s="68" t="inlineStr">
        <is>
          <t>com.amuseum.sub.month.trial.3.price.5</t>
        </is>
      </c>
      <c r="D13" s="67" t="inlineStr">
        <is>
          <t>IAY</t>
        </is>
      </c>
      <c r="E13" s="67" t="inlineStr">
        <is>
          <t>NL</t>
        </is>
      </c>
      <c r="F13" s="67" t="n"/>
      <c r="G13" s="69" t="n">
        <v>1</v>
      </c>
      <c r="H13" s="70" t="n">
        <v>5.49</v>
      </c>
      <c r="I13" s="70">
        <f>G13*H13</f>
        <v/>
      </c>
      <c r="J13" s="70" t="n">
        <v>3.86</v>
      </c>
      <c r="K13" s="70">
        <f>I13-J13</f>
        <v/>
      </c>
      <c r="L13" s="67" t="inlineStr">
        <is>
          <t>EUR</t>
        </is>
      </c>
    </row>
    <row r="14" ht="15" customHeight="1" s="40">
      <c r="A14" s="71" t="inlineStr">
        <is>
          <t>09/12/2026</t>
        </is>
      </c>
      <c r="B14" s="71" t="inlineStr">
        <is>
          <t>09/12/2026</t>
        </is>
      </c>
      <c r="C14" s="72" t="inlineStr">
        <is>
          <t>com.amuseum.sub.month.trial.3.price.5</t>
        </is>
      </c>
      <c r="D14" s="71" t="inlineStr">
        <is>
          <t>IAY</t>
        </is>
      </c>
      <c r="E14" s="71" t="inlineStr">
        <is>
          <t>NL</t>
        </is>
      </c>
      <c r="F14" s="71" t="n"/>
      <c r="G14" s="73" t="n">
        <v>1</v>
      </c>
      <c r="H14" s="74" t="n">
        <v>5.49</v>
      </c>
      <c r="I14" s="74">
        <f>G14*H14</f>
        <v/>
      </c>
      <c r="J14" s="74" t="n">
        <v>3.86</v>
      </c>
      <c r="K14" s="74">
        <f>I14-J14</f>
        <v/>
      </c>
      <c r="L14" s="71" t="inlineStr">
        <is>
          <t>EUR</t>
        </is>
      </c>
    </row>
    <row r="15" ht="15" customHeight="1" s="40">
      <c r="A15" s="67" t="inlineStr">
        <is>
          <t>09/25/2026</t>
        </is>
      </c>
      <c r="B15" s="67" t="inlineStr">
        <is>
          <t>09/25/2026</t>
        </is>
      </c>
      <c r="C15" s="68" t="inlineStr">
        <is>
          <t>com.amuseum.sub.month.trial.3.price.5</t>
        </is>
      </c>
      <c r="D15" s="67" t="inlineStr">
        <is>
          <t>IAY</t>
        </is>
      </c>
      <c r="E15" s="67" t="inlineStr">
        <is>
          <t>NL</t>
        </is>
      </c>
      <c r="F15" s="67" t="n"/>
      <c r="G15" s="69" t="n">
        <v>1</v>
      </c>
      <c r="H15" s="70" t="n">
        <v>5.49</v>
      </c>
      <c r="I15" s="70">
        <f>G15*H15</f>
        <v/>
      </c>
      <c r="J15" s="70" t="n">
        <v>3.86</v>
      </c>
      <c r="K15" s="70">
        <f>I15-J15</f>
        <v/>
      </c>
      <c r="L15" s="67" t="inlineStr">
        <is>
          <t>EUR</t>
        </is>
      </c>
    </row>
    <row r="16" ht="15" customHeight="1" s="40">
      <c r="A16" s="71" t="inlineStr">
        <is>
          <t>09/25/2026</t>
        </is>
      </c>
      <c r="B16" s="71" t="inlineStr">
        <is>
          <t>09/25/2026</t>
        </is>
      </c>
      <c r="C16" s="72" t="inlineStr">
        <is>
          <t>com.amuseum.sub.month.trial.3.price.5</t>
        </is>
      </c>
      <c r="D16" s="71" t="inlineStr">
        <is>
          <t>IAY</t>
        </is>
      </c>
      <c r="E16" s="71" t="inlineStr">
        <is>
          <t>GB</t>
        </is>
      </c>
      <c r="F16" s="71" t="n"/>
      <c r="G16" s="73" t="n">
        <v>1</v>
      </c>
      <c r="H16" s="74" t="n">
        <v>4.49</v>
      </c>
      <c r="I16" s="74">
        <f>G16*H16</f>
        <v/>
      </c>
      <c r="J16" s="74" t="n">
        <v>3.17</v>
      </c>
      <c r="K16" s="74">
        <f>I16-J16</f>
        <v/>
      </c>
      <c r="L16" s="71" t="inlineStr">
        <is>
          <t>GBP</t>
        </is>
      </c>
    </row>
    <row r="17" ht="15" customHeight="1" s="40">
      <c r="A17" s="67" t="inlineStr">
        <is>
          <t>09/03/2026</t>
        </is>
      </c>
      <c r="B17" s="67" t="inlineStr">
        <is>
          <t>09/03/2026</t>
        </is>
      </c>
      <c r="C17" s="68" t="inlineStr">
        <is>
          <t>com.amuseum.sub.month.trial.3.price.5</t>
        </is>
      </c>
      <c r="D17" s="67" t="inlineStr">
        <is>
          <t>IAY</t>
        </is>
      </c>
      <c r="E17" s="67" t="inlineStr">
        <is>
          <t>GB</t>
        </is>
      </c>
      <c r="F17" s="67" t="n"/>
      <c r="G17" s="69" t="n">
        <v>1</v>
      </c>
      <c r="H17" s="70" t="n">
        <v>4.49</v>
      </c>
      <c r="I17" s="70">
        <f>G17*H17</f>
        <v/>
      </c>
      <c r="J17" s="70" t="n">
        <v>3.17</v>
      </c>
      <c r="K17" s="70">
        <f>I17-J17</f>
        <v/>
      </c>
      <c r="L17" s="67" t="inlineStr">
        <is>
          <t>GBP</t>
        </is>
      </c>
    </row>
    <row r="18" ht="15" customHeight="1" s="40">
      <c r="A18" s="71" t="inlineStr">
        <is>
          <t>08/29/2026</t>
        </is>
      </c>
      <c r="B18" s="71" t="inlineStr">
        <is>
          <t>08/30/2026</t>
        </is>
      </c>
      <c r="C18" s="72" t="inlineStr">
        <is>
          <t>com.amuseum.sub.month.trial.3.price.5</t>
        </is>
      </c>
      <c r="D18" s="71" t="inlineStr">
        <is>
          <t>IAY</t>
        </is>
      </c>
      <c r="E18" s="71" t="inlineStr">
        <is>
          <t>GB</t>
        </is>
      </c>
      <c r="F18" s="71" t="n"/>
      <c r="G18" s="73" t="n">
        <v>1</v>
      </c>
      <c r="H18" s="74" t="n">
        <v>4.49</v>
      </c>
      <c r="I18" s="74">
        <f>G18*H18</f>
        <v/>
      </c>
      <c r="J18" s="74" t="n">
        <v>3.17</v>
      </c>
      <c r="K18" s="74">
        <f>I18-J18</f>
        <v/>
      </c>
      <c r="L18" s="71" t="inlineStr">
        <is>
          <t>GBP</t>
        </is>
      </c>
    </row>
    <row r="19" ht="15" customHeight="1" s="40">
      <c r="A19" s="67" t="inlineStr">
        <is>
          <t>09/25/2026</t>
        </is>
      </c>
      <c r="B19" s="67" t="inlineStr">
        <is>
          <t>09/25/2026</t>
        </is>
      </c>
      <c r="C19" s="68" t="inlineStr">
        <is>
          <t>com.amuseum.sub.month.trial.3.price.5</t>
        </is>
      </c>
      <c r="D19" s="67" t="inlineStr">
        <is>
          <t>IAY</t>
        </is>
      </c>
      <c r="E19" s="67" t="inlineStr">
        <is>
          <t>NO</t>
        </is>
      </c>
      <c r="F19" s="67" t="n"/>
      <c r="G19" s="69" t="n">
        <v>1</v>
      </c>
      <c r="H19" s="70" t="n">
        <v>55</v>
      </c>
      <c r="I19" s="70">
        <f>G19*H19</f>
        <v/>
      </c>
      <c r="J19" s="70" t="n">
        <v>37.4</v>
      </c>
      <c r="K19" s="70">
        <f>I19-J19</f>
        <v/>
      </c>
      <c r="L19" s="67" t="inlineStr">
        <is>
          <t>NOK</t>
        </is>
      </c>
    </row>
    <row r="20" ht="15" customHeight="1" s="40">
      <c r="A20" s="71" t="inlineStr">
        <is>
          <t>08/24/2026</t>
        </is>
      </c>
      <c r="B20" s="71" t="inlineStr">
        <is>
          <t>09/03/2026</t>
        </is>
      </c>
      <c r="C20" s="72" t="inlineStr">
        <is>
          <t>com.amuseum.sub.month.trial.3.price.5</t>
        </is>
      </c>
      <c r="D20" s="71" t="inlineStr">
        <is>
          <t>IAY</t>
        </is>
      </c>
      <c r="E20" s="71" t="inlineStr">
        <is>
          <t>NZ</t>
        </is>
      </c>
      <c r="F20" s="71" t="n"/>
      <c r="G20" s="73" t="n">
        <v>1</v>
      </c>
      <c r="H20" s="74" t="n">
        <v>8.49</v>
      </c>
      <c r="I20" s="74">
        <f>G20*H20</f>
        <v/>
      </c>
      <c r="J20" s="74" t="n">
        <v>6.28</v>
      </c>
      <c r="K20" s="74">
        <f>I20-J20</f>
        <v/>
      </c>
      <c r="L20" s="71" t="inlineStr">
        <is>
          <t>NZD</t>
        </is>
      </c>
    </row>
    <row r="21" ht="15" customHeight="1" s="40">
      <c r="A21" s="67" t="inlineStr">
        <is>
          <t>09/24/2026</t>
        </is>
      </c>
      <c r="B21" s="67" t="inlineStr">
        <is>
          <t>09/24/2026</t>
        </is>
      </c>
      <c r="C21" s="68" t="inlineStr">
        <is>
          <t>com.amuseum.sub.month.trial.3.price.5</t>
        </is>
      </c>
      <c r="D21" s="67" t="inlineStr">
        <is>
          <t>IAY</t>
        </is>
      </c>
      <c r="E21" s="67" t="inlineStr">
        <is>
          <t>NZ</t>
        </is>
      </c>
      <c r="F21" s="67" t="n"/>
      <c r="G21" s="69" t="n">
        <v>1</v>
      </c>
      <c r="H21" s="70" t="n">
        <v>8.49</v>
      </c>
      <c r="I21" s="70">
        <f>G21*H21</f>
        <v/>
      </c>
      <c r="J21" s="70" t="n">
        <v>6.28</v>
      </c>
      <c r="K21" s="70">
        <f>I21-J21</f>
        <v/>
      </c>
      <c r="L21" s="67" t="inlineStr">
        <is>
          <t>NZD</t>
        </is>
      </c>
    </row>
    <row r="22" ht="15" customHeight="1" s="40">
      <c r="A22" s="71" t="inlineStr">
        <is>
          <t>09/18/2026</t>
        </is>
      </c>
      <c r="B22" s="71" t="inlineStr">
        <is>
          <t>09/18/2026</t>
        </is>
      </c>
      <c r="C22" s="72" t="inlineStr">
        <is>
          <t>com.amuseum.sub.month.trial.3.price.5</t>
        </is>
      </c>
      <c r="D22" s="71" t="inlineStr">
        <is>
          <t>IAY</t>
        </is>
      </c>
      <c r="E22" s="71" t="inlineStr">
        <is>
          <t>TR</t>
        </is>
      </c>
      <c r="F22" s="71" t="n"/>
      <c r="G22" s="73" t="n">
        <v>1</v>
      </c>
      <c r="H22" s="74" t="n">
        <v>32.99</v>
      </c>
      <c r="I22" s="74">
        <f>G22*H22</f>
        <v/>
      </c>
      <c r="J22" s="74" t="n">
        <v>22.2</v>
      </c>
      <c r="K22" s="74">
        <f>I22-J22</f>
        <v/>
      </c>
      <c r="L22" s="71" t="inlineStr">
        <is>
          <t>TRY</t>
        </is>
      </c>
    </row>
    <row r="23" ht="15" customHeight="1" s="40">
      <c r="A23" s="67" t="inlineStr">
        <is>
          <t>09/14/2026</t>
        </is>
      </c>
      <c r="B23" s="67" t="inlineStr">
        <is>
          <t>09/16/2026</t>
        </is>
      </c>
      <c r="C23" s="68" t="inlineStr">
        <is>
          <t>com.amuseum.sub.month.trial.3.price.5</t>
        </is>
      </c>
      <c r="D23" s="67" t="inlineStr">
        <is>
          <t>IAY</t>
        </is>
      </c>
      <c r="E23" s="67" t="inlineStr">
        <is>
          <t>US</t>
        </is>
      </c>
      <c r="F23" s="67" t="inlineStr">
        <is>
          <t>AL</t>
        </is>
      </c>
      <c r="G23" s="69" t="n">
        <v>1</v>
      </c>
      <c r="H23" s="70" t="n">
        <v>4.99</v>
      </c>
      <c r="I23" s="70">
        <f>G23*H23</f>
        <v/>
      </c>
      <c r="J23" s="70" t="n">
        <v>4.24</v>
      </c>
      <c r="K23" s="70">
        <f>I23-J23</f>
        <v/>
      </c>
      <c r="L23" s="67" t="inlineStr">
        <is>
          <t>USD</t>
        </is>
      </c>
    </row>
    <row r="24" ht="15" customHeight="1" s="40">
      <c r="A24" s="71" t="inlineStr">
        <is>
          <t>08/26/2026</t>
        </is>
      </c>
      <c r="B24" s="71" t="inlineStr">
        <is>
          <t>08/30/2026</t>
        </is>
      </c>
      <c r="C24" s="72" t="inlineStr">
        <is>
          <t>com.amuseum.sub.month.trial.3.price.5</t>
        </is>
      </c>
      <c r="D24" s="71" t="inlineStr">
        <is>
          <t>IAY</t>
        </is>
      </c>
      <c r="E24" s="71" t="inlineStr">
        <is>
          <t>US</t>
        </is>
      </c>
      <c r="F24" s="71" t="inlineStr">
        <is>
          <t>NV</t>
        </is>
      </c>
      <c r="G24" s="73" t="n">
        <v>1</v>
      </c>
      <c r="H24" s="74" t="n">
        <v>4.99</v>
      </c>
      <c r="I24" s="74">
        <f>G24*H24</f>
        <v/>
      </c>
      <c r="J24" s="74" t="n">
        <v>4.24</v>
      </c>
      <c r="K24" s="74">
        <f>I24-J24</f>
        <v/>
      </c>
      <c r="L24" s="71" t="inlineStr">
        <is>
          <t>USD</t>
        </is>
      </c>
    </row>
    <row r="25" ht="15" customHeight="1" s="40">
      <c r="A25" s="67" t="inlineStr">
        <is>
          <t>09/20/2026</t>
        </is>
      </c>
      <c r="B25" s="67" t="inlineStr">
        <is>
          <t>09/22/2026</t>
        </is>
      </c>
      <c r="C25" s="68" t="inlineStr">
        <is>
          <t>com.amuseum.sub.month.trial.3.price.5</t>
        </is>
      </c>
      <c r="D25" s="67" t="inlineStr">
        <is>
          <t>IAY</t>
        </is>
      </c>
      <c r="E25" s="67" t="inlineStr">
        <is>
          <t>US</t>
        </is>
      </c>
      <c r="F25" s="67" t="inlineStr">
        <is>
          <t>CA</t>
        </is>
      </c>
      <c r="G25" s="69" t="n">
        <v>1</v>
      </c>
      <c r="H25" s="70" t="n">
        <v>4.99</v>
      </c>
      <c r="I25" s="70">
        <f>G25*H25</f>
        <v/>
      </c>
      <c r="J25" s="70" t="n">
        <v>4.24</v>
      </c>
      <c r="K25" s="70">
        <f>I25-J25</f>
        <v/>
      </c>
      <c r="L25" s="67" t="inlineStr">
        <is>
          <t>USD</t>
        </is>
      </c>
    </row>
    <row r="26" ht="15" customHeight="1" s="40">
      <c r="A26" s="71" t="inlineStr">
        <is>
          <t>09/04/2026</t>
        </is>
      </c>
      <c r="B26" s="71" t="inlineStr">
        <is>
          <t>09/08/2026</t>
        </is>
      </c>
      <c r="C26" s="72" t="inlineStr">
        <is>
          <t>com.amuseum.sub.month.trial.3.price.5</t>
        </is>
      </c>
      <c r="D26" s="71" t="inlineStr">
        <is>
          <t>IAY</t>
        </is>
      </c>
      <c r="E26" s="71" t="inlineStr">
        <is>
          <t>US</t>
        </is>
      </c>
      <c r="F26" s="71" t="inlineStr">
        <is>
          <t>FL</t>
        </is>
      </c>
      <c r="G26" s="73" t="n">
        <v>1</v>
      </c>
      <c r="H26" s="74" t="n">
        <v>4.99</v>
      </c>
      <c r="I26" s="74">
        <f>G26*H26</f>
        <v/>
      </c>
      <c r="J26" s="74" t="n">
        <v>4.24</v>
      </c>
      <c r="K26" s="74">
        <f>I26-J26</f>
        <v/>
      </c>
      <c r="L26" s="71" t="inlineStr">
        <is>
          <t>USD</t>
        </is>
      </c>
    </row>
    <row r="27" ht="15" customHeight="1" s="40">
      <c r="A27" s="67" t="inlineStr">
        <is>
          <t>09/15/2026</t>
        </is>
      </c>
      <c r="B27" s="67" t="inlineStr">
        <is>
          <t>09/19/2026</t>
        </is>
      </c>
      <c r="C27" s="68" t="inlineStr">
        <is>
          <t>com.amuseum.sub.month.trial.3.price.5</t>
        </is>
      </c>
      <c r="D27" s="67" t="inlineStr">
        <is>
          <t>IAY</t>
        </is>
      </c>
      <c r="E27" s="67" t="inlineStr">
        <is>
          <t>US</t>
        </is>
      </c>
      <c r="F27" s="67" t="inlineStr">
        <is>
          <t>MD</t>
        </is>
      </c>
      <c r="G27" s="69" t="n">
        <v>1</v>
      </c>
      <c r="H27" s="70" t="n">
        <v>4.99</v>
      </c>
      <c r="I27" s="70">
        <f>G27*H27</f>
        <v/>
      </c>
      <c r="J27" s="70" t="n">
        <v>4.24</v>
      </c>
      <c r="K27" s="70">
        <f>I27-J27</f>
        <v/>
      </c>
      <c r="L27" s="67" t="inlineStr">
        <is>
          <t>USD</t>
        </is>
      </c>
    </row>
    <row r="28" ht="15" customHeight="1" s="40">
      <c r="A28" s="71" t="inlineStr">
        <is>
          <t>09/22/2026</t>
        </is>
      </c>
      <c r="B28" s="71" t="inlineStr">
        <is>
          <t>09/26/2026</t>
        </is>
      </c>
      <c r="C28" s="72" t="inlineStr">
        <is>
          <t>com.amuseum.sub.month.trial.3.price.5</t>
        </is>
      </c>
      <c r="D28" s="71" t="inlineStr">
        <is>
          <t>IAY</t>
        </is>
      </c>
      <c r="E28" s="71" t="inlineStr">
        <is>
          <t>US</t>
        </is>
      </c>
      <c r="F28" s="71" t="inlineStr">
        <is>
          <t>OR</t>
        </is>
      </c>
      <c r="G28" s="73" t="n">
        <v>1</v>
      </c>
      <c r="H28" s="74" t="n">
        <v>4.99</v>
      </c>
      <c r="I28" s="74">
        <f>G28*H28</f>
        <v/>
      </c>
      <c r="J28" s="74" t="n">
        <v>4.24</v>
      </c>
      <c r="K28" s="74">
        <f>I28-J28</f>
        <v/>
      </c>
      <c r="L28" s="71" t="inlineStr">
        <is>
          <t>USD</t>
        </is>
      </c>
    </row>
    <row r="29" ht="15" customHeight="1" s="40">
      <c r="A29" s="67" t="inlineStr">
        <is>
          <t>09/06/2026</t>
        </is>
      </c>
      <c r="B29" s="67" t="inlineStr">
        <is>
          <t>09/09/2026</t>
        </is>
      </c>
      <c r="C29" s="68" t="inlineStr">
        <is>
          <t>com.amuseum.sub.month.trial.3.price.5</t>
        </is>
      </c>
      <c r="D29" s="67" t="inlineStr">
        <is>
          <t>IAY</t>
        </is>
      </c>
      <c r="E29" s="67" t="inlineStr">
        <is>
          <t>US</t>
        </is>
      </c>
      <c r="F29" s="67" t="inlineStr">
        <is>
          <t>WA</t>
        </is>
      </c>
      <c r="G29" s="69" t="n">
        <v>1</v>
      </c>
      <c r="H29" s="70" t="n">
        <v>4.99</v>
      </c>
      <c r="I29" s="70">
        <f>G29*H29</f>
        <v/>
      </c>
      <c r="J29" s="70" t="n">
        <v>4.24</v>
      </c>
      <c r="K29" s="70">
        <f>I29-J29</f>
        <v/>
      </c>
      <c r="L29" s="67" t="inlineStr">
        <is>
          <t>USD</t>
        </is>
      </c>
    </row>
    <row r="30" ht="15" customHeight="1" s="40">
      <c r="A30" s="71" t="inlineStr">
        <is>
          <t>09/23/2026</t>
        </is>
      </c>
      <c r="B30" s="71" t="inlineStr">
        <is>
          <t>09/24/2026</t>
        </is>
      </c>
      <c r="C30" s="72" t="inlineStr">
        <is>
          <t>com.amuseum.sub.month.trial.3.price.5</t>
        </is>
      </c>
      <c r="D30" s="71" t="inlineStr">
        <is>
          <t>IAY</t>
        </is>
      </c>
      <c r="E30" s="71" t="inlineStr">
        <is>
          <t>US</t>
        </is>
      </c>
      <c r="F30" s="71" t="inlineStr">
        <is>
          <t>AL</t>
        </is>
      </c>
      <c r="G30" s="73" t="n">
        <v>1</v>
      </c>
      <c r="H30" s="74" t="n">
        <v>4.99</v>
      </c>
      <c r="I30" s="74">
        <f>G30*H30</f>
        <v/>
      </c>
      <c r="J30" s="74" t="n">
        <v>4.24</v>
      </c>
      <c r="K30" s="74">
        <f>I30-J30</f>
        <v/>
      </c>
      <c r="L30" s="71" t="inlineStr">
        <is>
          <t>USD</t>
        </is>
      </c>
    </row>
    <row r="31" ht="15" customHeight="1" s="40">
      <c r="A31" s="67" t="inlineStr">
        <is>
          <t>09/21/2026</t>
        </is>
      </c>
      <c r="B31" s="67" t="inlineStr">
        <is>
          <t>09/23/2026</t>
        </is>
      </c>
      <c r="C31" s="68" t="inlineStr">
        <is>
          <t>com.amuseum.sub.month.trial.3.price.5</t>
        </is>
      </c>
      <c r="D31" s="67" t="inlineStr">
        <is>
          <t>IAY</t>
        </is>
      </c>
      <c r="E31" s="67" t="inlineStr">
        <is>
          <t>US</t>
        </is>
      </c>
      <c r="F31" s="67" t="inlineStr">
        <is>
          <t>NC</t>
        </is>
      </c>
      <c r="G31" s="69" t="n">
        <v>1</v>
      </c>
      <c r="H31" s="70" t="n">
        <v>4.99</v>
      </c>
      <c r="I31" s="70">
        <f>G31*H31</f>
        <v/>
      </c>
      <c r="J31" s="70" t="n">
        <v>4.24</v>
      </c>
      <c r="K31" s="70">
        <f>I31-J31</f>
        <v/>
      </c>
      <c r="L31" s="67" t="inlineStr">
        <is>
          <t>USD</t>
        </is>
      </c>
    </row>
    <row r="32" ht="15" customHeight="1" s="40">
      <c r="A32" s="71" t="inlineStr">
        <is>
          <t>09/13/2026</t>
        </is>
      </c>
      <c r="B32" s="71" t="inlineStr">
        <is>
          <t>09/13/2026</t>
        </is>
      </c>
      <c r="C32" s="72" t="inlineStr">
        <is>
          <t>com.amuseum.sub.month.trial.3.price.5</t>
        </is>
      </c>
      <c r="D32" s="71" t="inlineStr">
        <is>
          <t>IAY</t>
        </is>
      </c>
      <c r="E32" s="71" t="inlineStr">
        <is>
          <t>US</t>
        </is>
      </c>
      <c r="F32" s="71" t="inlineStr">
        <is>
          <t>CA</t>
        </is>
      </c>
      <c r="G32" s="73" t="n">
        <v>1</v>
      </c>
      <c r="H32" s="74" t="n">
        <v>4.99</v>
      </c>
      <c r="I32" s="74">
        <f>G32*H32</f>
        <v/>
      </c>
      <c r="J32" s="74" t="n">
        <v>4.24</v>
      </c>
      <c r="K32" s="74">
        <f>I32-J32</f>
        <v/>
      </c>
      <c r="L32" s="71" t="inlineStr">
        <is>
          <t>USD</t>
        </is>
      </c>
    </row>
    <row r="33" ht="15" customHeight="1" s="40">
      <c r="A33" s="67" t="inlineStr">
        <is>
          <t>08/25/2026</t>
        </is>
      </c>
      <c r="B33" s="67" t="inlineStr">
        <is>
          <t>09/01/2026</t>
        </is>
      </c>
      <c r="C33" s="68" t="inlineStr">
        <is>
          <t>com.amuseum.sub.month.trial.3.price.5</t>
        </is>
      </c>
      <c r="D33" s="67" t="inlineStr">
        <is>
          <t>IAY</t>
        </is>
      </c>
      <c r="E33" s="67" t="inlineStr">
        <is>
          <t>US</t>
        </is>
      </c>
      <c r="F33" s="67" t="inlineStr">
        <is>
          <t>CA</t>
        </is>
      </c>
      <c r="G33" s="69" t="n">
        <v>1</v>
      </c>
      <c r="H33" s="70" t="n">
        <v>4.99</v>
      </c>
      <c r="I33" s="70">
        <f>G33*H33</f>
        <v/>
      </c>
      <c r="J33" s="70" t="n">
        <v>4.24</v>
      </c>
      <c r="K33" s="70">
        <f>I33-J33</f>
        <v/>
      </c>
      <c r="L33" s="67" t="inlineStr">
        <is>
          <t>USD</t>
        </is>
      </c>
    </row>
    <row r="34" ht="15" customHeight="1" s="40">
      <c r="A34" s="71" t="inlineStr">
        <is>
          <t>08/26/2026</t>
        </is>
      </c>
      <c r="B34" s="71" t="inlineStr">
        <is>
          <t>08/30/2026</t>
        </is>
      </c>
      <c r="C34" s="72" t="inlineStr">
        <is>
          <t>com.amuseum.sub.month.trial.3.price.5</t>
        </is>
      </c>
      <c r="D34" s="71" t="inlineStr">
        <is>
          <t>IAY</t>
        </is>
      </c>
      <c r="E34" s="71" t="inlineStr">
        <is>
          <t>US</t>
        </is>
      </c>
      <c r="F34" s="71" t="inlineStr">
        <is>
          <t>VT</t>
        </is>
      </c>
      <c r="G34" s="73" t="n">
        <v>1</v>
      </c>
      <c r="H34" s="74" t="n">
        <v>4.99</v>
      </c>
      <c r="I34" s="74">
        <f>G34*H34</f>
        <v/>
      </c>
      <c r="J34" s="74" t="n">
        <v>4.24</v>
      </c>
      <c r="K34" s="74">
        <f>I34-J34</f>
        <v/>
      </c>
      <c r="L34" s="71" t="inlineStr">
        <is>
          <t>USD</t>
        </is>
      </c>
    </row>
    <row r="35" ht="15" customHeight="1" s="40">
      <c r="A35" s="67" t="inlineStr">
        <is>
          <t>09/10/2026</t>
        </is>
      </c>
      <c r="B35" s="67" t="inlineStr">
        <is>
          <t>09/14/2026</t>
        </is>
      </c>
      <c r="C35" s="68" t="inlineStr">
        <is>
          <t>com.amuseum.sub.month.trial.3.price.5</t>
        </is>
      </c>
      <c r="D35" s="67" t="inlineStr">
        <is>
          <t>IAY</t>
        </is>
      </c>
      <c r="E35" s="67" t="inlineStr">
        <is>
          <t>US</t>
        </is>
      </c>
      <c r="F35" s="67" t="inlineStr">
        <is>
          <t>CO</t>
        </is>
      </c>
      <c r="G35" s="69" t="n">
        <v>1</v>
      </c>
      <c r="H35" s="70" t="n">
        <v>4.99</v>
      </c>
      <c r="I35" s="70">
        <f>G35*H35</f>
        <v/>
      </c>
      <c r="J35" s="70" t="n">
        <v>4.24</v>
      </c>
      <c r="K35" s="70">
        <f>I35-J35</f>
        <v/>
      </c>
      <c r="L35" s="67" t="inlineStr">
        <is>
          <t>USD</t>
        </is>
      </c>
    </row>
    <row r="36" ht="15" customHeight="1" s="40">
      <c r="A36" s="71" t="inlineStr">
        <is>
          <t>08/10/2026</t>
        </is>
      </c>
      <c r="B36" s="71" t="inlineStr">
        <is>
          <t>09/03/2026</t>
        </is>
      </c>
      <c r="C36" s="72" t="inlineStr">
        <is>
          <t>com.amuseum.sub.month.trial.3.price.5</t>
        </is>
      </c>
      <c r="D36" s="71" t="inlineStr">
        <is>
          <t>IAY</t>
        </is>
      </c>
      <c r="E36" s="71" t="inlineStr">
        <is>
          <t>US</t>
        </is>
      </c>
      <c r="F36" s="71" t="inlineStr">
        <is>
          <t>NY</t>
        </is>
      </c>
      <c r="G36" s="73" t="n">
        <v>1</v>
      </c>
      <c r="H36" s="74" t="n">
        <v>4.99</v>
      </c>
      <c r="I36" s="74">
        <f>G36*H36</f>
        <v/>
      </c>
      <c r="J36" s="74" t="n">
        <v>4.24</v>
      </c>
      <c r="K36" s="74">
        <f>I36-J36</f>
        <v/>
      </c>
      <c r="L36" s="71" t="inlineStr">
        <is>
          <t>USD</t>
        </is>
      </c>
    </row>
    <row r="37" ht="15" customHeight="1" s="40">
      <c r="A37" s="67" t="inlineStr">
        <is>
          <t>08/26/2026</t>
        </is>
      </c>
      <c r="B37" s="67" t="inlineStr">
        <is>
          <t>08/30/2026</t>
        </is>
      </c>
      <c r="C37" s="68" t="inlineStr">
        <is>
          <t>com.amuseum.sub.month.trial.3.price.5</t>
        </is>
      </c>
      <c r="D37" s="67" t="inlineStr">
        <is>
          <t>IAY</t>
        </is>
      </c>
      <c r="E37" s="67" t="inlineStr">
        <is>
          <t>US</t>
        </is>
      </c>
      <c r="F37" s="67" t="inlineStr">
        <is>
          <t>CA</t>
        </is>
      </c>
      <c r="G37" s="69" t="n">
        <v>1</v>
      </c>
      <c r="H37" s="70" t="n">
        <v>4.99</v>
      </c>
      <c r="I37" s="70">
        <f>G37*H37</f>
        <v/>
      </c>
      <c r="J37" s="70" t="n">
        <v>4.24</v>
      </c>
      <c r="K37" s="70">
        <f>I37-J37</f>
        <v/>
      </c>
      <c r="L37" s="67" t="inlineStr">
        <is>
          <t>USD</t>
        </is>
      </c>
    </row>
    <row r="38" ht="15" customHeight="1" s="40">
      <c r="A38" s="71" t="inlineStr">
        <is>
          <t>08/30/2026</t>
        </is>
      </c>
      <c r="B38" s="71" t="inlineStr">
        <is>
          <t>08/30/2026</t>
        </is>
      </c>
      <c r="C38" s="72" t="inlineStr">
        <is>
          <t>com.amuseum.sub.month.trial.3.price.5</t>
        </is>
      </c>
      <c r="D38" s="71" t="inlineStr">
        <is>
          <t>IAY</t>
        </is>
      </c>
      <c r="E38" s="71" t="inlineStr">
        <is>
          <t>US</t>
        </is>
      </c>
      <c r="F38" s="71" t="inlineStr">
        <is>
          <t>CA</t>
        </is>
      </c>
      <c r="G38" s="73" t="n">
        <v>1</v>
      </c>
      <c r="H38" s="74" t="n">
        <v>4.99</v>
      </c>
      <c r="I38" s="74">
        <f>G38*H38</f>
        <v/>
      </c>
      <c r="J38" s="74" t="n">
        <v>4.24</v>
      </c>
      <c r="K38" s="74">
        <f>I38-J38</f>
        <v/>
      </c>
      <c r="L38" s="71" t="inlineStr">
        <is>
          <t>USD</t>
        </is>
      </c>
    </row>
    <row r="39" ht="15" customHeight="1" s="40">
      <c r="A39" s="67" t="inlineStr">
        <is>
          <t>09/14/2026</t>
        </is>
      </c>
      <c r="B39" s="67" t="inlineStr">
        <is>
          <t>09/14/2026</t>
        </is>
      </c>
      <c r="C39" s="68" t="inlineStr">
        <is>
          <t>com.amuseum.sub.month.trial.3.price.5</t>
        </is>
      </c>
      <c r="D39" s="67" t="inlineStr">
        <is>
          <t>IAY</t>
        </is>
      </c>
      <c r="E39" s="67" t="inlineStr">
        <is>
          <t>US</t>
        </is>
      </c>
      <c r="F39" s="67" t="inlineStr">
        <is>
          <t>TX</t>
        </is>
      </c>
      <c r="G39" s="69" t="n">
        <v>1</v>
      </c>
      <c r="H39" s="70" t="n">
        <v>4.99</v>
      </c>
      <c r="I39" s="70">
        <f>G39*H39</f>
        <v/>
      </c>
      <c r="J39" s="70" t="n">
        <v>4.24</v>
      </c>
      <c r="K39" s="70">
        <f>I39-J39</f>
        <v/>
      </c>
      <c r="L39" s="67" t="inlineStr">
        <is>
          <t>USD</t>
        </is>
      </c>
    </row>
    <row r="40" ht="15" customHeight="1" s="40">
      <c r="A40" s="71" t="inlineStr">
        <is>
          <t>09/17/2026</t>
        </is>
      </c>
      <c r="B40" s="71" t="inlineStr">
        <is>
          <t>09/19/2026</t>
        </is>
      </c>
      <c r="C40" s="72" t="inlineStr">
        <is>
          <t>com.amuseum.sub.month.trial.3.price.5</t>
        </is>
      </c>
      <c r="D40" s="71" t="inlineStr">
        <is>
          <t>IAY</t>
        </is>
      </c>
      <c r="E40" s="71" t="inlineStr">
        <is>
          <t>US</t>
        </is>
      </c>
      <c r="F40" s="71" t="inlineStr">
        <is>
          <t>TX</t>
        </is>
      </c>
      <c r="G40" s="73" t="n">
        <v>1</v>
      </c>
      <c r="H40" s="74" t="n">
        <v>4.99</v>
      </c>
      <c r="I40" s="74">
        <f>G40*H40</f>
        <v/>
      </c>
      <c r="J40" s="74" t="n">
        <v>4.24</v>
      </c>
      <c r="K40" s="74">
        <f>I40-J40</f>
        <v/>
      </c>
      <c r="L40" s="71" t="inlineStr">
        <is>
          <t>USD</t>
        </is>
      </c>
    </row>
    <row r="41" ht="15" customHeight="1" s="40">
      <c r="A41" s="67" t="inlineStr">
        <is>
          <t>08/31/2026</t>
        </is>
      </c>
      <c r="B41" s="67" t="inlineStr">
        <is>
          <t>09/04/2026</t>
        </is>
      </c>
      <c r="C41" s="68" t="inlineStr">
        <is>
          <t>com.amuseum.sub.month.trial.3.price.5</t>
        </is>
      </c>
      <c r="D41" s="67" t="inlineStr">
        <is>
          <t>IAY</t>
        </is>
      </c>
      <c r="E41" s="67" t="inlineStr">
        <is>
          <t>US</t>
        </is>
      </c>
      <c r="F41" s="67" t="inlineStr">
        <is>
          <t>IL</t>
        </is>
      </c>
      <c r="G41" s="69" t="n">
        <v>1</v>
      </c>
      <c r="H41" s="70" t="n">
        <v>4.99</v>
      </c>
      <c r="I41" s="70">
        <f>G41*H41</f>
        <v/>
      </c>
      <c r="J41" s="70" t="n">
        <v>4.24</v>
      </c>
      <c r="K41" s="70">
        <f>I41-J41</f>
        <v/>
      </c>
      <c r="L41" s="67" t="inlineStr">
        <is>
          <t>USD</t>
        </is>
      </c>
    </row>
    <row r="42" ht="15" customHeight="1" s="40">
      <c r="A42" s="71" t="inlineStr">
        <is>
          <t>09/11/2026</t>
        </is>
      </c>
      <c r="B42" s="71" t="inlineStr">
        <is>
          <t>09/13/2026</t>
        </is>
      </c>
      <c r="C42" s="72" t="inlineStr">
        <is>
          <t>com.amuseum.sub.month.trial.3.price.5</t>
        </is>
      </c>
      <c r="D42" s="71" t="inlineStr">
        <is>
          <t>IAY</t>
        </is>
      </c>
      <c r="E42" s="71" t="inlineStr">
        <is>
          <t>US</t>
        </is>
      </c>
      <c r="F42" s="71" t="inlineStr">
        <is>
          <t>MN</t>
        </is>
      </c>
      <c r="G42" s="73" t="n">
        <v>1</v>
      </c>
      <c r="H42" s="74" t="n">
        <v>4.99</v>
      </c>
      <c r="I42" s="74">
        <f>G42*H42</f>
        <v/>
      </c>
      <c r="J42" s="74" t="n">
        <v>4.24</v>
      </c>
      <c r="K42" s="74">
        <f>I42-J42</f>
        <v/>
      </c>
      <c r="L42" s="71" t="inlineStr">
        <is>
          <t>USD</t>
        </is>
      </c>
    </row>
    <row r="43" ht="15" customHeight="1" s="40">
      <c r="A43" s="67" t="inlineStr">
        <is>
          <t>09/16/2026</t>
        </is>
      </c>
      <c r="B43" s="67" t="inlineStr">
        <is>
          <t>09/23/2026</t>
        </is>
      </c>
      <c r="C43" s="68" t="inlineStr">
        <is>
          <t>com.amuseum.sub.month.trial.3.price.5</t>
        </is>
      </c>
      <c r="D43" s="67" t="inlineStr">
        <is>
          <t>IAY</t>
        </is>
      </c>
      <c r="E43" s="67" t="inlineStr">
        <is>
          <t>US</t>
        </is>
      </c>
      <c r="F43" s="67" t="inlineStr">
        <is>
          <t>MA</t>
        </is>
      </c>
      <c r="G43" s="69" t="n">
        <v>1</v>
      </c>
      <c r="H43" s="70" t="n">
        <v>4.99</v>
      </c>
      <c r="I43" s="70">
        <f>G43*H43</f>
        <v/>
      </c>
      <c r="J43" s="70" t="n">
        <v>4.24</v>
      </c>
      <c r="K43" s="70">
        <f>I43-J43</f>
        <v/>
      </c>
      <c r="L43" s="67" t="inlineStr">
        <is>
          <t>USD</t>
        </is>
      </c>
    </row>
    <row r="44" ht="15" customHeight="1" s="40">
      <c r="A44" s="71" t="inlineStr">
        <is>
          <t>09/18/2026</t>
        </is>
      </c>
      <c r="B44" s="71" t="inlineStr">
        <is>
          <t>09/20/2026</t>
        </is>
      </c>
      <c r="C44" s="72" t="inlineStr">
        <is>
          <t>com.amuseum.sub.month.trial.3.price.5</t>
        </is>
      </c>
      <c r="D44" s="71" t="inlineStr">
        <is>
          <t>IAY</t>
        </is>
      </c>
      <c r="E44" s="71" t="inlineStr">
        <is>
          <t>US</t>
        </is>
      </c>
      <c r="F44" s="71" t="inlineStr">
        <is>
          <t>WA</t>
        </is>
      </c>
      <c r="G44" s="73" t="n">
        <v>1</v>
      </c>
      <c r="H44" s="74" t="n">
        <v>4.99</v>
      </c>
      <c r="I44" s="74">
        <f>G44*H44</f>
        <v/>
      </c>
      <c r="J44" s="74" t="n">
        <v>4.24</v>
      </c>
      <c r="K44" s="74">
        <f>I44-J44</f>
        <v/>
      </c>
      <c r="L44" s="71" t="inlineStr">
        <is>
          <t>USD</t>
        </is>
      </c>
    </row>
    <row r="45" ht="15" customHeight="1" s="40">
      <c r="A45" s="67" t="inlineStr">
        <is>
          <t>09/04/2026</t>
        </is>
      </c>
      <c r="B45" s="67" t="inlineStr">
        <is>
          <t>09/06/2026</t>
        </is>
      </c>
      <c r="C45" s="68" t="inlineStr">
        <is>
          <t>com.amuseum.sub.month.trial.3.price.5</t>
        </is>
      </c>
      <c r="D45" s="67" t="inlineStr">
        <is>
          <t>IAY</t>
        </is>
      </c>
      <c r="E45" s="67" t="inlineStr">
        <is>
          <t>US</t>
        </is>
      </c>
      <c r="F45" s="67" t="inlineStr">
        <is>
          <t>MO</t>
        </is>
      </c>
      <c r="G45" s="69" t="n">
        <v>1</v>
      </c>
      <c r="H45" s="70" t="n">
        <v>4.99</v>
      </c>
      <c r="I45" s="70">
        <f>G45*H45</f>
        <v/>
      </c>
      <c r="J45" s="70" t="n">
        <v>4.24</v>
      </c>
      <c r="K45" s="70">
        <f>I45-J45</f>
        <v/>
      </c>
      <c r="L45" s="67" t="inlineStr">
        <is>
          <t>USD</t>
        </is>
      </c>
    </row>
    <row r="46" ht="15" customHeight="1" s="40">
      <c r="A46" s="71" t="inlineStr">
        <is>
          <t>09/10/2026</t>
        </is>
      </c>
      <c r="B46" s="71" t="inlineStr">
        <is>
          <t>09/14/2026</t>
        </is>
      </c>
      <c r="C46" s="72" t="inlineStr">
        <is>
          <t>com.amuseum.sub.month.trial.3.price.5</t>
        </is>
      </c>
      <c r="D46" s="71" t="inlineStr">
        <is>
          <t>IAY</t>
        </is>
      </c>
      <c r="E46" s="71" t="inlineStr">
        <is>
          <t>US</t>
        </is>
      </c>
      <c r="F46" s="71" t="inlineStr">
        <is>
          <t>CT</t>
        </is>
      </c>
      <c r="G46" s="73" t="n">
        <v>1</v>
      </c>
      <c r="H46" s="74" t="n">
        <v>4.99</v>
      </c>
      <c r="I46" s="74">
        <f>G46*H46</f>
        <v/>
      </c>
      <c r="J46" s="74" t="n">
        <v>4.24</v>
      </c>
      <c r="K46" s="74">
        <f>I46-J46</f>
        <v/>
      </c>
      <c r="L46" s="71" t="inlineStr">
        <is>
          <t>USD</t>
        </is>
      </c>
    </row>
    <row r="47" ht="15" customHeight="1" s="40">
      <c r="A47" s="67" t="inlineStr">
        <is>
          <t>08/30/2026</t>
        </is>
      </c>
      <c r="B47" s="67" t="inlineStr">
        <is>
          <t>09/03/2026</t>
        </is>
      </c>
      <c r="C47" s="68" t="inlineStr">
        <is>
          <t>com.amuseum.sub.month.trial.3.price.5</t>
        </is>
      </c>
      <c r="D47" s="67" t="inlineStr">
        <is>
          <t>IAY</t>
        </is>
      </c>
      <c r="E47" s="67" t="inlineStr">
        <is>
          <t>US</t>
        </is>
      </c>
      <c r="F47" s="67" t="inlineStr">
        <is>
          <t>PA</t>
        </is>
      </c>
      <c r="G47" s="69" t="n">
        <v>1</v>
      </c>
      <c r="H47" s="70" t="n">
        <v>4.99</v>
      </c>
      <c r="I47" s="70">
        <f>G47*H47</f>
        <v/>
      </c>
      <c r="J47" s="70" t="n">
        <v>4.24</v>
      </c>
      <c r="K47" s="70">
        <f>I47-J47</f>
        <v/>
      </c>
      <c r="L47" s="67" t="inlineStr">
        <is>
          <t>USD</t>
        </is>
      </c>
    </row>
    <row r="48" ht="15" customHeight="1" s="40">
      <c r="A48" s="71" t="inlineStr">
        <is>
          <t>09/16/2026</t>
        </is>
      </c>
      <c r="B48" s="71" t="inlineStr">
        <is>
          <t>09/16/2026</t>
        </is>
      </c>
      <c r="C48" s="72" t="inlineStr">
        <is>
          <t>com.amuseum.sub.month.trial.3.price.5</t>
        </is>
      </c>
      <c r="D48" s="71" t="inlineStr">
        <is>
          <t>IAY</t>
        </is>
      </c>
      <c r="E48" s="71" t="inlineStr">
        <is>
          <t>US</t>
        </is>
      </c>
      <c r="F48" s="71" t="inlineStr">
        <is>
          <t>CA</t>
        </is>
      </c>
      <c r="G48" s="73" t="n">
        <v>1</v>
      </c>
      <c r="H48" s="74" t="n">
        <v>4.99</v>
      </c>
      <c r="I48" s="74">
        <f>G48*H48</f>
        <v/>
      </c>
      <c r="J48" s="74" t="n">
        <v>4.24</v>
      </c>
      <c r="K48" s="74">
        <f>I48-J48</f>
        <v/>
      </c>
      <c r="L48" s="71" t="inlineStr">
        <is>
          <t>USD</t>
        </is>
      </c>
    </row>
    <row r="49" ht="15" customHeight="1" s="40">
      <c r="A49" s="67" t="inlineStr">
        <is>
          <t>09/20/2026</t>
        </is>
      </c>
      <c r="B49" s="67" t="inlineStr">
        <is>
          <t>09/24/2026</t>
        </is>
      </c>
      <c r="C49" s="68" t="inlineStr">
        <is>
          <t>com.amuseum.sub.month.trial.3.price.5</t>
        </is>
      </c>
      <c r="D49" s="67" t="inlineStr">
        <is>
          <t>IAY</t>
        </is>
      </c>
      <c r="E49" s="67" t="inlineStr">
        <is>
          <t>US</t>
        </is>
      </c>
      <c r="F49" s="67" t="inlineStr">
        <is>
          <t>TN</t>
        </is>
      </c>
      <c r="G49" s="69" t="n">
        <v>1</v>
      </c>
      <c r="H49" s="70" t="n">
        <v>4.99</v>
      </c>
      <c r="I49" s="70">
        <f>G49*H49</f>
        <v/>
      </c>
      <c r="J49" s="70" t="n">
        <v>4.24</v>
      </c>
      <c r="K49" s="70">
        <f>I49-J49</f>
        <v/>
      </c>
      <c r="L49" s="67" t="inlineStr">
        <is>
          <t>USD</t>
        </is>
      </c>
    </row>
    <row r="50" ht="15" customHeight="1" s="40">
      <c r="A50" s="71" t="inlineStr">
        <is>
          <t>09/09/2026</t>
        </is>
      </c>
      <c r="B50" s="71" t="inlineStr">
        <is>
          <t>09/19/2026</t>
        </is>
      </c>
      <c r="C50" s="72" t="inlineStr">
        <is>
          <t>com.amuseum.sub.month.trial.3.price.5</t>
        </is>
      </c>
      <c r="D50" s="71" t="inlineStr">
        <is>
          <t>IAY</t>
        </is>
      </c>
      <c r="E50" s="71" t="inlineStr">
        <is>
          <t>US</t>
        </is>
      </c>
      <c r="F50" s="71" t="inlineStr">
        <is>
          <t>ID</t>
        </is>
      </c>
      <c r="G50" s="73" t="n">
        <v>1</v>
      </c>
      <c r="H50" s="74" t="n">
        <v>4.99</v>
      </c>
      <c r="I50" s="74">
        <f>G50*H50</f>
        <v/>
      </c>
      <c r="J50" s="74" t="n">
        <v>4.24</v>
      </c>
      <c r="K50" s="74">
        <f>I50-J50</f>
        <v/>
      </c>
      <c r="L50" s="71" t="inlineStr">
        <is>
          <t>USD</t>
        </is>
      </c>
    </row>
    <row r="51" ht="15" customHeight="1" s="40">
      <c r="A51" s="67" t="inlineStr">
        <is>
          <t>08/28/2026</t>
        </is>
      </c>
      <c r="B51" s="67" t="inlineStr">
        <is>
          <t>09/02/2026</t>
        </is>
      </c>
      <c r="C51" s="68" t="inlineStr">
        <is>
          <t>com.amuseum.sub.month.trial.3.price.5</t>
        </is>
      </c>
      <c r="D51" s="67" t="inlineStr">
        <is>
          <t>IAY</t>
        </is>
      </c>
      <c r="E51" s="67" t="inlineStr">
        <is>
          <t>US</t>
        </is>
      </c>
      <c r="F51" s="67" t="inlineStr">
        <is>
          <t>CA</t>
        </is>
      </c>
      <c r="G51" s="69" t="n">
        <v>1</v>
      </c>
      <c r="H51" s="70" t="n">
        <v>4.99</v>
      </c>
      <c r="I51" s="70">
        <f>G51*H51</f>
        <v/>
      </c>
      <c r="J51" s="70" t="n">
        <v>4.24</v>
      </c>
      <c r="K51" s="70">
        <f>I51-J51</f>
        <v/>
      </c>
      <c r="L51" s="67" t="inlineStr">
        <is>
          <t>USD</t>
        </is>
      </c>
    </row>
    <row r="52" ht="15" customHeight="1" s="40">
      <c r="A52" s="71" t="inlineStr">
        <is>
          <t>09/01/2026</t>
        </is>
      </c>
      <c r="B52" s="71" t="inlineStr">
        <is>
          <t>09/01/2026</t>
        </is>
      </c>
      <c r="C52" s="72" t="inlineStr">
        <is>
          <t>com.amuseum.sub.month.trial.3.price.5</t>
        </is>
      </c>
      <c r="D52" s="71" t="inlineStr">
        <is>
          <t>IAY</t>
        </is>
      </c>
      <c r="E52" s="71" t="inlineStr">
        <is>
          <t>US</t>
        </is>
      </c>
      <c r="F52" s="71" t="inlineStr">
        <is>
          <t>CA</t>
        </is>
      </c>
      <c r="G52" s="73" t="n">
        <v>1</v>
      </c>
      <c r="H52" s="74" t="n">
        <v>4.99</v>
      </c>
      <c r="I52" s="74">
        <f>G52*H52</f>
        <v/>
      </c>
      <c r="J52" s="74" t="n">
        <v>4.24</v>
      </c>
      <c r="K52" s="74">
        <f>I52-J52</f>
        <v/>
      </c>
      <c r="L52" s="71" t="inlineStr">
        <is>
          <t>USD</t>
        </is>
      </c>
    </row>
    <row r="53" ht="15" customHeight="1" s="40">
      <c r="A53" s="67" t="inlineStr">
        <is>
          <t>09/08/2026</t>
        </is>
      </c>
      <c r="B53" s="67" t="inlineStr">
        <is>
          <t>09/18/2026</t>
        </is>
      </c>
      <c r="C53" s="68" t="inlineStr">
        <is>
          <t>com.amuseum.sub.month.trial.3.price.5</t>
        </is>
      </c>
      <c r="D53" s="67" t="inlineStr">
        <is>
          <t>IAY</t>
        </is>
      </c>
      <c r="E53" s="67" t="inlineStr">
        <is>
          <t>US</t>
        </is>
      </c>
      <c r="F53" s="67" t="inlineStr">
        <is>
          <t>IL</t>
        </is>
      </c>
      <c r="G53" s="69" t="n">
        <v>1</v>
      </c>
      <c r="H53" s="70" t="n">
        <v>4.99</v>
      </c>
      <c r="I53" s="70">
        <f>G53*H53</f>
        <v/>
      </c>
      <c r="J53" s="70" t="n">
        <v>4.24</v>
      </c>
      <c r="K53" s="70">
        <f>I53-J53</f>
        <v/>
      </c>
      <c r="L53" s="67" t="inlineStr">
        <is>
          <t>USD</t>
        </is>
      </c>
    </row>
    <row r="54" ht="15" customHeight="1" s="40">
      <c r="A54" s="71" t="inlineStr">
        <is>
          <t>09/06/2026</t>
        </is>
      </c>
      <c r="B54" s="71" t="inlineStr">
        <is>
          <t>09/15/2026</t>
        </is>
      </c>
      <c r="C54" s="72" t="inlineStr">
        <is>
          <t>com.amuseum.sub.month.trial.3.price.5</t>
        </is>
      </c>
      <c r="D54" s="71" t="inlineStr">
        <is>
          <t>IAY</t>
        </is>
      </c>
      <c r="E54" s="71" t="inlineStr">
        <is>
          <t>US</t>
        </is>
      </c>
      <c r="F54" s="71" t="inlineStr">
        <is>
          <t>MT</t>
        </is>
      </c>
      <c r="G54" s="73" t="n">
        <v>1</v>
      </c>
      <c r="H54" s="74" t="n">
        <v>4.99</v>
      </c>
      <c r="I54" s="74">
        <f>G54*H54</f>
        <v/>
      </c>
      <c r="J54" s="74" t="n">
        <v>4.24</v>
      </c>
      <c r="K54" s="74">
        <f>I54-J54</f>
        <v/>
      </c>
      <c r="L54" s="71" t="inlineStr">
        <is>
          <t>USD</t>
        </is>
      </c>
    </row>
    <row r="55" ht="15" customHeight="1" s="40">
      <c r="A55" s="67" t="inlineStr">
        <is>
          <t>09/17/2026</t>
        </is>
      </c>
      <c r="B55" s="67" t="inlineStr">
        <is>
          <t>09/19/2026</t>
        </is>
      </c>
      <c r="C55" s="68" t="inlineStr">
        <is>
          <t>com.amuseum.sub.month.trial.3.price.5</t>
        </is>
      </c>
      <c r="D55" s="67" t="inlineStr">
        <is>
          <t>IAY</t>
        </is>
      </c>
      <c r="E55" s="67" t="inlineStr">
        <is>
          <t>US</t>
        </is>
      </c>
      <c r="F55" s="67" t="inlineStr">
        <is>
          <t>GA</t>
        </is>
      </c>
      <c r="G55" s="69" t="n">
        <v>1</v>
      </c>
      <c r="H55" s="70" t="n">
        <v>4.99</v>
      </c>
      <c r="I55" s="70">
        <f>G55*H55</f>
        <v/>
      </c>
      <c r="J55" s="70" t="n">
        <v>4.24</v>
      </c>
      <c r="K55" s="70">
        <f>I55-J55</f>
        <v/>
      </c>
      <c r="L55" s="67" t="inlineStr">
        <is>
          <t>USD</t>
        </is>
      </c>
    </row>
    <row r="56" ht="15" customHeight="1" s="40">
      <c r="A56" s="71" t="inlineStr">
        <is>
          <t>09/22/2026</t>
        </is>
      </c>
      <c r="B56" s="71" t="inlineStr">
        <is>
          <t>09/26/2026</t>
        </is>
      </c>
      <c r="C56" s="72" t="inlineStr">
        <is>
          <t>com.amuseum.sub.month.trial.3.price.5</t>
        </is>
      </c>
      <c r="D56" s="71" t="inlineStr">
        <is>
          <t>IAY</t>
        </is>
      </c>
      <c r="E56" s="71" t="inlineStr">
        <is>
          <t>US</t>
        </is>
      </c>
      <c r="F56" s="71" t="inlineStr">
        <is>
          <t>GA</t>
        </is>
      </c>
      <c r="G56" s="73" t="n">
        <v>1</v>
      </c>
      <c r="H56" s="74" t="n">
        <v>4.99</v>
      </c>
      <c r="I56" s="74">
        <f>G56*H56</f>
        <v/>
      </c>
      <c r="J56" s="74" t="n">
        <v>4.24</v>
      </c>
      <c r="K56" s="74">
        <f>I56-J56</f>
        <v/>
      </c>
      <c r="L56" s="71" t="inlineStr">
        <is>
          <t>USD</t>
        </is>
      </c>
    </row>
    <row r="57" ht="15" customHeight="1" s="40">
      <c r="A57" s="67" t="inlineStr">
        <is>
          <t>09/11/2026</t>
        </is>
      </c>
      <c r="B57" s="67" t="inlineStr">
        <is>
          <t>09/21/2026</t>
        </is>
      </c>
      <c r="C57" s="68" t="inlineStr">
        <is>
          <t>com.amuseum.sub.month.trial.3.price.5</t>
        </is>
      </c>
      <c r="D57" s="67" t="inlineStr">
        <is>
          <t>IAY</t>
        </is>
      </c>
      <c r="E57" s="67" t="inlineStr">
        <is>
          <t>US</t>
        </is>
      </c>
      <c r="F57" s="67" t="inlineStr">
        <is>
          <t>IL</t>
        </is>
      </c>
      <c r="G57" s="69" t="n">
        <v>1</v>
      </c>
      <c r="H57" s="70" t="n">
        <v>4.99</v>
      </c>
      <c r="I57" s="70">
        <f>G57*H57</f>
        <v/>
      </c>
      <c r="J57" s="70" t="n">
        <v>4.24</v>
      </c>
      <c r="K57" s="70">
        <f>I57-J57</f>
        <v/>
      </c>
      <c r="L57" s="67" t="inlineStr">
        <is>
          <t>USD</t>
        </is>
      </c>
    </row>
    <row r="58" ht="15" customHeight="1" s="40">
      <c r="A58" s="71" t="inlineStr">
        <is>
          <t>09/18/2026</t>
        </is>
      </c>
      <c r="B58" s="71" t="inlineStr">
        <is>
          <t>09/19/2026</t>
        </is>
      </c>
      <c r="C58" s="72" t="inlineStr">
        <is>
          <t>com.amuseum.sub.month.trial.3.price.5</t>
        </is>
      </c>
      <c r="D58" s="71" t="inlineStr">
        <is>
          <t>IAY</t>
        </is>
      </c>
      <c r="E58" s="71" t="inlineStr">
        <is>
          <t>US</t>
        </is>
      </c>
      <c r="F58" s="71" t="inlineStr">
        <is>
          <t>IN</t>
        </is>
      </c>
      <c r="G58" s="73" t="n">
        <v>1</v>
      </c>
      <c r="H58" s="74" t="n">
        <v>4.99</v>
      </c>
      <c r="I58" s="74">
        <f>G58*H58</f>
        <v/>
      </c>
      <c r="J58" s="74" t="n">
        <v>4.24</v>
      </c>
      <c r="K58" s="74">
        <f>I58-J58</f>
        <v/>
      </c>
      <c r="L58" s="71" t="inlineStr">
        <is>
          <t>USD</t>
        </is>
      </c>
    </row>
    <row r="59" ht="15" customHeight="1" s="40">
      <c r="A59" s="67" t="inlineStr">
        <is>
          <t>09/07/2026</t>
        </is>
      </c>
      <c r="B59" s="67" t="inlineStr">
        <is>
          <t>09/07/2026</t>
        </is>
      </c>
      <c r="C59" s="68" t="inlineStr">
        <is>
          <t>com.amuseum.sub.month.trial.3.price.5</t>
        </is>
      </c>
      <c r="D59" s="67" t="inlineStr">
        <is>
          <t>IAY</t>
        </is>
      </c>
      <c r="E59" s="67" t="inlineStr">
        <is>
          <t>US</t>
        </is>
      </c>
      <c r="F59" s="67" t="inlineStr">
        <is>
          <t>CA</t>
        </is>
      </c>
      <c r="G59" s="69" t="n">
        <v>1</v>
      </c>
      <c r="H59" s="70" t="n">
        <v>4.99</v>
      </c>
      <c r="I59" s="70">
        <f>G59*H59</f>
        <v/>
      </c>
      <c r="J59" s="70" t="n">
        <v>4.24</v>
      </c>
      <c r="K59" s="70">
        <f>I59-J59</f>
        <v/>
      </c>
      <c r="L59" s="67" t="inlineStr">
        <is>
          <t>USD</t>
        </is>
      </c>
    </row>
    <row r="60" ht="15" customHeight="1" s="40">
      <c r="A60" s="71" t="inlineStr">
        <is>
          <t>09/01/2026</t>
        </is>
      </c>
      <c r="B60" s="71" t="inlineStr">
        <is>
          <t>09/03/2026</t>
        </is>
      </c>
      <c r="C60" s="72" t="inlineStr">
        <is>
          <t>com.amuseum.sub.month.trial.3.price.5</t>
        </is>
      </c>
      <c r="D60" s="71" t="inlineStr">
        <is>
          <t>IAY</t>
        </is>
      </c>
      <c r="E60" s="71" t="inlineStr">
        <is>
          <t>US</t>
        </is>
      </c>
      <c r="F60" s="71" t="inlineStr">
        <is>
          <t>CA</t>
        </is>
      </c>
      <c r="G60" s="73" t="n">
        <v>2</v>
      </c>
      <c r="H60" s="74" t="n">
        <v>4.99</v>
      </c>
      <c r="I60" s="74">
        <f>G60*H60</f>
        <v/>
      </c>
      <c r="J60" s="74" t="n">
        <v>8.48</v>
      </c>
      <c r="K60" s="74">
        <f>I60-J60</f>
        <v/>
      </c>
      <c r="L60" s="71" t="inlineStr">
        <is>
          <t>USD</t>
        </is>
      </c>
    </row>
    <row r="61" ht="15" customHeight="1" s="40">
      <c r="A61" s="67" t="inlineStr">
        <is>
          <t>09/02/2026</t>
        </is>
      </c>
      <c r="B61" s="67" t="inlineStr">
        <is>
          <t>09/02/2026</t>
        </is>
      </c>
      <c r="C61" s="68" t="inlineStr">
        <is>
          <t>com.amuseum.sub.month.trial.3.price.5</t>
        </is>
      </c>
      <c r="D61" s="67" t="inlineStr">
        <is>
          <t>IAY</t>
        </is>
      </c>
      <c r="E61" s="67" t="inlineStr">
        <is>
          <t>US</t>
        </is>
      </c>
      <c r="F61" s="67" t="inlineStr">
        <is>
          <t>AZ</t>
        </is>
      </c>
      <c r="G61" s="69" t="n">
        <v>1</v>
      </c>
      <c r="H61" s="70" t="n">
        <v>4.99</v>
      </c>
      <c r="I61" s="70">
        <f>G61*H61</f>
        <v/>
      </c>
      <c r="J61" s="70" t="n">
        <v>4.24</v>
      </c>
      <c r="K61" s="70">
        <f>I61-J61</f>
        <v/>
      </c>
      <c r="L61" s="67" t="inlineStr">
        <is>
          <t>USD</t>
        </is>
      </c>
    </row>
    <row r="62" ht="15" customHeight="1" s="40">
      <c r="A62" s="71" t="inlineStr">
        <is>
          <t>08/26/2026</t>
        </is>
      </c>
      <c r="B62" s="71" t="inlineStr">
        <is>
          <t>09/05/2026</t>
        </is>
      </c>
      <c r="C62" s="72" t="inlineStr">
        <is>
          <t>com.amuseum.sub.month.trial.3.price.5</t>
        </is>
      </c>
      <c r="D62" s="71" t="inlineStr">
        <is>
          <t>IAY</t>
        </is>
      </c>
      <c r="E62" s="71" t="inlineStr">
        <is>
          <t>US</t>
        </is>
      </c>
      <c r="F62" s="71" t="inlineStr">
        <is>
          <t>NJ</t>
        </is>
      </c>
      <c r="G62" s="73" t="n">
        <v>1</v>
      </c>
      <c r="H62" s="74" t="n">
        <v>4.99</v>
      </c>
      <c r="I62" s="74">
        <f>G62*H62</f>
        <v/>
      </c>
      <c r="J62" s="74" t="n">
        <v>4.24</v>
      </c>
      <c r="K62" s="74">
        <f>I62-J62</f>
        <v/>
      </c>
      <c r="L62" s="71" t="inlineStr">
        <is>
          <t>USD</t>
        </is>
      </c>
    </row>
    <row r="63" ht="15" customHeight="1" s="40">
      <c r="A63" s="67" t="inlineStr">
        <is>
          <t>09/13/2026</t>
        </is>
      </c>
      <c r="B63" s="67" t="inlineStr">
        <is>
          <t>09/17/2026</t>
        </is>
      </c>
      <c r="C63" s="68" t="inlineStr">
        <is>
          <t>com.amuseum.sub.month.trial.3.price.5</t>
        </is>
      </c>
      <c r="D63" s="67" t="inlineStr">
        <is>
          <t>IAY</t>
        </is>
      </c>
      <c r="E63" s="67" t="inlineStr">
        <is>
          <t>US</t>
        </is>
      </c>
      <c r="F63" s="67" t="inlineStr">
        <is>
          <t>OH</t>
        </is>
      </c>
      <c r="G63" s="69" t="n">
        <v>1</v>
      </c>
      <c r="H63" s="70" t="n">
        <v>4.99</v>
      </c>
      <c r="I63" s="70">
        <f>G63*H63</f>
        <v/>
      </c>
      <c r="J63" s="70" t="n">
        <v>4.24</v>
      </c>
      <c r="K63" s="70">
        <f>I63-J63</f>
        <v/>
      </c>
      <c r="L63" s="67" t="inlineStr">
        <is>
          <t>USD</t>
        </is>
      </c>
    </row>
    <row r="64" ht="15" customHeight="1" s="40">
      <c r="A64" s="75" t="inlineStr">
        <is>
          <t>TOTAL</t>
        </is>
      </c>
      <c r="B64" s="62" t="n"/>
      <c r="C64" s="62" t="n"/>
      <c r="D64" s="62" t="n"/>
      <c r="E64" s="62" t="n"/>
      <c r="F64" s="62" t="n"/>
      <c r="G64" s="76">
        <f>SUM(G5:G63)</f>
        <v/>
      </c>
      <c r="H64" s="62" t="n"/>
      <c r="I64" s="62" t="n"/>
      <c r="J64" s="62" t="n"/>
      <c r="K64" s="62" t="n"/>
      <c r="L64" s="62" t="n"/>
    </row>
    <row r="65" s="40"/>
    <row r="66" ht="15" customHeight="1" s="40">
      <c r="A66" s="66" t="inlineStr">
        <is>
          <t>Amounts are in the currency shown in the final column; totals per currency are on the Summary tab.</t>
        </is>
      </c>
    </row>
    <row r="67" s="40"/>
    <row r="68" s="40"/>
    <row r="69" s="40"/>
    <row r="70" s="40"/>
    <row r="71" s="40"/>
    <row r="72" s="40"/>
    <row r="73" s="40"/>
    <row r="74" s="40"/>
    <row r="75" s="40"/>
    <row r="76" s="40"/>
    <row r="77" s="40"/>
    <row r="78" s="40"/>
    <row r="79" s="40"/>
    <row r="80" s="40"/>
    <row r="81" s="40"/>
    <row r="82" s="40"/>
    <row r="83" s="40"/>
    <row r="84"/>
    <row r="85" s="40"/>
  </sheetData>
  <mergeCells count="2">
    <mergeCell ref="A2:L2"/>
    <mergeCell ref="A1:L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39" min="1" max="1"/>
    <col width="20" customWidth="1" style="39" min="2" max="3"/>
    <col width="13" customWidth="1" style="39" min="4" max="4"/>
    <col width="22" customWidth="1" style="39" min="5" max="5"/>
    <col width="10" customWidth="1" style="39" min="6" max="6"/>
  </cols>
  <sheetData>
    <row r="1" ht="18.55" customHeight="1" s="40">
      <c r="A1" s="41" t="inlineStr">
        <is>
          <t>Reconciliation to Payment Report</t>
        </is>
      </c>
    </row>
    <row r="2" ht="15" customHeight="1" s="40">
      <c r="A2" s="42" t="inlineStr">
        <is>
          <t>Detailed financial report vs Payments and Financial Reports summary</t>
        </is>
      </c>
    </row>
    <row r="3"/>
    <row r="4" ht="31.5" customHeight="1" s="40">
      <c r="A4" s="47" t="inlineStr">
        <is>
          <t>Currency</t>
        </is>
      </c>
      <c r="B4" s="47" t="inlineStr">
        <is>
          <t>Partner Share
per detail (local)</t>
        </is>
      </c>
      <c r="C4" s="47" t="inlineStr">
        <is>
          <t>Total Owed
per payment report</t>
        </is>
      </c>
      <c r="D4" s="47" t="inlineStr">
        <is>
          <t>Difference</t>
        </is>
      </c>
      <c r="E4" s="47" t="inlineStr">
        <is>
          <t>Proceeds
per payment report (USD)</t>
        </is>
      </c>
      <c r="F4" s="47" t="inlineStr">
        <is>
          <t>Status</t>
        </is>
      </c>
    </row>
    <row r="5" ht="15" customHeight="1" s="40">
      <c r="A5" s="48" t="inlineStr">
        <is>
          <t>USD</t>
        </is>
      </c>
      <c r="B5" s="50" t="n">
        <v>178.08</v>
      </c>
      <c r="C5" s="50" t="n">
        <v>178.08</v>
      </c>
      <c r="D5" s="50">
        <f>IF(C5="","",B5-C5)</f>
        <v/>
      </c>
      <c r="E5" s="50" t="n">
        <v>178.08</v>
      </c>
      <c r="F5" s="48">
        <f>IF(C5="","PENDING",IF(ROUND(D5,2)=0,"OK","CHECK"))</f>
        <v/>
      </c>
    </row>
    <row r="6" ht="15" customHeight="1" s="40">
      <c r="A6" s="54" t="inlineStr">
        <is>
          <t>EUR</t>
        </is>
      </c>
      <c r="B6" s="56" t="n">
        <v>26.86</v>
      </c>
      <c r="C6" s="56" t="n">
        <v>26.86</v>
      </c>
      <c r="D6" s="56">
        <f>IF(C6="","",B6-C6)</f>
        <v/>
      </c>
      <c r="E6" s="56" t="n">
        <v>29.08</v>
      </c>
      <c r="F6" s="54">
        <f>IF(C6="","PENDING",IF(ROUND(D6,2)=0,"OK","CHECK"))</f>
        <v/>
      </c>
    </row>
    <row r="7" ht="15" customHeight="1" s="40">
      <c r="A7" s="48" t="inlineStr">
        <is>
          <t>CAD</t>
        </is>
      </c>
      <c r="B7" s="50" t="n">
        <v>16.56</v>
      </c>
      <c r="C7" s="50" t="n">
        <v>16.56</v>
      </c>
      <c r="D7" s="50">
        <f>IF(C7="","",B7-C7)</f>
        <v/>
      </c>
      <c r="E7" s="50" t="n">
        <v>12.18</v>
      </c>
      <c r="F7" s="48">
        <f>IF(C7="","PENDING",IF(ROUND(D7,2)=0,"OK","CHECK"))</f>
        <v/>
      </c>
    </row>
    <row r="8" ht="15" customHeight="1" s="40">
      <c r="A8" s="54" t="inlineStr">
        <is>
          <t>GBP</t>
        </is>
      </c>
      <c r="B8" s="56" t="n">
        <v>9.51</v>
      </c>
      <c r="C8" s="56" t="n">
        <v>9.51</v>
      </c>
      <c r="D8" s="56">
        <f>IF(C8="","",B8-C8)</f>
        <v/>
      </c>
      <c r="E8" s="56" t="n">
        <v>12.01</v>
      </c>
      <c r="F8" s="54">
        <f>IF(C8="","PENDING",IF(ROUND(D8,2)=0,"OK","CHECK"))</f>
        <v/>
      </c>
    </row>
    <row r="9" ht="15" customHeight="1" s="40">
      <c r="A9" s="48" t="inlineStr">
        <is>
          <t>NZD</t>
        </is>
      </c>
      <c r="B9" s="50" t="n">
        <v>12.56</v>
      </c>
      <c r="C9" s="50" t="n">
        <v>12.56</v>
      </c>
      <c r="D9" s="50">
        <f>IF(C9="","",B9-C9)</f>
        <v/>
      </c>
      <c r="E9" s="50" t="n">
        <v>7.54</v>
      </c>
      <c r="F9" s="48">
        <f>IF(C9="","PENDING",IF(ROUND(D9,2)=0,"OK","CHECK"))</f>
        <v/>
      </c>
    </row>
    <row r="10" ht="15" customHeight="1" s="40">
      <c r="A10" s="54" t="inlineStr">
        <is>
          <t>CHF</t>
        </is>
      </c>
      <c r="B10" s="56" t="n">
        <v>4.32</v>
      </c>
      <c r="C10" s="56" t="n">
        <v>4.32</v>
      </c>
      <c r="D10" s="56">
        <f>IF(C10="","",B10-C10)</f>
        <v/>
      </c>
      <c r="E10" s="56" t="n">
        <v>4.76</v>
      </c>
      <c r="F10" s="54">
        <f>IF(C10="","PENDING",IF(ROUND(D10,2)=0,"OK","CHECK"))</f>
        <v/>
      </c>
    </row>
    <row r="11" ht="15" customHeight="1" s="40">
      <c r="A11" s="48" t="inlineStr">
        <is>
          <t>NOK</t>
        </is>
      </c>
      <c r="B11" s="50" t="n">
        <v>37.4</v>
      </c>
      <c r="C11" s="50" t="n">
        <v>37.4</v>
      </c>
      <c r="D11" s="50">
        <f>IF(C11="","",B11-C11)</f>
        <v/>
      </c>
      <c r="E11" s="50" t="n">
        <v>3.47</v>
      </c>
      <c r="F11" s="48">
        <f>IF(C11="","PENDING",IF(ROUND(D11,2)=0,"OK","CHECK"))</f>
        <v/>
      </c>
    </row>
    <row r="12" ht="15" customHeight="1" s="40">
      <c r="A12" s="54" t="inlineStr">
        <is>
          <t>TRY</t>
        </is>
      </c>
      <c r="B12" s="56" t="n">
        <v>22.2</v>
      </c>
      <c r="C12" s="56" t="n">
        <v>22.2</v>
      </c>
      <c r="D12" s="56">
        <f>IF(C12="","",B12-C12)</f>
        <v/>
      </c>
      <c r="E12" s="56" t="n">
        <v>0.6899999999999999</v>
      </c>
      <c r="F12" s="54">
        <f>IF(C12="","PENDING",IF(ROUND(D12,2)=0,"OK","CHECK"))</f>
        <v/>
      </c>
    </row>
    <row r="13" ht="15" customHeight="1" s="40">
      <c r="A13" s="60" t="inlineStr">
        <is>
          <t>TOTAL</t>
        </is>
      </c>
      <c r="B13" s="62" t="n"/>
      <c r="C13" s="62" t="n"/>
      <c r="D13" s="62" t="n"/>
      <c r="E13" s="77">
        <f>SUM(E5:E12)</f>
        <v/>
      </c>
      <c r="F13" s="62" t="n"/>
    </row>
    <row r="14"/>
    <row r="15" ht="15" customHeight="1" s="40">
      <c r="A15" s="65" t="inlineStr">
        <is>
          <t>Expected payment per Apple: USD 247.81, to be remitted to REVOLUT BANK UAB ****8045 (not yet received). The TOTAL above must agree.</t>
        </is>
      </c>
    </row>
    <row r="16" ht="15" customHeight="1" s="40">
      <c r="A16" s="66" t="inlineStr">
        <is>
          <t>Payment is remitted within 45 days of the end of the fiscal month.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2026-09-23T14:33:26Z</dcterms:created>
  <dcterms:modified xmlns:dcterms="http://purl.org/dc/terms/" xmlns:xsi="http://www.w3.org/2001/XMLSchema-instance" xsi:type="dcterms:W3CDTF">2026-10-14T10:12:00Z</dcterms:modified>
  <cp:revision>0</cp:revision>
</cp:coreProperties>
</file>