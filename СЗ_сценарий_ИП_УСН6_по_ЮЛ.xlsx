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П УСН 6% по Ю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  <color rgb="001F4E78"/>
      <sz val="11"/>
    </font>
    <font>
      <name val="Arial"/>
      <color rgb="00808080"/>
      <sz val="9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7FB"/>
      </patternFill>
    </fill>
    <fill>
      <patternFill patternType="solid">
        <fgColor rgb="00DCE6F1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165" fontId="11" fillId="0" borderId="1" pivotButton="0" quotePrefix="0" xfId="0"/>
    <xf numFmtId="165" fontId="12" fillId="0" borderId="1" pivotButton="0" quotePrefix="0" xfId="0"/>
    <xf numFmtId="10" fontId="11" fillId="0" borderId="1" pivotButton="0" quotePrefix="0" xfId="0"/>
    <xf numFmtId="164" fontId="8" fillId="0" borderId="0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5" fontId="4" fillId="5" borderId="1" pivotButton="0" quotePrefix="0" xfId="0"/>
    <xf numFmtId="165" fontId="9" fillId="5" borderId="1" pivotButton="0" quotePrefix="0" xfId="0"/>
    <xf numFmtId="165" fontId="10" fillId="5" borderId="1" pivotButton="0" quotePrefix="0" xfId="0"/>
    <xf numFmtId="165" fontId="11" fillId="5" borderId="1" pivotButton="0" quotePrefix="0" xfId="0"/>
    <xf numFmtId="165" fontId="12" fillId="5" borderId="1" pivotButton="0" quotePrefix="0" xfId="0"/>
    <xf numFmtId="10" fontId="11" fillId="5" borderId="1" pivotButton="0" quotePrefix="0" xfId="0"/>
    <xf numFmtId="0" fontId="0" fillId="6" borderId="1" pivotButton="0" quotePrefix="0" xfId="0"/>
    <xf numFmtId="0" fontId="3" fillId="6" borderId="1" pivotButton="0" quotePrefix="0" xfId="0"/>
    <xf numFmtId="165" fontId="3" fillId="6" borderId="1" pivotButton="0" quotePrefix="0" xfId="0"/>
    <xf numFmtId="10" fontId="3" fillId="6" borderId="1" pivotButton="0" quotePrefix="0" xfId="0"/>
    <xf numFmtId="0" fontId="0" fillId="7" borderId="1" pivotButton="0" quotePrefix="0" xfId="0"/>
    <xf numFmtId="0" fontId="13" fillId="7" borderId="1" pivotButton="0" quotePrefix="0" xfId="0"/>
    <xf numFmtId="165" fontId="13" fillId="7" borderId="1" pivotButton="0" quotePrefix="0" xfId="0"/>
    <xf numFmtId="10" fontId="13" fillId="7" borderId="1" pivotButton="0" quotePrefix="0" xfId="0"/>
    <xf numFmtId="0" fontId="13" fillId="0" borderId="0" pivotButton="0" quotePrefix="0" xfId="0"/>
    <xf numFmtId="0" fontId="3" fillId="8" borderId="1" pivotButton="0" quotePrefix="0" xfId="0"/>
    <xf numFmtId="0" fontId="4" fillId="8" borderId="1" applyAlignment="1" pivotButton="0" quotePrefix="0" xfId="0">
      <alignment horizontal="center"/>
    </xf>
    <xf numFmtId="165" fontId="4" fillId="8" borderId="1" pivotButton="0" quotePrefix="0" xfId="0"/>
    <xf numFmtId="165" fontId="3" fillId="8" borderId="1" pivotButton="0" quotePrefix="0" xfId="0"/>
    <xf numFmtId="10" fontId="3" fillId="8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165" fontId="3" fillId="7" borderId="1" pivotButton="0" quotePrefix="0" xfId="0"/>
    <xf numFmtId="10" fontId="3" fillId="7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7" customWidth="1" min="4" max="4"/>
    <col width="11" customWidth="1" min="5" max="5"/>
    <col width="15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4" customWidth="1" min="15" max="15"/>
    <col width="19" customWidth="1" min="16" max="16"/>
    <col width="17" customWidth="1" min="17" max="17"/>
    <col width="17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16" customWidth="1" min="24" max="24"/>
    <col hidden="1" width="13" customWidth="1" min="25" max="25"/>
  </cols>
  <sheetData>
    <row r="1">
      <c r="A1" s="1" t="inlineStr">
        <is>
          <t>Сценарий «выплаты как ИП на УСН 6%»: те же 20 самозанятых, группировка по юр. лицу</t>
        </is>
      </c>
    </row>
    <row r="2">
      <c r="A2" s="2" t="inlineStr">
        <is>
          <t>Источник данных: таблица «СЗ_длительные_выплаты_по_ЮЛ_2022-2026». Столбцы 2022–2026 — фактическое «Итого к выплате» в режиме НПД, ₽.</t>
        </is>
      </c>
    </row>
    <row r="3">
      <c r="A3" s="2" t="inlineStr">
        <is>
          <t>Отбор тот же: статус «активен», выплаты продолжаются в 2026. Внутри каждого ЮЛ: по стажу по убыванию, далее по общей сумме по убыванию.</t>
        </is>
      </c>
    </row>
    <row r="4">
      <c r="A4" s="3" t="inlineStr">
        <is>
          <t>ДОПУЩЕНИЯ (синие ячейки — можно менять, всё пересчитается):</t>
        </is>
      </c>
    </row>
    <row r="5">
      <c r="B5" s="4" t="inlineStr">
        <is>
          <t>Выплат в 2026 (мес.)</t>
        </is>
      </c>
      <c r="C5" s="5" t="n">
        <v>7</v>
      </c>
      <c r="D5" s="2" t="inlineStr">
        <is>
          <t>← 16.01, 13.02, 13.03, 15.04, 15.05, 15.06, 15.07</t>
        </is>
      </c>
    </row>
    <row r="6">
      <c r="B6" s="4" t="inlineStr">
        <is>
          <t>Ставка УСН «доходы»</t>
        </is>
      </c>
      <c r="C6" s="6" t="n">
        <v>0.06</v>
      </c>
      <c r="D6" s="2" t="inlineStr">
        <is>
          <t>← налог начисляется сверху: доход ИП = на руки ÷ (1 − 6%)</t>
        </is>
      </c>
    </row>
    <row r="7">
      <c r="B7" s="4" t="inlineStr">
        <is>
          <t>Месяцев ИП в 2026</t>
        </is>
      </c>
      <c r="C7" s="5" t="n">
        <v>5</v>
      </c>
      <c r="D7" s="2" t="inlineStr">
        <is>
          <t>← ИП открыт с 01.08.2026 → август–декабрь</t>
        </is>
      </c>
    </row>
    <row r="8">
      <c r="B8" s="4" t="inlineStr">
        <is>
          <t>Фикс. взносы ИП, 2026</t>
        </is>
      </c>
      <c r="C8" s="7" t="n">
        <v>57390</v>
      </c>
      <c r="D8" s="2" t="inlineStr">
        <is>
          <t>← ст. 430 НК РФ — СВЕРИТЬ с актуальной редакцией</t>
        </is>
      </c>
    </row>
    <row r="9">
      <c r="B9" s="4" t="inlineStr">
        <is>
          <t>Фикс. взносы ИП, 2027</t>
        </is>
      </c>
      <c r="C9" s="7" t="n">
        <v>61154</v>
      </c>
      <c r="D9" s="2" t="inlineStr">
        <is>
          <t>← ст. 430 НК РФ — СВЕРИТЬ с актуальной редакцией</t>
        </is>
      </c>
    </row>
    <row r="10">
      <c r="B10" s="4" t="inlineStr">
        <is>
          <t>Доп. взнос 1% с дохода свыше</t>
        </is>
      </c>
      <c r="C10" s="7" t="n">
        <v>300000</v>
      </c>
      <c r="D10" s="2" t="inlineStr">
        <is>
          <t>← порог при неполном годе НЕ пропорционируется</t>
        </is>
      </c>
    </row>
    <row r="11">
      <c r="B11" s="4" t="inlineStr">
        <is>
          <t>Ставка доп. взноса</t>
        </is>
      </c>
      <c r="C11" s="6" t="n">
        <v>0.01</v>
      </c>
      <c r="D11" s="2" t="inlineStr">
        <is>
          <t>← 1% с дохода свыше порога</t>
        </is>
      </c>
    </row>
    <row r="12">
      <c r="B12" s="4" t="inlineStr">
        <is>
          <t>Лимит доп. взноса, 2026</t>
        </is>
      </c>
      <c r="C12" s="7" t="n">
        <v>321818</v>
      </c>
      <c r="D12" s="2" t="inlineStr">
        <is>
          <t>← СВЕРИТЬ с актуальной редакцией</t>
        </is>
      </c>
    </row>
    <row r="13">
      <c r="B13" s="4" t="inlineStr">
        <is>
          <t>Лимит доп. взноса, 2027</t>
        </is>
      </c>
      <c r="C13" s="7" t="n">
        <v>342923</v>
      </c>
      <c r="D13" s="2" t="inlineStr">
        <is>
          <t>← СВЕРИТЬ с актуальной редакцией</t>
        </is>
      </c>
    </row>
    <row r="15" ht="58" customHeight="1">
      <c r="A15" s="8" t="inlineStr">
        <is>
          <t>№</t>
        </is>
      </c>
      <c r="B15" s="8" t="inlineStr">
        <is>
          <t>ФИО</t>
        </is>
      </c>
      <c r="C15" s="8" t="inlineStr">
        <is>
          <t>Проект</t>
        </is>
      </c>
      <c r="D15" s="8" t="inlineStr">
        <is>
          <t>ЮЛ</t>
        </is>
      </c>
      <c r="E15" s="8" t="inlineStr">
        <is>
          <t>Статус</t>
        </is>
      </c>
      <c r="F15" s="8" t="inlineStr">
        <is>
          <t>Период выплат</t>
        </is>
      </c>
      <c r="G15" s="8" t="inlineStr">
        <is>
          <t>Лет</t>
        </is>
      </c>
      <c r="H15" s="8" t="inlineStr">
        <is>
          <t>2022</t>
        </is>
      </c>
      <c r="I15" s="8" t="inlineStr">
        <is>
          <t>2023</t>
        </is>
      </c>
      <c r="J15" s="8" t="inlineStr">
        <is>
          <t>2024</t>
        </is>
      </c>
      <c r="K15" s="8" t="inlineStr">
        <is>
          <t>2025</t>
        </is>
      </c>
      <c r="L15" s="8" t="inlineStr">
        <is>
          <t>2026</t>
        </is>
      </c>
      <c r="M15" s="8" t="inlineStr">
        <is>
          <t>Итого 2022–2026</t>
        </is>
      </c>
      <c r="N15" s="8" t="inlineStr">
        <is>
          <t>Среднемес. на руки 2026</t>
        </is>
      </c>
      <c r="O15" s="8" t="inlineStr">
        <is>
          <t>УСН 6% в месяц</t>
        </is>
      </c>
      <c r="P15" s="8" t="inlineStr">
        <is>
          <t>Выплата ИП в месяц (доход)</t>
        </is>
      </c>
      <c r="Q15" s="8" t="inlineStr">
        <is>
          <t>Взносы 2026: фикс. часть (5/12)</t>
        </is>
      </c>
      <c r="R15" s="8" t="inlineStr">
        <is>
          <t>Взносы 2026: 1% свыше 300 тыс.</t>
        </is>
      </c>
      <c r="S15" s="8" t="inlineStr">
        <is>
          <t>Взносы 2026: итого</t>
        </is>
      </c>
      <c r="T15" s="8" t="inlineStr">
        <is>
          <t>Взносы 2027: фикс. часть</t>
        </is>
      </c>
      <c r="U15" s="8" t="inlineStr">
        <is>
          <t>Взносы 2027: 1% свыше 300 тыс.</t>
        </is>
      </c>
      <c r="V15" s="8" t="inlineStr">
        <is>
          <t>Взносы 2027: итого</t>
        </is>
      </c>
      <c r="W15" s="8" t="inlineStr">
        <is>
          <t>Нагрузка сверху, авг–дек 2026</t>
        </is>
      </c>
      <c r="X15" s="8" t="inlineStr">
        <is>
          <t>Нагрузка сверху, 2027</t>
        </is>
      </c>
    </row>
    <row r="16">
      <c r="A16" s="9" t="inlineStr">
        <is>
          <t>БВ — 15 чел.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</row>
    <row r="17">
      <c r="A17" s="11" t="n">
        <v>1</v>
      </c>
      <c r="B17" s="12" t="inlineStr">
        <is>
          <t>Глубокая Яна Ярославовна</t>
        </is>
      </c>
      <c r="C17" s="12" t="inlineStr">
        <is>
          <t>ТФМ (ПО)</t>
        </is>
      </c>
      <c r="D17" s="11" t="inlineStr">
        <is>
          <t>БВ</t>
        </is>
      </c>
      <c r="E17" s="11" t="inlineStr">
        <is>
          <t>активен</t>
        </is>
      </c>
      <c r="F17" s="11" t="inlineStr">
        <is>
          <t>2022–2026</t>
        </is>
      </c>
      <c r="G17" s="11" t="n">
        <v>5</v>
      </c>
      <c r="H17" s="13" t="n">
        <v>74734</v>
      </c>
      <c r="I17" s="13" t="n">
        <v>1277373</v>
      </c>
      <c r="J17" s="13" t="n">
        <v>2001199</v>
      </c>
      <c r="K17" s="13" t="n">
        <v>2541224</v>
      </c>
      <c r="L17" s="13" t="n">
        <v>1468449.18</v>
      </c>
      <c r="M17" s="14">
        <f>SUM(H17:L17)</f>
        <v/>
      </c>
      <c r="N17" s="14">
        <f>L17/$C$5*(1-Y17)</f>
        <v/>
      </c>
      <c r="O17" s="15">
        <f>N17/(1-$C$6)-N17</f>
        <v/>
      </c>
      <c r="P17" s="16">
        <f>N17+O17</f>
        <v/>
      </c>
      <c r="Q17" s="15">
        <f>$C$8*$C$7/12</f>
        <v/>
      </c>
      <c r="R17" s="15">
        <f>MIN($C$12,MAX(0,P17*$C$7-$C$10)*$C$11)</f>
        <v/>
      </c>
      <c r="S17" s="17">
        <f>Q17+R17</f>
        <v/>
      </c>
      <c r="T17" s="15">
        <f>$C$9</f>
        <v/>
      </c>
      <c r="U17" s="15">
        <f>MIN($C$13,MAX(0,P17*12-$C$10)*$C$11)</f>
        <v/>
      </c>
      <c r="V17" s="17">
        <f>T17+U17</f>
        <v/>
      </c>
      <c r="W17" s="18">
        <f>(O17*$C$7+S17)/(N17*$C$7)</f>
        <v/>
      </c>
      <c r="X17" s="18">
        <f>(O17*12+V17)/(N17*12)</f>
        <v/>
      </c>
      <c r="Y17" s="19" t="n">
        <v>0.06</v>
      </c>
    </row>
    <row r="18">
      <c r="A18" s="20" t="n">
        <v>2</v>
      </c>
      <c r="B18" s="21" t="inlineStr">
        <is>
          <t>Высочинский Даниил Сергеевич</t>
        </is>
      </c>
      <c r="C18" s="21" t="inlineStr">
        <is>
          <t>ТФМ (ОСП)</t>
        </is>
      </c>
      <c r="D18" s="20" t="inlineStr">
        <is>
          <t>БВ</t>
        </is>
      </c>
      <c r="E18" s="20" t="inlineStr">
        <is>
          <t>активен</t>
        </is>
      </c>
      <c r="F18" s="20" t="inlineStr">
        <is>
          <t>2022–2026</t>
        </is>
      </c>
      <c r="G18" s="20" t="n">
        <v>5</v>
      </c>
      <c r="H18" s="22" t="n">
        <v>43489</v>
      </c>
      <c r="I18" s="22" t="n">
        <v>715306.13</v>
      </c>
      <c r="J18" s="22" t="n">
        <v>1582317</v>
      </c>
      <c r="K18" s="22" t="n">
        <v>1778297</v>
      </c>
      <c r="L18" s="22" t="n">
        <v>1146293</v>
      </c>
      <c r="M18" s="23">
        <f>SUM(H18:L18)</f>
        <v/>
      </c>
      <c r="N18" s="23">
        <f>L18/$C$5*(1-Y18)</f>
        <v/>
      </c>
      <c r="O18" s="24">
        <f>N18/(1-$C$6)-N18</f>
        <v/>
      </c>
      <c r="P18" s="25">
        <f>N18+O18</f>
        <v/>
      </c>
      <c r="Q18" s="24">
        <f>$C$8*$C$7/12</f>
        <v/>
      </c>
      <c r="R18" s="24">
        <f>MIN($C$12,MAX(0,P18*$C$7-$C$10)*$C$11)</f>
        <v/>
      </c>
      <c r="S18" s="26">
        <f>Q18+R18</f>
        <v/>
      </c>
      <c r="T18" s="24">
        <f>$C$9</f>
        <v/>
      </c>
      <c r="U18" s="24">
        <f>MIN($C$13,MAX(0,P18*12-$C$10)*$C$11)</f>
        <v/>
      </c>
      <c r="V18" s="26">
        <f>T18+U18</f>
        <v/>
      </c>
      <c r="W18" s="27">
        <f>(O18*$C$7+S18)/(N18*$C$7)</f>
        <v/>
      </c>
      <c r="X18" s="27">
        <f>(O18*12+V18)/(N18*12)</f>
        <v/>
      </c>
      <c r="Y18" s="19" t="n">
        <v>0.06</v>
      </c>
    </row>
    <row r="19">
      <c r="A19" s="11" t="n">
        <v>3</v>
      </c>
      <c r="B19" s="12" t="inlineStr">
        <is>
          <t>Дроздова Мария Глебовна</t>
        </is>
      </c>
      <c r="C19" s="12" t="inlineStr">
        <is>
          <t>ТФМ (ОСП)</t>
        </is>
      </c>
      <c r="D19" s="11" t="inlineStr">
        <is>
          <t>БВ</t>
        </is>
      </c>
      <c r="E19" s="11" t="inlineStr">
        <is>
          <t>активен</t>
        </is>
      </c>
      <c r="F19" s="11" t="inlineStr">
        <is>
          <t>2022–2026</t>
        </is>
      </c>
      <c r="G19" s="11" t="n">
        <v>5</v>
      </c>
      <c r="H19" s="13" t="n">
        <v>41064</v>
      </c>
      <c r="I19" s="13" t="n">
        <v>637553</v>
      </c>
      <c r="J19" s="13" t="n">
        <v>1442457</v>
      </c>
      <c r="K19" s="13" t="n">
        <v>1784722</v>
      </c>
      <c r="L19" s="13" t="n">
        <v>1222167</v>
      </c>
      <c r="M19" s="14">
        <f>SUM(H19:L19)</f>
        <v/>
      </c>
      <c r="N19" s="14">
        <f>L19/$C$5*(1-Y19)</f>
        <v/>
      </c>
      <c r="O19" s="15">
        <f>N19/(1-$C$6)-N19</f>
        <v/>
      </c>
      <c r="P19" s="16">
        <f>N19+O19</f>
        <v/>
      </c>
      <c r="Q19" s="15">
        <f>$C$8*$C$7/12</f>
        <v/>
      </c>
      <c r="R19" s="15">
        <f>MIN($C$12,MAX(0,P19*$C$7-$C$10)*$C$11)</f>
        <v/>
      </c>
      <c r="S19" s="17">
        <f>Q19+R19</f>
        <v/>
      </c>
      <c r="T19" s="15">
        <f>$C$9</f>
        <v/>
      </c>
      <c r="U19" s="15">
        <f>MIN($C$13,MAX(0,P19*12-$C$10)*$C$11)</f>
        <v/>
      </c>
      <c r="V19" s="17">
        <f>T19+U19</f>
        <v/>
      </c>
      <c r="W19" s="18">
        <f>(O19*$C$7+S19)/(N19*$C$7)</f>
        <v/>
      </c>
      <c r="X19" s="18">
        <f>(O19*12+V19)/(N19*12)</f>
        <v/>
      </c>
      <c r="Y19" s="19" t="n">
        <v>0.06</v>
      </c>
    </row>
    <row r="20">
      <c r="A20" s="20" t="n">
        <v>4</v>
      </c>
      <c r="B20" s="21" t="inlineStr">
        <is>
          <t>Кузьмина Елена Игоревна</t>
        </is>
      </c>
      <c r="C20" s="21" t="inlineStr">
        <is>
          <t>ТФМ (ОСП)</t>
        </is>
      </c>
      <c r="D20" s="20" t="inlineStr">
        <is>
          <t>БВ</t>
        </is>
      </c>
      <c r="E20" s="20" t="inlineStr">
        <is>
          <t>активен</t>
        </is>
      </c>
      <c r="F20" s="20" t="inlineStr">
        <is>
          <t>2022–2026</t>
        </is>
      </c>
      <c r="G20" s="20" t="n">
        <v>5</v>
      </c>
      <c r="H20" s="22" t="n">
        <v>59574</v>
      </c>
      <c r="I20" s="22" t="n">
        <v>100638</v>
      </c>
      <c r="J20" s="22" t="n">
        <v>1253297</v>
      </c>
      <c r="K20" s="22" t="n">
        <v>115745</v>
      </c>
      <c r="L20" s="22" t="n">
        <v>1062722</v>
      </c>
      <c r="M20" s="23">
        <f>SUM(H20:L20)</f>
        <v/>
      </c>
      <c r="N20" s="23">
        <f>L20/$C$5*(1-Y20)</f>
        <v/>
      </c>
      <c r="O20" s="24">
        <f>N20/(1-$C$6)-N20</f>
        <v/>
      </c>
      <c r="P20" s="25">
        <f>N20+O20</f>
        <v/>
      </c>
      <c r="Q20" s="24">
        <f>$C$8*$C$7/12</f>
        <v/>
      </c>
      <c r="R20" s="24">
        <f>MIN($C$12,MAX(0,P20*$C$7-$C$10)*$C$11)</f>
        <v/>
      </c>
      <c r="S20" s="26">
        <f>Q20+R20</f>
        <v/>
      </c>
      <c r="T20" s="24">
        <f>$C$9</f>
        <v/>
      </c>
      <c r="U20" s="24">
        <f>MIN($C$13,MAX(0,P20*12-$C$10)*$C$11)</f>
        <v/>
      </c>
      <c r="V20" s="26">
        <f>T20+U20</f>
        <v/>
      </c>
      <c r="W20" s="27">
        <f>(O20*$C$7+S20)/(N20*$C$7)</f>
        <v/>
      </c>
      <c r="X20" s="27">
        <f>(O20*12+V20)/(N20*12)</f>
        <v/>
      </c>
      <c r="Y20" s="19" t="n">
        <v>0.06</v>
      </c>
    </row>
    <row r="21">
      <c r="A21" s="11" t="n">
        <v>5</v>
      </c>
      <c r="B21" s="12" t="inlineStr">
        <is>
          <t>Гатиатуллина Марина Эдуардовна</t>
        </is>
      </c>
      <c r="C21" s="12" t="inlineStr">
        <is>
          <t>Fansy</t>
        </is>
      </c>
      <c r="D21" s="11" t="inlineStr">
        <is>
          <t>БВ</t>
        </is>
      </c>
      <c r="E21" s="11" t="inlineStr">
        <is>
          <t>активен</t>
        </is>
      </c>
      <c r="F21" s="11" t="inlineStr">
        <is>
          <t>2023–2026</t>
        </is>
      </c>
      <c r="G21" s="11" t="n">
        <v>4</v>
      </c>
      <c r="H21" s="13" t="n">
        <v>0</v>
      </c>
      <c r="I21" s="13" t="n">
        <v>269105.17</v>
      </c>
      <c r="J21" s="13" t="n">
        <v>1743298</v>
      </c>
      <c r="K21" s="13" t="n">
        <v>1991245.01</v>
      </c>
      <c r="L21" s="13" t="n">
        <v>1192011.1</v>
      </c>
      <c r="M21" s="14">
        <f>SUM(H21:L21)</f>
        <v/>
      </c>
      <c r="N21" s="14">
        <f>L21/$C$5*(1-Y21)</f>
        <v/>
      </c>
      <c r="O21" s="15">
        <f>N21/(1-$C$6)-N21</f>
        <v/>
      </c>
      <c r="P21" s="16">
        <f>N21+O21</f>
        <v/>
      </c>
      <c r="Q21" s="15">
        <f>$C$8*$C$7/12</f>
        <v/>
      </c>
      <c r="R21" s="15">
        <f>MIN($C$12,MAX(0,P21*$C$7-$C$10)*$C$11)</f>
        <v/>
      </c>
      <c r="S21" s="17">
        <f>Q21+R21</f>
        <v/>
      </c>
      <c r="T21" s="15">
        <f>$C$9</f>
        <v/>
      </c>
      <c r="U21" s="15">
        <f>MIN($C$13,MAX(0,P21*12-$C$10)*$C$11)</f>
        <v/>
      </c>
      <c r="V21" s="17">
        <f>T21+U21</f>
        <v/>
      </c>
      <c r="W21" s="18">
        <f>(O21*$C$7+S21)/(N21*$C$7)</f>
        <v/>
      </c>
      <c r="X21" s="18">
        <f>(O21*12+V21)/(N21*12)</f>
        <v/>
      </c>
      <c r="Y21" s="19" t="n">
        <v>0.06</v>
      </c>
    </row>
    <row r="22">
      <c r="A22" s="20" t="n">
        <v>6</v>
      </c>
      <c r="B22" s="21" t="inlineStr">
        <is>
          <t>Оглезнева Полина Сергеевна</t>
        </is>
      </c>
      <c r="C22" s="21" t="inlineStr">
        <is>
          <t>ТФМ (ОСП)</t>
        </is>
      </c>
      <c r="D22" s="20" t="inlineStr">
        <is>
          <t>БВ</t>
        </is>
      </c>
      <c r="E22" s="20" t="inlineStr">
        <is>
          <t>активен</t>
        </is>
      </c>
      <c r="F22" s="20" t="inlineStr">
        <is>
          <t>2023–2026</t>
        </is>
      </c>
      <c r="G22" s="20" t="n">
        <v>4</v>
      </c>
      <c r="H22" s="22" t="n">
        <v>0</v>
      </c>
      <c r="I22" s="22" t="n">
        <v>140852</v>
      </c>
      <c r="J22" s="22" t="n">
        <v>205851</v>
      </c>
      <c r="K22" s="22" t="n">
        <v>2326991</v>
      </c>
      <c r="L22" s="22" t="n">
        <v>1574518</v>
      </c>
      <c r="M22" s="23">
        <f>SUM(H22:L22)</f>
        <v/>
      </c>
      <c r="N22" s="23">
        <f>L22/$C$5*(1-Y22)</f>
        <v/>
      </c>
      <c r="O22" s="24">
        <f>N22/(1-$C$6)-N22</f>
        <v/>
      </c>
      <c r="P22" s="25">
        <f>N22+O22</f>
        <v/>
      </c>
      <c r="Q22" s="24">
        <f>$C$8*$C$7/12</f>
        <v/>
      </c>
      <c r="R22" s="24">
        <f>MIN($C$12,MAX(0,P22*$C$7-$C$10)*$C$11)</f>
        <v/>
      </c>
      <c r="S22" s="26">
        <f>Q22+R22</f>
        <v/>
      </c>
      <c r="T22" s="24">
        <f>$C$9</f>
        <v/>
      </c>
      <c r="U22" s="24">
        <f>MIN($C$13,MAX(0,P22*12-$C$10)*$C$11)</f>
        <v/>
      </c>
      <c r="V22" s="26">
        <f>T22+U22</f>
        <v/>
      </c>
      <c r="W22" s="27">
        <f>(O22*$C$7+S22)/(N22*$C$7)</f>
        <v/>
      </c>
      <c r="X22" s="27">
        <f>(O22*12+V22)/(N22*12)</f>
        <v/>
      </c>
      <c r="Y22" s="19" t="n">
        <v>0.06</v>
      </c>
    </row>
    <row r="23">
      <c r="A23" s="11" t="n">
        <v>7</v>
      </c>
      <c r="B23" s="12" t="inlineStr">
        <is>
          <t>Бобрышева Татьяна Сергеевна</t>
        </is>
      </c>
      <c r="C23" s="12" t="inlineStr">
        <is>
          <t>ТФМ (ПО)</t>
        </is>
      </c>
      <c r="D23" s="11" t="inlineStr">
        <is>
          <t>БВ</t>
        </is>
      </c>
      <c r="E23" s="11" t="inlineStr">
        <is>
          <t>активен</t>
        </is>
      </c>
      <c r="F23" s="11" t="inlineStr">
        <is>
          <t>2023–2026</t>
        </is>
      </c>
      <c r="G23" s="11" t="n">
        <v>4</v>
      </c>
      <c r="H23" s="13" t="n">
        <v>0</v>
      </c>
      <c r="I23" s="13" t="n">
        <v>554372.52</v>
      </c>
      <c r="J23" s="13" t="n">
        <v>1016796.76</v>
      </c>
      <c r="K23" s="13" t="n">
        <v>1505710.52</v>
      </c>
      <c r="L23" s="13" t="n">
        <v>1082430.98</v>
      </c>
      <c r="M23" s="14">
        <f>SUM(H23:L23)</f>
        <v/>
      </c>
      <c r="N23" s="14">
        <f>L23/$C$5*(1-Y23)</f>
        <v/>
      </c>
      <c r="O23" s="15">
        <f>N23/(1-$C$6)-N23</f>
        <v/>
      </c>
      <c r="P23" s="16">
        <f>N23+O23</f>
        <v/>
      </c>
      <c r="Q23" s="15">
        <f>$C$8*$C$7/12</f>
        <v/>
      </c>
      <c r="R23" s="15">
        <f>MIN($C$12,MAX(0,P23*$C$7-$C$10)*$C$11)</f>
        <v/>
      </c>
      <c r="S23" s="17">
        <f>Q23+R23</f>
        <v/>
      </c>
      <c r="T23" s="15">
        <f>$C$9</f>
        <v/>
      </c>
      <c r="U23" s="15">
        <f>MIN($C$13,MAX(0,P23*12-$C$10)*$C$11)</f>
        <v/>
      </c>
      <c r="V23" s="17">
        <f>T23+U23</f>
        <v/>
      </c>
      <c r="W23" s="18">
        <f>(O23*$C$7+S23)/(N23*$C$7)</f>
        <v/>
      </c>
      <c r="X23" s="18">
        <f>(O23*12+V23)/(N23*12)</f>
        <v/>
      </c>
      <c r="Y23" s="19" t="n">
        <v>0.06</v>
      </c>
    </row>
    <row r="24">
      <c r="A24" s="20" t="n">
        <v>8</v>
      </c>
      <c r="B24" s="21" t="inlineStr">
        <is>
          <t>Абдуллина Аделина Линаровна</t>
        </is>
      </c>
      <c r="C24" s="21" t="inlineStr">
        <is>
          <t>Fansy</t>
        </is>
      </c>
      <c r="D24" s="20" t="inlineStr">
        <is>
          <t>БВ</t>
        </is>
      </c>
      <c r="E24" s="20" t="inlineStr">
        <is>
          <t>активен</t>
        </is>
      </c>
      <c r="F24" s="20" t="inlineStr">
        <is>
          <t>2023–2026</t>
        </is>
      </c>
      <c r="G24" s="20" t="n">
        <v>4</v>
      </c>
      <c r="H24" s="22" t="n">
        <v>0</v>
      </c>
      <c r="I24" s="22" t="n">
        <v>129104.22</v>
      </c>
      <c r="J24" s="22" t="n">
        <v>690632</v>
      </c>
      <c r="K24" s="22" t="n">
        <v>1072320</v>
      </c>
      <c r="L24" s="22" t="n">
        <v>755000</v>
      </c>
      <c r="M24" s="23">
        <f>SUM(H24:L24)</f>
        <v/>
      </c>
      <c r="N24" s="23">
        <f>L24/$C$5*(1-Y24)</f>
        <v/>
      </c>
      <c r="O24" s="24">
        <f>N24/(1-$C$6)-N24</f>
        <v/>
      </c>
      <c r="P24" s="25">
        <f>N24+O24</f>
        <v/>
      </c>
      <c r="Q24" s="24">
        <f>$C$8*$C$7/12</f>
        <v/>
      </c>
      <c r="R24" s="24">
        <f>MIN($C$12,MAX(0,P24*$C$7-$C$10)*$C$11)</f>
        <v/>
      </c>
      <c r="S24" s="26">
        <f>Q24+R24</f>
        <v/>
      </c>
      <c r="T24" s="24">
        <f>$C$9</f>
        <v/>
      </c>
      <c r="U24" s="24">
        <f>MIN($C$13,MAX(0,P24*12-$C$10)*$C$11)</f>
        <v/>
      </c>
      <c r="V24" s="26">
        <f>T24+U24</f>
        <v/>
      </c>
      <c r="W24" s="27">
        <f>(O24*$C$7+S24)/(N24*$C$7)</f>
        <v/>
      </c>
      <c r="X24" s="27">
        <f>(O24*12+V24)/(N24*12)</f>
        <v/>
      </c>
      <c r="Y24" s="19" t="n">
        <v>0</v>
      </c>
    </row>
    <row r="25">
      <c r="A25" s="11" t="n">
        <v>9</v>
      </c>
      <c r="B25" s="12" t="inlineStr">
        <is>
          <t>Демакова Дарья</t>
        </is>
      </c>
      <c r="C25" s="12" t="inlineStr">
        <is>
          <t>ТХ</t>
        </is>
      </c>
      <c r="D25" s="11" t="inlineStr">
        <is>
          <t>БВ</t>
        </is>
      </c>
      <c r="E25" s="11" t="inlineStr">
        <is>
          <t>активен</t>
        </is>
      </c>
      <c r="F25" s="11" t="inlineStr">
        <is>
          <t>2024–2026</t>
        </is>
      </c>
      <c r="G25" s="11" t="n">
        <v>3</v>
      </c>
      <c r="H25" s="13" t="n">
        <v>0</v>
      </c>
      <c r="I25" s="13" t="n">
        <v>0</v>
      </c>
      <c r="J25" s="13" t="n">
        <v>582823.1800000001</v>
      </c>
      <c r="K25" s="13" t="n">
        <v>1530724</v>
      </c>
      <c r="L25" s="13" t="n">
        <v>1167329</v>
      </c>
      <c r="M25" s="14">
        <f>SUM(H25:L25)</f>
        <v/>
      </c>
      <c r="N25" s="14">
        <f>L25/$C$5*(1-Y25)</f>
        <v/>
      </c>
      <c r="O25" s="15">
        <f>N25/(1-$C$6)-N25</f>
        <v/>
      </c>
      <c r="P25" s="16">
        <f>N25+O25</f>
        <v/>
      </c>
      <c r="Q25" s="15">
        <f>$C$8*$C$7/12</f>
        <v/>
      </c>
      <c r="R25" s="15">
        <f>MIN($C$12,MAX(0,P25*$C$7-$C$10)*$C$11)</f>
        <v/>
      </c>
      <c r="S25" s="17">
        <f>Q25+R25</f>
        <v/>
      </c>
      <c r="T25" s="15">
        <f>$C$9</f>
        <v/>
      </c>
      <c r="U25" s="15">
        <f>MIN($C$13,MAX(0,P25*12-$C$10)*$C$11)</f>
        <v/>
      </c>
      <c r="V25" s="17">
        <f>T25+U25</f>
        <v/>
      </c>
      <c r="W25" s="18">
        <f>(O25*$C$7+S25)/(N25*$C$7)</f>
        <v/>
      </c>
      <c r="X25" s="18">
        <f>(O25*12+V25)/(N25*12)</f>
        <v/>
      </c>
      <c r="Y25" s="19" t="n">
        <v>0.06</v>
      </c>
    </row>
    <row r="26">
      <c r="A26" s="20" t="n">
        <v>10</v>
      </c>
      <c r="B26" s="21" t="inlineStr">
        <is>
          <t>Кузнецова Светлана Дмитриевна</t>
        </is>
      </c>
      <c r="C26" s="21" t="inlineStr">
        <is>
          <t>ТФМ (ПО)</t>
        </is>
      </c>
      <c r="D26" s="20" t="inlineStr">
        <is>
          <t>БВ</t>
        </is>
      </c>
      <c r="E26" s="20" t="inlineStr">
        <is>
          <t>активен</t>
        </is>
      </c>
      <c r="F26" s="20" t="inlineStr">
        <is>
          <t>2024–2026</t>
        </is>
      </c>
      <c r="G26" s="20" t="n">
        <v>3</v>
      </c>
      <c r="H26" s="22" t="n">
        <v>0</v>
      </c>
      <c r="I26" s="22" t="n">
        <v>0</v>
      </c>
      <c r="J26" s="22" t="n">
        <v>1425506.19</v>
      </c>
      <c r="K26" s="22" t="n">
        <v>109043</v>
      </c>
      <c r="L26" s="22" t="n">
        <v>1145357.79</v>
      </c>
      <c r="M26" s="23">
        <f>SUM(H26:L26)</f>
        <v/>
      </c>
      <c r="N26" s="23">
        <f>L26/$C$5*(1-Y26)</f>
        <v/>
      </c>
      <c r="O26" s="24">
        <f>N26/(1-$C$6)-N26</f>
        <v/>
      </c>
      <c r="P26" s="25">
        <f>N26+O26</f>
        <v/>
      </c>
      <c r="Q26" s="24">
        <f>$C$8*$C$7/12</f>
        <v/>
      </c>
      <c r="R26" s="24">
        <f>MIN($C$12,MAX(0,P26*$C$7-$C$10)*$C$11)</f>
        <v/>
      </c>
      <c r="S26" s="26">
        <f>Q26+R26</f>
        <v/>
      </c>
      <c r="T26" s="24">
        <f>$C$9</f>
        <v/>
      </c>
      <c r="U26" s="24">
        <f>MIN($C$13,MAX(0,P26*12-$C$10)*$C$11)</f>
        <v/>
      </c>
      <c r="V26" s="26">
        <f>T26+U26</f>
        <v/>
      </c>
      <c r="W26" s="27">
        <f>(O26*$C$7+S26)/(N26*$C$7)</f>
        <v/>
      </c>
      <c r="X26" s="27">
        <f>(O26*12+V26)/(N26*12)</f>
        <v/>
      </c>
      <c r="Y26" s="19" t="n">
        <v>0.06</v>
      </c>
    </row>
    <row r="27">
      <c r="A27" s="11" t="n">
        <v>11</v>
      </c>
      <c r="B27" s="12" t="inlineStr">
        <is>
          <t>Нуруллина Анжелика Альбертовна</t>
        </is>
      </c>
      <c r="C27" s="12" t="inlineStr">
        <is>
          <t>Fansy</t>
        </is>
      </c>
      <c r="D27" s="11" t="inlineStr">
        <is>
          <t>БВ</t>
        </is>
      </c>
      <c r="E27" s="11" t="inlineStr">
        <is>
          <t>активен</t>
        </is>
      </c>
      <c r="F27" s="11" t="inlineStr">
        <is>
          <t>2024–2026</t>
        </is>
      </c>
      <c r="G27" s="11" t="n">
        <v>3</v>
      </c>
      <c r="H27" s="13" t="n">
        <v>0</v>
      </c>
      <c r="I27" s="13" t="n">
        <v>0</v>
      </c>
      <c r="J27" s="13" t="n">
        <v>338830</v>
      </c>
      <c r="K27" s="13" t="n">
        <v>1331065</v>
      </c>
      <c r="L27" s="13" t="n">
        <v>741701</v>
      </c>
      <c r="M27" s="14">
        <f>SUM(H27:L27)</f>
        <v/>
      </c>
      <c r="N27" s="14">
        <f>L27/$C$5*(1-Y27)</f>
        <v/>
      </c>
      <c r="O27" s="15">
        <f>N27/(1-$C$6)-N27</f>
        <v/>
      </c>
      <c r="P27" s="16">
        <f>N27+O27</f>
        <v/>
      </c>
      <c r="Q27" s="15">
        <f>$C$8*$C$7/12</f>
        <v/>
      </c>
      <c r="R27" s="15">
        <f>MIN($C$12,MAX(0,P27*$C$7-$C$10)*$C$11)</f>
        <v/>
      </c>
      <c r="S27" s="17">
        <f>Q27+R27</f>
        <v/>
      </c>
      <c r="T27" s="15">
        <f>$C$9</f>
        <v/>
      </c>
      <c r="U27" s="15">
        <f>MIN($C$13,MAX(0,P27*12-$C$10)*$C$11)</f>
        <v/>
      </c>
      <c r="V27" s="17">
        <f>T27+U27</f>
        <v/>
      </c>
      <c r="W27" s="18">
        <f>(O27*$C$7+S27)/(N27*$C$7)</f>
        <v/>
      </c>
      <c r="X27" s="18">
        <f>(O27*12+V27)/(N27*12)</f>
        <v/>
      </c>
      <c r="Y27" s="19" t="n">
        <v>0.06</v>
      </c>
    </row>
    <row r="28">
      <c r="A28" s="20" t="n">
        <v>12</v>
      </c>
      <c r="B28" s="21" t="inlineStr">
        <is>
          <t>Тупико Олег Николаевич</t>
        </is>
      </c>
      <c r="C28" s="21" t="inlineStr">
        <is>
          <t>ГК (общие)</t>
        </is>
      </c>
      <c r="D28" s="20" t="inlineStr">
        <is>
          <t>БВ</t>
        </is>
      </c>
      <c r="E28" s="20" t="inlineStr">
        <is>
          <t>активен</t>
        </is>
      </c>
      <c r="F28" s="20" t="inlineStr">
        <is>
          <t>2024–2026</t>
        </is>
      </c>
      <c r="G28" s="20" t="n">
        <v>3</v>
      </c>
      <c r="H28" s="22" t="n">
        <v>0</v>
      </c>
      <c r="I28" s="22" t="n">
        <v>0</v>
      </c>
      <c r="J28" s="22" t="n">
        <v>259907</v>
      </c>
      <c r="K28" s="22" t="n">
        <v>337036</v>
      </c>
      <c r="L28" s="22" t="n">
        <v>1219304</v>
      </c>
      <c r="M28" s="23">
        <f>SUM(H28:L28)</f>
        <v/>
      </c>
      <c r="N28" s="23">
        <f>L28/$C$5*(1-Y28)</f>
        <v/>
      </c>
      <c r="O28" s="24">
        <f>N28/(1-$C$6)-N28</f>
        <v/>
      </c>
      <c r="P28" s="25">
        <f>N28+O28</f>
        <v/>
      </c>
      <c r="Q28" s="24">
        <f>$C$8*$C$7/12</f>
        <v/>
      </c>
      <c r="R28" s="24">
        <f>MIN($C$12,MAX(0,P28*$C$7-$C$10)*$C$11)</f>
        <v/>
      </c>
      <c r="S28" s="26">
        <f>Q28+R28</f>
        <v/>
      </c>
      <c r="T28" s="24">
        <f>$C$9</f>
        <v/>
      </c>
      <c r="U28" s="24">
        <f>MIN($C$13,MAX(0,P28*12-$C$10)*$C$11)</f>
        <v/>
      </c>
      <c r="V28" s="26">
        <f>T28+U28</f>
        <v/>
      </c>
      <c r="W28" s="27">
        <f>(O28*$C$7+S28)/(N28*$C$7)</f>
        <v/>
      </c>
      <c r="X28" s="27">
        <f>(O28*12+V28)/(N28*12)</f>
        <v/>
      </c>
      <c r="Y28" s="19" t="n">
        <v>0.06</v>
      </c>
    </row>
    <row r="29">
      <c r="A29" s="11" t="n">
        <v>13</v>
      </c>
      <c r="B29" s="12" t="inlineStr">
        <is>
          <t>Лукьянова Вера Константиновна</t>
        </is>
      </c>
      <c r="C29" s="12" t="inlineStr">
        <is>
          <t>ТФМ (ПО)</t>
        </is>
      </c>
      <c r="D29" s="11" t="inlineStr">
        <is>
          <t>БВ</t>
        </is>
      </c>
      <c r="E29" s="11" t="inlineStr">
        <is>
          <t>активен</t>
        </is>
      </c>
      <c r="F29" s="11" t="inlineStr">
        <is>
          <t>2024–2026</t>
        </is>
      </c>
      <c r="G29" s="11" t="n">
        <v>3</v>
      </c>
      <c r="H29" s="13" t="n">
        <v>0</v>
      </c>
      <c r="I29" s="13" t="n">
        <v>0</v>
      </c>
      <c r="J29" s="13" t="n">
        <v>141702</v>
      </c>
      <c r="K29" s="13" t="n">
        <v>73617</v>
      </c>
      <c r="L29" s="13" t="n">
        <v>973404</v>
      </c>
      <c r="M29" s="14">
        <f>SUM(H29:L29)</f>
        <v/>
      </c>
      <c r="N29" s="14">
        <f>L29/$C$5*(1-Y29)</f>
        <v/>
      </c>
      <c r="O29" s="15">
        <f>N29/(1-$C$6)-N29</f>
        <v/>
      </c>
      <c r="P29" s="16">
        <f>N29+O29</f>
        <v/>
      </c>
      <c r="Q29" s="15">
        <f>$C$8*$C$7/12</f>
        <v/>
      </c>
      <c r="R29" s="15">
        <f>MIN($C$12,MAX(0,P29*$C$7-$C$10)*$C$11)</f>
        <v/>
      </c>
      <c r="S29" s="17">
        <f>Q29+R29</f>
        <v/>
      </c>
      <c r="T29" s="15">
        <f>$C$9</f>
        <v/>
      </c>
      <c r="U29" s="15">
        <f>MIN($C$13,MAX(0,P29*12-$C$10)*$C$11)</f>
        <v/>
      </c>
      <c r="V29" s="17">
        <f>T29+U29</f>
        <v/>
      </c>
      <c r="W29" s="18">
        <f>(O29*$C$7+S29)/(N29*$C$7)</f>
        <v/>
      </c>
      <c r="X29" s="18">
        <f>(O29*12+V29)/(N29*12)</f>
        <v/>
      </c>
      <c r="Y29" s="19" t="n">
        <v>0.06</v>
      </c>
    </row>
    <row r="30">
      <c r="A30" s="20" t="n">
        <v>14</v>
      </c>
      <c r="B30" s="21" t="inlineStr">
        <is>
          <t>Левашева Анна Алексеевна</t>
        </is>
      </c>
      <c r="C30" s="21" t="inlineStr">
        <is>
          <t>ТФМ (ПО)</t>
        </is>
      </c>
      <c r="D30" s="20" t="inlineStr">
        <is>
          <t>БВ</t>
        </is>
      </c>
      <c r="E30" s="20" t="inlineStr">
        <is>
          <t>активен</t>
        </is>
      </c>
      <c r="F30" s="20" t="inlineStr">
        <is>
          <t>2025–2026</t>
        </is>
      </c>
      <c r="G30" s="20" t="n">
        <v>2</v>
      </c>
      <c r="H30" s="22" t="n">
        <v>0</v>
      </c>
      <c r="I30" s="22" t="n">
        <v>0</v>
      </c>
      <c r="J30" s="22" t="n">
        <v>0</v>
      </c>
      <c r="K30" s="22" t="n">
        <v>798831.01</v>
      </c>
      <c r="L30" s="22" t="n">
        <v>1362100.09</v>
      </c>
      <c r="M30" s="23">
        <f>SUM(H30:L30)</f>
        <v/>
      </c>
      <c r="N30" s="23">
        <f>L30/$C$5*(1-Y30)</f>
        <v/>
      </c>
      <c r="O30" s="24">
        <f>N30/(1-$C$6)-N30</f>
        <v/>
      </c>
      <c r="P30" s="25">
        <f>N30+O30</f>
        <v/>
      </c>
      <c r="Q30" s="24">
        <f>$C$8*$C$7/12</f>
        <v/>
      </c>
      <c r="R30" s="24">
        <f>MIN($C$12,MAX(0,P30*$C$7-$C$10)*$C$11)</f>
        <v/>
      </c>
      <c r="S30" s="26">
        <f>Q30+R30</f>
        <v/>
      </c>
      <c r="T30" s="24">
        <f>$C$9</f>
        <v/>
      </c>
      <c r="U30" s="24">
        <f>MIN($C$13,MAX(0,P30*12-$C$10)*$C$11)</f>
        <v/>
      </c>
      <c r="V30" s="26">
        <f>T30+U30</f>
        <v/>
      </c>
      <c r="W30" s="27">
        <f>(O30*$C$7+S30)/(N30*$C$7)</f>
        <v/>
      </c>
      <c r="X30" s="27">
        <f>(O30*12+V30)/(N30*12)</f>
        <v/>
      </c>
      <c r="Y30" s="19" t="n">
        <v>0.06</v>
      </c>
    </row>
    <row r="31">
      <c r="A31" s="11" t="n">
        <v>15</v>
      </c>
      <c r="B31" s="12" t="inlineStr">
        <is>
          <t>Капустина Вероника Сергеевна</t>
        </is>
      </c>
      <c r="C31" s="12" t="inlineStr">
        <is>
          <t>ТФМ (ОСК)</t>
        </is>
      </c>
      <c r="D31" s="11" t="inlineStr">
        <is>
          <t>БВ</t>
        </is>
      </c>
      <c r="E31" s="11" t="inlineStr">
        <is>
          <t>активен</t>
        </is>
      </c>
      <c r="F31" s="11" t="inlineStr">
        <is>
          <t>2025–2026</t>
        </is>
      </c>
      <c r="G31" s="11" t="n">
        <v>2</v>
      </c>
      <c r="H31" s="13" t="n">
        <v>0</v>
      </c>
      <c r="I31" s="13" t="n">
        <v>0</v>
      </c>
      <c r="J31" s="13" t="n">
        <v>0</v>
      </c>
      <c r="K31" s="13" t="n">
        <v>214440.3</v>
      </c>
      <c r="L31" s="13" t="n">
        <v>1228052.73</v>
      </c>
      <c r="M31" s="14">
        <f>SUM(H31:L31)</f>
        <v/>
      </c>
      <c r="N31" s="14">
        <f>L31/$C$5*(1-Y31)</f>
        <v/>
      </c>
      <c r="O31" s="15">
        <f>N31/(1-$C$6)-N31</f>
        <v/>
      </c>
      <c r="P31" s="16">
        <f>N31+O31</f>
        <v/>
      </c>
      <c r="Q31" s="15">
        <f>$C$8*$C$7/12</f>
        <v/>
      </c>
      <c r="R31" s="15">
        <f>MIN($C$12,MAX(0,P31*$C$7-$C$10)*$C$11)</f>
        <v/>
      </c>
      <c r="S31" s="17">
        <f>Q31+R31</f>
        <v/>
      </c>
      <c r="T31" s="15">
        <f>$C$9</f>
        <v/>
      </c>
      <c r="U31" s="15">
        <f>MIN($C$13,MAX(0,P31*12-$C$10)*$C$11)</f>
        <v/>
      </c>
      <c r="V31" s="17">
        <f>T31+U31</f>
        <v/>
      </c>
      <c r="W31" s="18">
        <f>(O31*$C$7+S31)/(N31*$C$7)</f>
        <v/>
      </c>
      <c r="X31" s="18">
        <f>(O31*12+V31)/(N31*12)</f>
        <v/>
      </c>
      <c r="Y31" s="19" t="n">
        <v>0.06</v>
      </c>
    </row>
    <row r="32">
      <c r="A32" s="28" t="n"/>
      <c r="B32" s="29" t="inlineStr">
        <is>
          <t>Итого БВ</t>
        </is>
      </c>
      <c r="C32" s="28" t="n"/>
      <c r="D32" s="28" t="n"/>
      <c r="E32" s="28" t="n"/>
      <c r="F32" s="28" t="n"/>
      <c r="G32" s="28" t="n"/>
      <c r="H32" s="30">
        <f>SUM(H17:H31)</f>
        <v/>
      </c>
      <c r="I32" s="30">
        <f>SUM(I17:I31)</f>
        <v/>
      </c>
      <c r="J32" s="30">
        <f>SUM(J17:J31)</f>
        <v/>
      </c>
      <c r="K32" s="30">
        <f>SUM(K17:K31)</f>
        <v/>
      </c>
      <c r="L32" s="30">
        <f>SUM(L17:L31)</f>
        <v/>
      </c>
      <c r="M32" s="30">
        <f>SUM(M17:M31)</f>
        <v/>
      </c>
      <c r="N32" s="30">
        <f>SUM(N17:N31)</f>
        <v/>
      </c>
      <c r="O32" s="30">
        <f>SUM(O17:O31)</f>
        <v/>
      </c>
      <c r="P32" s="30">
        <f>SUM(P17:P31)</f>
        <v/>
      </c>
      <c r="Q32" s="30">
        <f>SUM(Q17:Q31)</f>
        <v/>
      </c>
      <c r="R32" s="30">
        <f>SUM(R17:R31)</f>
        <v/>
      </c>
      <c r="S32" s="30">
        <f>SUM(S17:S31)</f>
        <v/>
      </c>
      <c r="T32" s="30">
        <f>SUM(T17:T31)</f>
        <v/>
      </c>
      <c r="U32" s="30">
        <f>SUM(U17:U31)</f>
        <v/>
      </c>
      <c r="V32" s="30">
        <f>SUM(V17:V31)</f>
        <v/>
      </c>
      <c r="W32" s="31">
        <f>(O32*$C$7+S32)/(N32*$C$7)</f>
        <v/>
      </c>
      <c r="X32" s="31">
        <f>(O32*12+V32)/(N32*12)</f>
        <v/>
      </c>
    </row>
    <row r="34">
      <c r="A34" s="9" t="inlineStr">
        <is>
          <t>АС — 4 чел.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</row>
    <row r="35">
      <c r="A35" s="11" t="n">
        <v>16</v>
      </c>
      <c r="B35" s="12" t="inlineStr">
        <is>
          <t>Грудинин Алексей Сергеевич</t>
        </is>
      </c>
      <c r="C35" s="12" t="inlineStr">
        <is>
          <t>ТФМ (ПО)</t>
        </is>
      </c>
      <c r="D35" s="11" t="inlineStr">
        <is>
          <t>АС</t>
        </is>
      </c>
      <c r="E35" s="11" t="inlineStr">
        <is>
          <t>активен</t>
        </is>
      </c>
      <c r="F35" s="11" t="inlineStr">
        <is>
          <t>2022–2026</t>
        </is>
      </c>
      <c r="G35" s="11" t="n">
        <v>5</v>
      </c>
      <c r="H35" s="13" t="n">
        <v>267577.88</v>
      </c>
      <c r="I35" s="13" t="n">
        <v>960405.97</v>
      </c>
      <c r="J35" s="13" t="n">
        <v>1372957.36</v>
      </c>
      <c r="K35" s="13" t="n">
        <v>1558585.08</v>
      </c>
      <c r="L35" s="13" t="n">
        <v>938053.12</v>
      </c>
      <c r="M35" s="14">
        <f>SUM(H35:L35)</f>
        <v/>
      </c>
      <c r="N35" s="14">
        <f>L35/$C$5*(1-Y35)</f>
        <v/>
      </c>
      <c r="O35" s="15">
        <f>N35/(1-$C$6)-N35</f>
        <v/>
      </c>
      <c r="P35" s="16">
        <f>N35+O35</f>
        <v/>
      </c>
      <c r="Q35" s="15">
        <f>$C$8*$C$7/12</f>
        <v/>
      </c>
      <c r="R35" s="15">
        <f>MIN($C$12,MAX(0,P35*$C$7-$C$10)*$C$11)</f>
        <v/>
      </c>
      <c r="S35" s="17">
        <f>Q35+R35</f>
        <v/>
      </c>
      <c r="T35" s="15">
        <f>$C$9</f>
        <v/>
      </c>
      <c r="U35" s="15">
        <f>MIN($C$13,MAX(0,P35*12-$C$10)*$C$11)</f>
        <v/>
      </c>
      <c r="V35" s="17">
        <f>T35+U35</f>
        <v/>
      </c>
      <c r="W35" s="18">
        <f>(O35*$C$7+S35)/(N35*$C$7)</f>
        <v/>
      </c>
      <c r="X35" s="18">
        <f>(O35*12+V35)/(N35*12)</f>
        <v/>
      </c>
      <c r="Y35" s="19" t="n">
        <v>0.06</v>
      </c>
    </row>
    <row r="36">
      <c r="A36" s="20" t="n">
        <v>17</v>
      </c>
      <c r="B36" s="21" t="inlineStr">
        <is>
          <t>Репетенко Инна Эдуардовна</t>
        </is>
      </c>
      <c r="C36" s="21" t="inlineStr">
        <is>
          <t>ТФМ (ОРБ)</t>
        </is>
      </c>
      <c r="D36" s="20" t="inlineStr">
        <is>
          <t>АС</t>
        </is>
      </c>
      <c r="E36" s="20" t="inlineStr">
        <is>
          <t>активен</t>
        </is>
      </c>
      <c r="F36" s="20" t="inlineStr">
        <is>
          <t>2022–2026</t>
        </is>
      </c>
      <c r="G36" s="20" t="n">
        <v>5</v>
      </c>
      <c r="H36" s="22" t="n">
        <v>112190</v>
      </c>
      <c r="I36" s="22" t="n">
        <v>246600</v>
      </c>
      <c r="J36" s="22" t="n">
        <v>415655.93</v>
      </c>
      <c r="K36" s="22" t="n">
        <v>142973.52</v>
      </c>
      <c r="L36" s="22" t="n">
        <v>905821.35</v>
      </c>
      <c r="M36" s="23">
        <f>SUM(H36:L36)</f>
        <v/>
      </c>
      <c r="N36" s="23">
        <f>L36/$C$5*(1-Y36)</f>
        <v/>
      </c>
      <c r="O36" s="24">
        <f>N36/(1-$C$6)-N36</f>
        <v/>
      </c>
      <c r="P36" s="25">
        <f>N36+O36</f>
        <v/>
      </c>
      <c r="Q36" s="24">
        <f>$C$8*$C$7/12</f>
        <v/>
      </c>
      <c r="R36" s="24">
        <f>MIN($C$12,MAX(0,P36*$C$7-$C$10)*$C$11)</f>
        <v/>
      </c>
      <c r="S36" s="26">
        <f>Q36+R36</f>
        <v/>
      </c>
      <c r="T36" s="24">
        <f>$C$9</f>
        <v/>
      </c>
      <c r="U36" s="24">
        <f>MIN($C$13,MAX(0,P36*12-$C$10)*$C$11)</f>
        <v/>
      </c>
      <c r="V36" s="26">
        <f>T36+U36</f>
        <v/>
      </c>
      <c r="W36" s="27">
        <f>(O36*$C$7+S36)/(N36*$C$7)</f>
        <v/>
      </c>
      <c r="X36" s="27">
        <f>(O36*12+V36)/(N36*12)</f>
        <v/>
      </c>
      <c r="Y36" s="19" t="n">
        <v>0.06</v>
      </c>
    </row>
    <row r="37">
      <c r="A37" s="11" t="n">
        <v>18</v>
      </c>
      <c r="B37" s="12" t="inlineStr">
        <is>
          <t>Жиркова Валентина Александровна</t>
        </is>
      </c>
      <c r="C37" s="12" t="inlineStr">
        <is>
          <t>ТФМ (ПО)</t>
        </is>
      </c>
      <c r="D37" s="11" t="inlineStr">
        <is>
          <t>АС</t>
        </is>
      </c>
      <c r="E37" s="11" t="inlineStr">
        <is>
          <t>активен</t>
        </is>
      </c>
      <c r="F37" s="11" t="inlineStr">
        <is>
          <t>2023–2026</t>
        </is>
      </c>
      <c r="G37" s="11" t="n">
        <v>4</v>
      </c>
      <c r="H37" s="13" t="n">
        <v>0</v>
      </c>
      <c r="I37" s="13" t="n">
        <v>257222.24</v>
      </c>
      <c r="J37" s="13" t="n">
        <v>1497661</v>
      </c>
      <c r="K37" s="13" t="n">
        <v>2201639.5</v>
      </c>
      <c r="L37" s="13" t="n">
        <v>1656517.19</v>
      </c>
      <c r="M37" s="14">
        <f>SUM(H37:L37)</f>
        <v/>
      </c>
      <c r="N37" s="14">
        <f>L37/$C$5*(1-Y37)</f>
        <v/>
      </c>
      <c r="O37" s="15">
        <f>N37/(1-$C$6)-N37</f>
        <v/>
      </c>
      <c r="P37" s="16">
        <f>N37+O37</f>
        <v/>
      </c>
      <c r="Q37" s="15">
        <f>$C$8*$C$7/12</f>
        <v/>
      </c>
      <c r="R37" s="15">
        <f>MIN($C$12,MAX(0,P37*$C$7-$C$10)*$C$11)</f>
        <v/>
      </c>
      <c r="S37" s="17">
        <f>Q37+R37</f>
        <v/>
      </c>
      <c r="T37" s="15">
        <f>$C$9</f>
        <v/>
      </c>
      <c r="U37" s="15">
        <f>MIN($C$13,MAX(0,P37*12-$C$10)*$C$11)</f>
        <v/>
      </c>
      <c r="V37" s="17">
        <f>T37+U37</f>
        <v/>
      </c>
      <c r="W37" s="18">
        <f>(O37*$C$7+S37)/(N37*$C$7)</f>
        <v/>
      </c>
      <c r="X37" s="18">
        <f>(O37*12+V37)/(N37*12)</f>
        <v/>
      </c>
      <c r="Y37" s="19" t="n">
        <v>0.06</v>
      </c>
    </row>
    <row r="38">
      <c r="A38" s="20" t="n">
        <v>19</v>
      </c>
      <c r="B38" s="21" t="inlineStr">
        <is>
          <t>Возмищева Ксения Дмитриевна</t>
        </is>
      </c>
      <c r="C38" s="21" t="inlineStr">
        <is>
          <t>ТФМ (ОРБ)</t>
        </is>
      </c>
      <c r="D38" s="20" t="inlineStr">
        <is>
          <t>АС</t>
        </is>
      </c>
      <c r="E38" s="20" t="inlineStr">
        <is>
          <t>активен</t>
        </is>
      </c>
      <c r="F38" s="20" t="inlineStr">
        <is>
          <t>2024–2026</t>
        </is>
      </c>
      <c r="G38" s="20" t="n">
        <v>3</v>
      </c>
      <c r="H38" s="22" t="n">
        <v>0</v>
      </c>
      <c r="I38" s="22" t="n">
        <v>0</v>
      </c>
      <c r="J38" s="22" t="n">
        <v>333311.66</v>
      </c>
      <c r="K38" s="22" t="n">
        <v>1347175.74</v>
      </c>
      <c r="L38" s="22" t="n">
        <v>1267879.25</v>
      </c>
      <c r="M38" s="23">
        <f>SUM(H38:L38)</f>
        <v/>
      </c>
      <c r="N38" s="23">
        <f>L38/$C$5*(1-Y38)</f>
        <v/>
      </c>
      <c r="O38" s="24">
        <f>N38/(1-$C$6)-N38</f>
        <v/>
      </c>
      <c r="P38" s="25">
        <f>N38+O38</f>
        <v/>
      </c>
      <c r="Q38" s="24">
        <f>$C$8*$C$7/12</f>
        <v/>
      </c>
      <c r="R38" s="24">
        <f>MIN($C$12,MAX(0,P38*$C$7-$C$10)*$C$11)</f>
        <v/>
      </c>
      <c r="S38" s="26">
        <f>Q38+R38</f>
        <v/>
      </c>
      <c r="T38" s="24">
        <f>$C$9</f>
        <v/>
      </c>
      <c r="U38" s="24">
        <f>MIN($C$13,MAX(0,P38*12-$C$10)*$C$11)</f>
        <v/>
      </c>
      <c r="V38" s="26">
        <f>T38+U38</f>
        <v/>
      </c>
      <c r="W38" s="27">
        <f>(O38*$C$7+S38)/(N38*$C$7)</f>
        <v/>
      </c>
      <c r="X38" s="27">
        <f>(O38*12+V38)/(N38*12)</f>
        <v/>
      </c>
      <c r="Y38" s="19" t="n">
        <v>0.06</v>
      </c>
    </row>
    <row r="39">
      <c r="A39" s="28" t="n"/>
      <c r="B39" s="29" t="inlineStr">
        <is>
          <t>Итого АС</t>
        </is>
      </c>
      <c r="C39" s="28" t="n"/>
      <c r="D39" s="28" t="n"/>
      <c r="E39" s="28" t="n"/>
      <c r="F39" s="28" t="n"/>
      <c r="G39" s="28" t="n"/>
      <c r="H39" s="30">
        <f>SUM(H35:H38)</f>
        <v/>
      </c>
      <c r="I39" s="30">
        <f>SUM(I35:I38)</f>
        <v/>
      </c>
      <c r="J39" s="30">
        <f>SUM(J35:J38)</f>
        <v/>
      </c>
      <c r="K39" s="30">
        <f>SUM(K35:K38)</f>
        <v/>
      </c>
      <c r="L39" s="30">
        <f>SUM(L35:L38)</f>
        <v/>
      </c>
      <c r="M39" s="30">
        <f>SUM(M35:M38)</f>
        <v/>
      </c>
      <c r="N39" s="30">
        <f>SUM(N35:N38)</f>
        <v/>
      </c>
      <c r="O39" s="30">
        <f>SUM(O35:O38)</f>
        <v/>
      </c>
      <c r="P39" s="30">
        <f>SUM(P35:P38)</f>
        <v/>
      </c>
      <c r="Q39" s="30">
        <f>SUM(Q35:Q38)</f>
        <v/>
      </c>
      <c r="R39" s="30">
        <f>SUM(R35:R38)</f>
        <v/>
      </c>
      <c r="S39" s="30">
        <f>SUM(S35:S38)</f>
        <v/>
      </c>
      <c r="T39" s="30">
        <f>SUM(T35:T38)</f>
        <v/>
      </c>
      <c r="U39" s="30">
        <f>SUM(U35:U38)</f>
        <v/>
      </c>
      <c r="V39" s="30">
        <f>SUM(V35:V38)</f>
        <v/>
      </c>
      <c r="W39" s="31">
        <f>(O39*$C$7+S39)/(N39*$C$7)</f>
        <v/>
      </c>
      <c r="X39" s="31">
        <f>(O39*12+V39)/(N39*12)</f>
        <v/>
      </c>
    </row>
    <row r="41">
      <c r="A41" s="9" t="inlineStr">
        <is>
          <t>ИП МТ — 1 чел.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</row>
    <row r="42">
      <c r="A42" s="11" t="n">
        <v>20</v>
      </c>
      <c r="B42" s="12" t="inlineStr">
        <is>
          <t>Злобин Николай Алексеевич</t>
        </is>
      </c>
      <c r="C42" s="12" t="inlineStr">
        <is>
          <t>Fansy</t>
        </is>
      </c>
      <c r="D42" s="11" t="inlineStr">
        <is>
          <t>ИП МТ</t>
        </is>
      </c>
      <c r="E42" s="11" t="inlineStr">
        <is>
          <t>активен</t>
        </is>
      </c>
      <c r="F42" s="11" t="inlineStr">
        <is>
          <t>2023–2026</t>
        </is>
      </c>
      <c r="G42" s="11" t="n">
        <v>4</v>
      </c>
      <c r="H42" s="13" t="n">
        <v>0</v>
      </c>
      <c r="I42" s="13" t="n">
        <v>231383</v>
      </c>
      <c r="J42" s="13" t="n">
        <v>2343163.34</v>
      </c>
      <c r="K42" s="13" t="n">
        <v>2601170</v>
      </c>
      <c r="L42" s="13" t="n">
        <v>1832861.81</v>
      </c>
      <c r="M42" s="14">
        <f>SUM(H42:L42)</f>
        <v/>
      </c>
      <c r="N42" s="14">
        <f>L42/$C$5*(1-Y42)</f>
        <v/>
      </c>
      <c r="O42" s="15">
        <f>N42/(1-$C$6)-N42</f>
        <v/>
      </c>
      <c r="P42" s="16">
        <f>N42+O42</f>
        <v/>
      </c>
      <c r="Q42" s="15">
        <f>$C$8*$C$7/12</f>
        <v/>
      </c>
      <c r="R42" s="15">
        <f>MIN($C$12,MAX(0,P42*$C$7-$C$10)*$C$11)</f>
        <v/>
      </c>
      <c r="S42" s="17">
        <f>Q42+R42</f>
        <v/>
      </c>
      <c r="T42" s="15">
        <f>$C$9</f>
        <v/>
      </c>
      <c r="U42" s="15">
        <f>MIN($C$13,MAX(0,P42*12-$C$10)*$C$11)</f>
        <v/>
      </c>
      <c r="V42" s="17">
        <f>T42+U42</f>
        <v/>
      </c>
      <c r="W42" s="18">
        <f>(O42*$C$7+S42)/(N42*$C$7)</f>
        <v/>
      </c>
      <c r="X42" s="18">
        <f>(O42*12+V42)/(N42*12)</f>
        <v/>
      </c>
      <c r="Y42" s="19" t="n">
        <v>0.06</v>
      </c>
    </row>
    <row r="43">
      <c r="A43" s="28" t="n"/>
      <c r="B43" s="29" t="inlineStr">
        <is>
          <t>Итого ИП МТ</t>
        </is>
      </c>
      <c r="C43" s="28" t="n"/>
      <c r="D43" s="28" t="n"/>
      <c r="E43" s="28" t="n"/>
      <c r="F43" s="28" t="n"/>
      <c r="G43" s="28" t="n"/>
      <c r="H43" s="30">
        <f>SUM(H42:H42)</f>
        <v/>
      </c>
      <c r="I43" s="30">
        <f>SUM(I42:I42)</f>
        <v/>
      </c>
      <c r="J43" s="30">
        <f>SUM(J42:J42)</f>
        <v/>
      </c>
      <c r="K43" s="30">
        <f>SUM(K42:K42)</f>
        <v/>
      </c>
      <c r="L43" s="30">
        <f>SUM(L42:L42)</f>
        <v/>
      </c>
      <c r="M43" s="30">
        <f>SUM(M42:M42)</f>
        <v/>
      </c>
      <c r="N43" s="30">
        <f>SUM(N42:N42)</f>
        <v/>
      </c>
      <c r="O43" s="30">
        <f>SUM(O42:O42)</f>
        <v/>
      </c>
      <c r="P43" s="30">
        <f>SUM(P42:P42)</f>
        <v/>
      </c>
      <c r="Q43" s="30">
        <f>SUM(Q42:Q42)</f>
        <v/>
      </c>
      <c r="R43" s="30">
        <f>SUM(R42:R42)</f>
        <v/>
      </c>
      <c r="S43" s="30">
        <f>SUM(S42:S42)</f>
        <v/>
      </c>
      <c r="T43" s="30">
        <f>SUM(T42:T42)</f>
        <v/>
      </c>
      <c r="U43" s="30">
        <f>SUM(U42:U42)</f>
        <v/>
      </c>
      <c r="V43" s="30">
        <f>SUM(V42:V42)</f>
        <v/>
      </c>
      <c r="W43" s="31">
        <f>(O43*$C$7+S43)/(N43*$C$7)</f>
        <v/>
      </c>
      <c r="X43" s="31">
        <f>(O43*12+V43)/(N43*12)</f>
        <v/>
      </c>
    </row>
    <row r="45">
      <c r="A45" s="32" t="n"/>
      <c r="B45" s="33" t="inlineStr">
        <is>
          <t>ВСЕГО (20 чел.)</t>
        </is>
      </c>
      <c r="C45" s="32" t="n"/>
      <c r="D45" s="32" t="n"/>
      <c r="E45" s="32" t="n"/>
      <c r="F45" s="32" t="n"/>
      <c r="G45" s="32" t="n"/>
      <c r="H45" s="34">
        <f>H32+H39+H43</f>
        <v/>
      </c>
      <c r="I45" s="34">
        <f>I32+I39+I43</f>
        <v/>
      </c>
      <c r="J45" s="34">
        <f>J32+J39+J43</f>
        <v/>
      </c>
      <c r="K45" s="34">
        <f>K32+K39+K43</f>
        <v/>
      </c>
      <c r="L45" s="34">
        <f>L32+L39+L43</f>
        <v/>
      </c>
      <c r="M45" s="34">
        <f>M32+M39+M43</f>
        <v/>
      </c>
      <c r="N45" s="34">
        <f>N32+N39+N43</f>
        <v/>
      </c>
      <c r="O45" s="34">
        <f>O32+O39+O43</f>
        <v/>
      </c>
      <c r="P45" s="34">
        <f>P32+P39+P43</f>
        <v/>
      </c>
      <c r="Q45" s="34">
        <f>Q32+Q39+Q43</f>
        <v/>
      </c>
      <c r="R45" s="34">
        <f>R32+R39+R43</f>
        <v/>
      </c>
      <c r="S45" s="34">
        <f>S32+S39+S43</f>
        <v/>
      </c>
      <c r="T45" s="34">
        <f>T32+T39+T43</f>
        <v/>
      </c>
      <c r="U45" s="34">
        <f>U32+U39+U43</f>
        <v/>
      </c>
      <c r="V45" s="34">
        <f>V32+V39+V43</f>
        <v/>
      </c>
      <c r="W45" s="35">
        <f>(O45*$C$7+S45)/(N45*$C$7)</f>
        <v/>
      </c>
      <c r="X45" s="35">
        <f>(O45*12+V45)/(N45*12)</f>
        <v/>
      </c>
    </row>
    <row r="47">
      <c r="A47" s="36" t="inlineStr">
        <is>
          <t>ПЛАНИРОВАНИЕ</t>
        </is>
      </c>
    </row>
    <row r="48" ht="42" customHeight="1">
      <c r="A48" s="8" t="inlineStr">
        <is>
          <t>Юр. лицо</t>
        </is>
      </c>
      <c r="B48" s="8" t="inlineStr">
        <is>
          <t>Чел.</t>
        </is>
      </c>
      <c r="C48" s="8" t="inlineStr">
        <is>
          <t>Выплаты ИП в месяц</t>
        </is>
      </c>
      <c r="D48" s="8" t="inlineStr">
        <is>
          <t>Выплаты авг–дек 2026</t>
        </is>
      </c>
      <c r="E48" s="8" t="inlineStr">
        <is>
          <t>Взносы 2026: фикс.</t>
        </is>
      </c>
      <c r="F48" s="8" t="inlineStr">
        <is>
          <t>Взносы 2026: 1%</t>
        </is>
      </c>
      <c r="G48" s="8" t="inlineStr">
        <is>
          <t>Итого расходы 2026</t>
        </is>
      </c>
      <c r="H48" s="8" t="inlineStr">
        <is>
          <t>Выплаты 2027 (12 мес.)</t>
        </is>
      </c>
      <c r="I48" s="8" t="inlineStr">
        <is>
          <t>Взносы 2027: фикс.</t>
        </is>
      </c>
      <c r="J48" s="8" t="inlineStr">
        <is>
          <t>Взносы 2027: 1%</t>
        </is>
      </c>
      <c r="K48" s="8" t="inlineStr">
        <is>
          <t>Итого расходы 2027</t>
        </is>
      </c>
      <c r="L48" s="8" t="inlineStr">
        <is>
          <t>Нагрузка 2026, %</t>
        </is>
      </c>
      <c r="M48" s="8" t="inlineStr">
        <is>
          <t>Нагрузка 2027, %</t>
        </is>
      </c>
    </row>
    <row r="49">
      <c r="A49" s="37" t="inlineStr">
        <is>
          <t>БВ</t>
        </is>
      </c>
      <c r="B49" s="38" t="n">
        <v>15</v>
      </c>
      <c r="C49" s="39">
        <f>P32</f>
        <v/>
      </c>
      <c r="D49" s="39">
        <f>P32*$C$7</f>
        <v/>
      </c>
      <c r="E49" s="39">
        <f>Q32</f>
        <v/>
      </c>
      <c r="F49" s="39">
        <f>R32</f>
        <v/>
      </c>
      <c r="G49" s="40">
        <f>P32*$C$7+S32</f>
        <v/>
      </c>
      <c r="H49" s="39">
        <f>P32*12</f>
        <v/>
      </c>
      <c r="I49" s="39">
        <f>T32</f>
        <v/>
      </c>
      <c r="J49" s="39">
        <f>U32</f>
        <v/>
      </c>
      <c r="K49" s="40">
        <f>P32*12+V32</f>
        <v/>
      </c>
      <c r="L49" s="41">
        <f>W32</f>
        <v/>
      </c>
      <c r="M49" s="41">
        <f>X32</f>
        <v/>
      </c>
    </row>
    <row r="50">
      <c r="A50" s="37" t="inlineStr">
        <is>
          <t>АС</t>
        </is>
      </c>
      <c r="B50" s="38" t="n">
        <v>4</v>
      </c>
      <c r="C50" s="39">
        <f>P39</f>
        <v/>
      </c>
      <c r="D50" s="39">
        <f>P39*$C$7</f>
        <v/>
      </c>
      <c r="E50" s="39">
        <f>Q39</f>
        <v/>
      </c>
      <c r="F50" s="39">
        <f>R39</f>
        <v/>
      </c>
      <c r="G50" s="40">
        <f>P39*$C$7+S39</f>
        <v/>
      </c>
      <c r="H50" s="39">
        <f>P39*12</f>
        <v/>
      </c>
      <c r="I50" s="39">
        <f>T39</f>
        <v/>
      </c>
      <c r="J50" s="39">
        <f>U39</f>
        <v/>
      </c>
      <c r="K50" s="40">
        <f>P39*12+V39</f>
        <v/>
      </c>
      <c r="L50" s="41">
        <f>W39</f>
        <v/>
      </c>
      <c r="M50" s="41">
        <f>X39</f>
        <v/>
      </c>
    </row>
    <row r="51">
      <c r="A51" s="37" t="inlineStr">
        <is>
          <t>ИП МТ</t>
        </is>
      </c>
      <c r="B51" s="38" t="n">
        <v>1</v>
      </c>
      <c r="C51" s="39">
        <f>P43</f>
        <v/>
      </c>
      <c r="D51" s="39">
        <f>P43*$C$7</f>
        <v/>
      </c>
      <c r="E51" s="39">
        <f>Q43</f>
        <v/>
      </c>
      <c r="F51" s="39">
        <f>R43</f>
        <v/>
      </c>
      <c r="G51" s="40">
        <f>P43*$C$7+S43</f>
        <v/>
      </c>
      <c r="H51" s="39">
        <f>P43*12</f>
        <v/>
      </c>
      <c r="I51" s="39">
        <f>T43</f>
        <v/>
      </c>
      <c r="J51" s="39">
        <f>U43</f>
        <v/>
      </c>
      <c r="K51" s="40">
        <f>P43*12+V43</f>
        <v/>
      </c>
      <c r="L51" s="41">
        <f>W43</f>
        <v/>
      </c>
      <c r="M51" s="41">
        <f>X43</f>
        <v/>
      </c>
    </row>
    <row r="52">
      <c r="A52" s="42" t="inlineStr">
        <is>
          <t>ИТОГО</t>
        </is>
      </c>
      <c r="B52" s="43" t="n">
        <v>20</v>
      </c>
      <c r="C52" s="44">
        <f>P45</f>
        <v/>
      </c>
      <c r="D52" s="44">
        <f>P45*$C$7</f>
        <v/>
      </c>
      <c r="E52" s="44">
        <f>Q45</f>
        <v/>
      </c>
      <c r="F52" s="44">
        <f>R45</f>
        <v/>
      </c>
      <c r="G52" s="44">
        <f>P45*$C$7+S45</f>
        <v/>
      </c>
      <c r="H52" s="44">
        <f>P45*12</f>
        <v/>
      </c>
      <c r="I52" s="44">
        <f>T45</f>
        <v/>
      </c>
      <c r="J52" s="44">
        <f>U45</f>
        <v/>
      </c>
      <c r="K52" s="44">
        <f>P45*12+V45</f>
        <v/>
      </c>
      <c r="L52" s="45">
        <f>W45</f>
        <v/>
      </c>
      <c r="M52" s="45">
        <f>X45</f>
        <v/>
      </c>
    </row>
    <row r="54">
      <c r="A54" s="46" t="inlineStr">
        <is>
          <t>Примечания</t>
        </is>
      </c>
    </row>
    <row r="55">
      <c r="A55" s="2" t="inlineStr">
        <is>
          <t>1. Сценарий гипотетический: те же люди и те же суммы «на руки», но выплаты оформляются как ИП на УСН «доходы» 6%, а не как самозанятым по НПД.</t>
        </is>
      </c>
    </row>
    <row r="56">
      <c r="A56" s="2" t="inlineStr">
        <is>
          <t>2. База «Среднемес. на руки 2026» перенесена из предыдущей таблицы: «Итого 2026» ÷ 7 × (1 − ставка НПД). Ставка НПД по каждому — в скрытом столбце Y.</t>
        </is>
      </c>
    </row>
    <row r="57">
      <c r="A57" s="2" t="inlineStr">
        <is>
          <t>3. УСН считается сверху, чтобы человек получил ту же сумму на руки: доход ИП = на руки ÷ (1 − 6%); налог = доход − на руки.</t>
        </is>
      </c>
    </row>
    <row r="58">
      <c r="A58" s="2" t="inlineStr">
        <is>
          <t>4. Взносы 2026 разбиты: фиксированная часть = 57 390 × 5/12 (ИП с 01.08.2026, одинакова у всех) + 1% с дохода свыше 300 000 ₽ (доход = выплата ИП × 5 мес.). Порог 300 000 ₽ при неполном годе НЕ пропорционируется.</t>
        </is>
      </c>
    </row>
    <row r="59">
      <c r="A59" s="2" t="inlineStr">
        <is>
          <t>5. Взносы 2027 разбиты: полная фиксированная часть за год (одинакова у всех) + 1% с дохода свыше 300 000 ₽ (доход = выплата ИП × 12 мес.).</t>
        </is>
      </c>
    </row>
    <row r="60">
      <c r="A60" s="2" t="inlineStr">
        <is>
          <t>6. «Нагрузка сверху, %» = (УСН + взносы) ÷ «на руки» за соответствующий период. Показывает, сколько мы платим сверх суммы, которую человек получает на руки.</t>
        </is>
      </c>
    </row>
    <row r="61">
      <c r="A61" s="2" t="inlineStr">
        <is>
          <t>7. Для сравнения: в текущем режиме НПД нагрузка сверху = 6 ÷ 94 = 6,38% (у Абдуллиной 0%, ставка НПД 0%). Разница со сценарием ИП — цена перехода.</t>
        </is>
      </c>
    </row>
    <row r="62">
      <c r="A62" s="2" t="inlineStr">
        <is>
          <t>8. Доп. взнос 1% ограничен лимитом (C12 и C13). Ни у кого из списка лимит не достигается.</t>
        </is>
      </c>
    </row>
    <row r="63">
      <c r="A63" s="2" t="inlineStr">
        <is>
          <t>9. ВАЖНО: суммы фиксированных взносов и лимитов (C8:C13) — по ст. 430 НК РФ. Обязательно сверьте с актуальной редакцией; при правке ячеек пересчитается весь расчёт.</t>
        </is>
      </c>
    </row>
    <row r="64">
      <c r="A64" s="2" t="inlineStr">
        <is>
          <t>10. Взносы платит сам ИП из своего дохода — в «выплату ИП в месяц» они не входят. В блоке «Итого расходы» они добавлены к выплатам как полная стоимость сценария.</t>
        </is>
      </c>
    </row>
    <row r="65">
      <c r="A65" s="2" t="inlineStr">
        <is>
          <t>11. Расходы 4dev (3%) и сбор ЮЛ Сингапура (2,5%) в этом сценарии не учитываются по условию задачи.</t>
        </is>
      </c>
    </row>
    <row r="66">
      <c r="A66" s="2" t="inlineStr">
        <is>
          <t>12. Левашева и Капустина получают выплаты 2 года (2025–2026) — под критерий «более 2 лет» не подходят, включены по отдельной просьбе.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2026-07-30T13:08:17Z</dcterms:created>
  <dcterms:modified xsi:type="dcterms:W3CDTF">2026-07-30T13:08:18Z</dcterms:modified>
</cp:coreProperties>
</file>