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 схе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;-"/>
  </numFmts>
  <fonts count="1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i val="1"/>
      <color rgb="00C55A11"/>
      <sz val="9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4E78"/>
      <sz val="11"/>
    </font>
    <font>
      <name val="Arial"/>
      <i val="1"/>
      <color rgb="00C55A11"/>
      <sz val="10"/>
    </font>
    <font>
      <name val="Arial"/>
      <color rgb="00808080"/>
      <sz val="9"/>
    </font>
    <font>
      <name val="Arial"/>
      <b val="1"/>
      <color rgb="001F4E78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808080"/>
      <sz val="10"/>
    </font>
    <font>
      <name val="Arial"/>
      <b val="1"/>
      <sz val="11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2E75B6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F7F7F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2F7FB"/>
      </patternFill>
    </fill>
    <fill>
      <patternFill patternType="solid">
        <fgColor rgb="00DCE6F1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164" fontId="6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8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8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9" borderId="1" pivotButton="0" quotePrefix="0" xfId="0"/>
    <xf numFmtId="0" fontId="0" fillId="9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165" fontId="10" fillId="10" borderId="1" pivotButton="0" quotePrefix="0" xfId="0"/>
    <xf numFmtId="165" fontId="12" fillId="0" borderId="1" pivotButton="0" quotePrefix="0" xfId="0"/>
    <xf numFmtId="165" fontId="13" fillId="0" borderId="1" pivotButton="0" quotePrefix="0" xfId="0"/>
    <xf numFmtId="165" fontId="14" fillId="0" borderId="1" pivotButton="0" quotePrefix="0" xfId="0"/>
    <xf numFmtId="165" fontId="15" fillId="0" borderId="1" pivotButton="0" quotePrefix="0" xfId="0"/>
    <xf numFmtId="164" fontId="11" fillId="0" borderId="0" pivotButton="0" quotePrefix="0" xfId="0"/>
    <xf numFmtId="0" fontId="5" fillId="11" borderId="1" applyAlignment="1" pivotButton="0" quotePrefix="0" xfId="0">
      <alignment horizontal="center"/>
    </xf>
    <xf numFmtId="0" fontId="5" fillId="11" borderId="1" pivotButton="0" quotePrefix="0" xfId="0"/>
    <xf numFmtId="165" fontId="5" fillId="11" borderId="1" pivotButton="0" quotePrefix="0" xfId="0"/>
    <xf numFmtId="165" fontId="12" fillId="11" borderId="1" pivotButton="0" quotePrefix="0" xfId="0"/>
    <xf numFmtId="165" fontId="13" fillId="11" borderId="1" pivotButton="0" quotePrefix="0" xfId="0"/>
    <xf numFmtId="165" fontId="14" fillId="11" borderId="1" pivotButton="0" quotePrefix="0" xfId="0"/>
    <xf numFmtId="165" fontId="15" fillId="11" borderId="1" pivotButton="0" quotePrefix="0" xfId="0"/>
    <xf numFmtId="0" fontId="0" fillId="12" borderId="1" pivotButton="0" quotePrefix="0" xfId="0"/>
    <xf numFmtId="0" fontId="4" fillId="12" borderId="1" pivotButton="0" quotePrefix="0" xfId="0"/>
    <xf numFmtId="165" fontId="4" fillId="12" borderId="1" pivotButton="0" quotePrefix="0" xfId="0"/>
    <xf numFmtId="0" fontId="0" fillId="13" borderId="1" pivotButton="0" quotePrefix="0" xfId="0"/>
    <xf numFmtId="0" fontId="16" fillId="13" borderId="1" pivotButton="0" quotePrefix="0" xfId="0"/>
    <xf numFmtId="165" fontId="16" fillId="13" borderId="1" pivotButton="0" quotePrefix="0" xfId="0"/>
    <xf numFmtId="0" fontId="16" fillId="0" borderId="0" pivotButton="0" quotePrefix="0" xfId="0"/>
    <xf numFmtId="0" fontId="4" fillId="14" borderId="1" pivotButton="0" quotePrefix="0" xfId="0"/>
    <xf numFmtId="0" fontId="5" fillId="14" borderId="1" applyAlignment="1" pivotButton="0" quotePrefix="0" xfId="0">
      <alignment horizontal="center"/>
    </xf>
    <xf numFmtId="165" fontId="5" fillId="14" borderId="1" pivotButton="0" quotePrefix="0" xfId="0"/>
    <xf numFmtId="165" fontId="4" fillId="14" borderId="1" pivotButton="0" quotePrefix="0" xfId="0"/>
    <xf numFmtId="0" fontId="4" fillId="13" borderId="1" pivotButton="0" quotePrefix="0" xfId="0"/>
    <xf numFmtId="0" fontId="4" fillId="13" borderId="1" applyAlignment="1" pivotButton="0" quotePrefix="0" xfId="0">
      <alignment horizontal="center"/>
    </xf>
    <xf numFmtId="165" fontId="4" fillId="13" borderId="1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7" customWidth="1" min="4" max="4"/>
    <col width="10" customWidth="1" min="5" max="5"/>
    <col width="10" customWidth="1" min="6" max="6"/>
    <col width="14" customWidth="1" min="7" max="7"/>
    <col width="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  <col width="13" customWidth="1" min="16" max="16"/>
    <col width="16" customWidth="1" min="17" max="17"/>
    <col width="15" customWidth="1" min="18" max="18"/>
    <col width="17" customWidth="1" min="19" max="19"/>
    <col width="13" customWidth="1" min="20" max="20"/>
    <col width="18" customWidth="1" min="21" max="21"/>
    <col width="14" customWidth="1" min="22" max="22"/>
    <col width="17" customWidth="1" min="23" max="23"/>
    <col width="14" customWidth="1" min="24" max="24"/>
    <col width="17" customWidth="1" min="25" max="25"/>
    <col width="14" customWidth="1" min="26" max="26"/>
    <col width="14" customWidth="1" min="27" max="27"/>
    <col width="14" customWidth="1" min="28" max="28"/>
    <col hidden="1" width="13" customWidth="1" min="30" max="30"/>
  </cols>
  <sheetData>
    <row r="1">
      <c r="A1" s="1" t="inlineStr">
        <is>
          <t>Сравнение схем выплат: напрямую самозанятому, через площадку 4dev, ИП на УСН 7%, ИП на АУСН 8%</t>
        </is>
      </c>
    </row>
    <row r="2">
      <c r="A2" s="2" t="inlineStr">
        <is>
          <t>Те же 20 человек, группировка по юр. лицу. Столбцы 2022–2026 — фактическое «Итого к выплате» в режиме НПД, ₽.</t>
        </is>
      </c>
    </row>
    <row r="3">
      <c r="A3" s="3" t="inlineStr">
        <is>
          <t>Ячейки с оранжевой заливкой в столбцах 2022–2026 собраны по отдельным строкам выплат: годовая сводная по этим людям в выгрузку не попала, суммы могут быть занижены.</t>
        </is>
      </c>
    </row>
    <row r="4">
      <c r="A4" s="4" t="inlineStr">
        <is>
          <t>ДОПУЩЕНИЯ (синие ячейки — можно менять, всё пересчитается). Ставка НПД берётся по каждому человеку из столбца E.</t>
        </is>
      </c>
    </row>
    <row r="5">
      <c r="B5" s="5" t="inlineStr">
        <is>
          <t>Выплат в 2026 (мес.)</t>
        </is>
      </c>
      <c r="C5" s="6" t="n">
        <v>7</v>
      </c>
      <c r="D5" s="2" t="inlineStr">
        <is>
          <t>← 16.01, 13.02, 13.03, 15.04, 15.05, 15.06, 15.07</t>
        </is>
      </c>
    </row>
    <row r="6">
      <c r="B6" s="5" t="inlineStr">
        <is>
          <t>Комиссия платформы 4dev</t>
        </is>
      </c>
      <c r="C6" s="7" t="n">
        <v>0.03</v>
      </c>
      <c r="D6" s="2" t="inlineStr">
        <is>
          <t>← начисляется сверху на «на руки»</t>
        </is>
      </c>
    </row>
    <row r="7">
      <c r="B7" s="5" t="inlineStr">
        <is>
          <t>Сбор ЮЛ Сингапура</t>
        </is>
      </c>
      <c r="C7" s="7" t="n">
        <v>0.025</v>
      </c>
      <c r="D7" s="2" t="inlineStr">
        <is>
          <t>← «на руки» делится на (1 − 2,5%) = 0,975</t>
        </is>
      </c>
    </row>
    <row r="8">
      <c r="B8" s="5" t="inlineStr">
        <is>
          <t>Ставка УСН «доходы»</t>
        </is>
      </c>
      <c r="C8" s="7" t="n">
        <v>0.07000000000000001</v>
      </c>
      <c r="D8" s="2" t="inlineStr">
        <is>
          <t>← налог сверху: выплата = на руки ÷ (1 − 7%)</t>
        </is>
      </c>
    </row>
    <row r="9">
      <c r="B9" s="5" t="inlineStr">
        <is>
          <t>Ставка АУСН «доходы»</t>
        </is>
      </c>
      <c r="C9" s="7" t="n">
        <v>0.08</v>
      </c>
      <c r="D9" s="2" t="inlineStr">
        <is>
          <t>← налог сверху: выплата = на руки ÷ (1 − 8%)</t>
        </is>
      </c>
    </row>
    <row r="11" ht="22" customHeight="1">
      <c r="A11" s="8" t="inlineStr">
        <is>
          <t>№</t>
        </is>
      </c>
      <c r="B11" s="8" t="inlineStr">
        <is>
          <t>ФИО</t>
        </is>
      </c>
      <c r="C11" s="8" t="inlineStr">
        <is>
          <t>Проект</t>
        </is>
      </c>
      <c r="D11" s="8" t="inlineStr">
        <is>
          <t>ЮЛ</t>
        </is>
      </c>
      <c r="E11" s="8" t="inlineStr">
        <is>
          <t>Ставка НПД</t>
        </is>
      </c>
      <c r="F11" s="8" t="inlineStr">
        <is>
          <t>Статус</t>
        </is>
      </c>
      <c r="G11" s="8" t="inlineStr">
        <is>
          <t>Период выплат</t>
        </is>
      </c>
      <c r="H11" s="8" t="inlineStr">
        <is>
          <t>Лет</t>
        </is>
      </c>
      <c r="I11" s="8" t="inlineStr">
        <is>
          <t>2022</t>
        </is>
      </c>
      <c r="J11" s="8" t="inlineStr">
        <is>
          <t>2023</t>
        </is>
      </c>
      <c r="K11" s="8" t="inlineStr">
        <is>
          <t>2024</t>
        </is>
      </c>
      <c r="L11" s="8" t="inlineStr">
        <is>
          <t>2025</t>
        </is>
      </c>
      <c r="M11" s="8" t="inlineStr">
        <is>
          <t>2026</t>
        </is>
      </c>
      <c r="N11" s="8" t="inlineStr">
        <is>
          <t>Итого 2022–2026</t>
        </is>
      </c>
      <c r="O11" s="8" t="inlineStr">
        <is>
          <t>Среднемес. на руки 2026</t>
        </is>
      </c>
      <c r="P11" s="9" t="inlineStr">
        <is>
          <t>Напрямую самозанятому (НПД)</t>
        </is>
      </c>
      <c r="Q11" s="10" t="n"/>
      <c r="R11" s="11" t="inlineStr">
        <is>
          <t>Через площадку 4dev</t>
        </is>
      </c>
      <c r="S11" s="12" t="n"/>
      <c r="T11" s="12" t="n"/>
      <c r="U11" s="12" t="n"/>
      <c r="V11" s="13" t="inlineStr">
        <is>
          <t>ИП на УСН 7%</t>
        </is>
      </c>
      <c r="W11" s="14" t="n"/>
      <c r="X11" s="15" t="inlineStr">
        <is>
          <t>ИП на АУСН 8%</t>
        </is>
      </c>
      <c r="Y11" s="16" t="n"/>
      <c r="Z11" s="17" t="inlineStr">
        <is>
          <t>Разница к НПД, в месяц</t>
        </is>
      </c>
      <c r="AA11" s="18" t="n"/>
      <c r="AB11" s="18" t="n"/>
    </row>
    <row r="12" ht="40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20" t="inlineStr">
        <is>
          <t>НПД</t>
        </is>
      </c>
      <c r="Q12" s="20" t="inlineStr">
        <is>
          <t>Выплата в месяц</t>
        </is>
      </c>
      <c r="R12" s="21" t="inlineStr">
        <is>
          <t>Комиссия 4dev 3%</t>
        </is>
      </c>
      <c r="S12" s="21" t="inlineStr">
        <is>
          <t>Сбор ЮЛ Сингапура 2,5%</t>
        </is>
      </c>
      <c r="T12" s="21" t="inlineStr">
        <is>
          <t>НПД</t>
        </is>
      </c>
      <c r="U12" s="21" t="inlineStr">
        <is>
          <t>ИТОГО к оплате в месяц</t>
        </is>
      </c>
      <c r="V12" s="22" t="inlineStr">
        <is>
          <t>Налог в месяц</t>
        </is>
      </c>
      <c r="W12" s="22" t="inlineStr">
        <is>
          <t>Выплата ИП в месяц</t>
        </is>
      </c>
      <c r="X12" s="23" t="inlineStr">
        <is>
          <t>Налог в месяц</t>
        </is>
      </c>
      <c r="Y12" s="23" t="inlineStr">
        <is>
          <t>Выплата ИП в месяц</t>
        </is>
      </c>
      <c r="Z12" s="24" t="inlineStr">
        <is>
          <t>4dev − НПД</t>
        </is>
      </c>
      <c r="AA12" s="24" t="inlineStr">
        <is>
          <t>УСН − НПД</t>
        </is>
      </c>
      <c r="AB12" s="24" t="inlineStr">
        <is>
          <t>АУСН − НПД</t>
        </is>
      </c>
    </row>
    <row r="13">
      <c r="A13" s="25" t="inlineStr">
        <is>
          <t>БВ — 15 чел.</t>
        </is>
      </c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</row>
    <row r="14">
      <c r="A14" s="27" t="n">
        <v>1</v>
      </c>
      <c r="B14" s="28" t="inlineStr">
        <is>
          <t>Глубокая Яна Ярославовна</t>
        </is>
      </c>
      <c r="C14" s="28" t="inlineStr">
        <is>
          <t>ТФМ (ПО)</t>
        </is>
      </c>
      <c r="D14" s="27" t="inlineStr">
        <is>
          <t>БВ</t>
        </is>
      </c>
      <c r="E14" s="27" t="inlineStr">
        <is>
          <t>6%</t>
        </is>
      </c>
      <c r="F14" s="27" t="inlineStr">
        <is>
          <t>активен</t>
        </is>
      </c>
      <c r="G14" s="27" t="inlineStr">
        <is>
          <t>2022–2026</t>
        </is>
      </c>
      <c r="H14" s="27" t="n">
        <v>5</v>
      </c>
      <c r="I14" s="29" t="n">
        <v>74734</v>
      </c>
      <c r="J14" s="29" t="n">
        <v>1277373</v>
      </c>
      <c r="K14" s="29" t="n">
        <v>2001199</v>
      </c>
      <c r="L14" s="29" t="n">
        <v>2541224</v>
      </c>
      <c r="M14" s="30" t="n">
        <v>1498062.1</v>
      </c>
      <c r="N14" s="31">
        <f>SUM(I14:M14)</f>
        <v/>
      </c>
      <c r="O14" s="31">
        <f>M14/$C$5*(1-$AD14)</f>
        <v/>
      </c>
      <c r="P14" s="32">
        <f>IF($AD14=0,0,O14/(1-$AD14)-O14)</f>
        <v/>
      </c>
      <c r="Q14" s="33">
        <f>O14+P14</f>
        <v/>
      </c>
      <c r="R14" s="32">
        <f>O14*$C$6</f>
        <v/>
      </c>
      <c r="S14" s="32">
        <f>O14/(1-$C$7)-O14</f>
        <v/>
      </c>
      <c r="T14" s="32">
        <f>IF($AD14=0,0,O14/(1-$AD14)-O14)</f>
        <v/>
      </c>
      <c r="U14" s="33">
        <f>O14+R14+S14+T14</f>
        <v/>
      </c>
      <c r="V14" s="32">
        <f>O14/(1-$C$8)-O14</f>
        <v/>
      </c>
      <c r="W14" s="33">
        <f>O14+V14</f>
        <v/>
      </c>
      <c r="X14" s="32">
        <f>O14/(1-$C$9)-O14</f>
        <v/>
      </c>
      <c r="Y14" s="33">
        <f>O14+X14</f>
        <v/>
      </c>
      <c r="Z14" s="34">
        <f>U14-Q14</f>
        <v/>
      </c>
      <c r="AA14" s="34">
        <f>W14-Q14</f>
        <v/>
      </c>
      <c r="AB14" s="34">
        <f>Y14-Q14</f>
        <v/>
      </c>
      <c r="AD14" s="35" t="n">
        <v>0.06</v>
      </c>
    </row>
    <row r="15">
      <c r="A15" s="36" t="n">
        <v>2</v>
      </c>
      <c r="B15" s="37" t="inlineStr">
        <is>
          <t>Высочинский Даниил Сергеевич</t>
        </is>
      </c>
      <c r="C15" s="37" t="inlineStr">
        <is>
          <t>ТФМ (ОСП)</t>
        </is>
      </c>
      <c r="D15" s="36" t="inlineStr">
        <is>
          <t>БВ</t>
        </is>
      </c>
      <c r="E15" s="36" t="inlineStr">
        <is>
          <t>6%</t>
        </is>
      </c>
      <c r="F15" s="36" t="inlineStr">
        <is>
          <t>активен</t>
        </is>
      </c>
      <c r="G15" s="36" t="inlineStr">
        <is>
          <t>2022–2026</t>
        </is>
      </c>
      <c r="H15" s="36" t="n">
        <v>5</v>
      </c>
      <c r="I15" s="38" t="n">
        <v>43489</v>
      </c>
      <c r="J15" s="38" t="n">
        <v>715306.13</v>
      </c>
      <c r="K15" s="38" t="n">
        <v>1582317</v>
      </c>
      <c r="L15" s="38" t="n">
        <v>1778297</v>
      </c>
      <c r="M15" s="38" t="n">
        <v>1146293</v>
      </c>
      <c r="N15" s="39">
        <f>SUM(I15:M15)</f>
        <v/>
      </c>
      <c r="O15" s="39">
        <f>M15/$C$5*(1-$AD15)</f>
        <v/>
      </c>
      <c r="P15" s="40">
        <f>IF($AD15=0,0,O15/(1-$AD15)-O15)</f>
        <v/>
      </c>
      <c r="Q15" s="41">
        <f>O15+P15</f>
        <v/>
      </c>
      <c r="R15" s="40">
        <f>O15*$C$6</f>
        <v/>
      </c>
      <c r="S15" s="40">
        <f>O15/(1-$C$7)-O15</f>
        <v/>
      </c>
      <c r="T15" s="40">
        <f>IF($AD15=0,0,O15/(1-$AD15)-O15)</f>
        <v/>
      </c>
      <c r="U15" s="41">
        <f>O15+R15+S15+T15</f>
        <v/>
      </c>
      <c r="V15" s="40">
        <f>O15/(1-$C$8)-O15</f>
        <v/>
      </c>
      <c r="W15" s="41">
        <f>O15+V15</f>
        <v/>
      </c>
      <c r="X15" s="40">
        <f>O15/(1-$C$9)-O15</f>
        <v/>
      </c>
      <c r="Y15" s="41">
        <f>O15+X15</f>
        <v/>
      </c>
      <c r="Z15" s="42">
        <f>U15-Q15</f>
        <v/>
      </c>
      <c r="AA15" s="42">
        <f>W15-Q15</f>
        <v/>
      </c>
      <c r="AB15" s="42">
        <f>Y15-Q15</f>
        <v/>
      </c>
      <c r="AD15" s="35" t="n">
        <v>0.06</v>
      </c>
    </row>
    <row r="16">
      <c r="A16" s="27" t="n">
        <v>3</v>
      </c>
      <c r="B16" s="28" t="inlineStr">
        <is>
          <t>Дроздова Мария Глебовна</t>
        </is>
      </c>
      <c r="C16" s="28" t="inlineStr">
        <is>
          <t>ТФМ (ОСП)</t>
        </is>
      </c>
      <c r="D16" s="27" t="inlineStr">
        <is>
          <t>БВ</t>
        </is>
      </c>
      <c r="E16" s="27" t="inlineStr">
        <is>
          <t>6%</t>
        </is>
      </c>
      <c r="F16" s="27" t="inlineStr">
        <is>
          <t>активен</t>
        </is>
      </c>
      <c r="G16" s="27" t="inlineStr">
        <is>
          <t>2022–2026</t>
        </is>
      </c>
      <c r="H16" s="27" t="n">
        <v>5</v>
      </c>
      <c r="I16" s="29" t="n">
        <v>41064</v>
      </c>
      <c r="J16" s="29" t="n">
        <v>637553</v>
      </c>
      <c r="K16" s="29" t="n">
        <v>1442457</v>
      </c>
      <c r="L16" s="29" t="n">
        <v>1784722</v>
      </c>
      <c r="M16" s="29" t="n">
        <v>1222167</v>
      </c>
      <c r="N16" s="31">
        <f>SUM(I16:M16)</f>
        <v/>
      </c>
      <c r="O16" s="31">
        <f>M16/$C$5*(1-$AD16)</f>
        <v/>
      </c>
      <c r="P16" s="32">
        <f>IF($AD16=0,0,O16/(1-$AD16)-O16)</f>
        <v/>
      </c>
      <c r="Q16" s="33">
        <f>O16+P16</f>
        <v/>
      </c>
      <c r="R16" s="32">
        <f>O16*$C$6</f>
        <v/>
      </c>
      <c r="S16" s="32">
        <f>O16/(1-$C$7)-O16</f>
        <v/>
      </c>
      <c r="T16" s="32">
        <f>IF($AD16=0,0,O16/(1-$AD16)-O16)</f>
        <v/>
      </c>
      <c r="U16" s="33">
        <f>O16+R16+S16+T16</f>
        <v/>
      </c>
      <c r="V16" s="32">
        <f>O16/(1-$C$8)-O16</f>
        <v/>
      </c>
      <c r="W16" s="33">
        <f>O16+V16</f>
        <v/>
      </c>
      <c r="X16" s="32">
        <f>O16/(1-$C$9)-O16</f>
        <v/>
      </c>
      <c r="Y16" s="33">
        <f>O16+X16</f>
        <v/>
      </c>
      <c r="Z16" s="34">
        <f>U16-Q16</f>
        <v/>
      </c>
      <c r="AA16" s="34">
        <f>W16-Q16</f>
        <v/>
      </c>
      <c r="AB16" s="34">
        <f>Y16-Q16</f>
        <v/>
      </c>
      <c r="AD16" s="35" t="n">
        <v>0.06</v>
      </c>
    </row>
    <row r="17">
      <c r="A17" s="36" t="n">
        <v>4</v>
      </c>
      <c r="B17" s="37" t="inlineStr">
        <is>
          <t>Кузьмина Елена Игоревна</t>
        </is>
      </c>
      <c r="C17" s="37" t="inlineStr">
        <is>
          <t>ТФМ (ОСП)</t>
        </is>
      </c>
      <c r="D17" s="36" t="inlineStr">
        <is>
          <t>БВ</t>
        </is>
      </c>
      <c r="E17" s="36" t="inlineStr">
        <is>
          <t>6%</t>
        </is>
      </c>
      <c r="F17" s="36" t="inlineStr">
        <is>
          <t>активен</t>
        </is>
      </c>
      <c r="G17" s="36" t="inlineStr">
        <is>
          <t>2022–2026</t>
        </is>
      </c>
      <c r="H17" s="36" t="n">
        <v>5</v>
      </c>
      <c r="I17" s="38" t="n">
        <v>59574</v>
      </c>
      <c r="J17" s="30" t="n">
        <v>100638</v>
      </c>
      <c r="K17" s="38" t="n">
        <v>1253297</v>
      </c>
      <c r="L17" s="30" t="n">
        <v>115745</v>
      </c>
      <c r="M17" s="38" t="n">
        <v>1062722</v>
      </c>
      <c r="N17" s="39">
        <f>SUM(I17:M17)</f>
        <v/>
      </c>
      <c r="O17" s="39">
        <f>M17/$C$5*(1-$AD17)</f>
        <v/>
      </c>
      <c r="P17" s="40">
        <f>IF($AD17=0,0,O17/(1-$AD17)-O17)</f>
        <v/>
      </c>
      <c r="Q17" s="41">
        <f>O17+P17</f>
        <v/>
      </c>
      <c r="R17" s="40">
        <f>O17*$C$6</f>
        <v/>
      </c>
      <c r="S17" s="40">
        <f>O17/(1-$C$7)-O17</f>
        <v/>
      </c>
      <c r="T17" s="40">
        <f>IF($AD17=0,0,O17/(1-$AD17)-O17)</f>
        <v/>
      </c>
      <c r="U17" s="41">
        <f>O17+R17+S17+T17</f>
        <v/>
      </c>
      <c r="V17" s="40">
        <f>O17/(1-$C$8)-O17</f>
        <v/>
      </c>
      <c r="W17" s="41">
        <f>O17+V17</f>
        <v/>
      </c>
      <c r="X17" s="40">
        <f>O17/(1-$C$9)-O17</f>
        <v/>
      </c>
      <c r="Y17" s="41">
        <f>O17+X17</f>
        <v/>
      </c>
      <c r="Z17" s="42">
        <f>U17-Q17</f>
        <v/>
      </c>
      <c r="AA17" s="42">
        <f>W17-Q17</f>
        <v/>
      </c>
      <c r="AB17" s="42">
        <f>Y17-Q17</f>
        <v/>
      </c>
      <c r="AD17" s="35" t="n">
        <v>0.06</v>
      </c>
    </row>
    <row r="18">
      <c r="A18" s="27" t="n">
        <v>5</v>
      </c>
      <c r="B18" s="28" t="inlineStr">
        <is>
          <t>Гатиатуллина Марина Эдуардовна</t>
        </is>
      </c>
      <c r="C18" s="28" t="inlineStr">
        <is>
          <t>Fansy</t>
        </is>
      </c>
      <c r="D18" s="27" t="inlineStr">
        <is>
          <t>БВ</t>
        </is>
      </c>
      <c r="E18" s="27" t="inlineStr">
        <is>
          <t>6%</t>
        </is>
      </c>
      <c r="F18" s="27" t="inlineStr">
        <is>
          <t>активен</t>
        </is>
      </c>
      <c r="G18" s="27" t="inlineStr">
        <is>
          <t>2023–2026</t>
        </is>
      </c>
      <c r="H18" s="27" t="n">
        <v>4</v>
      </c>
      <c r="I18" s="29" t="n">
        <v>0</v>
      </c>
      <c r="J18" s="29" t="n">
        <v>269105.17</v>
      </c>
      <c r="K18" s="29" t="n">
        <v>1743298</v>
      </c>
      <c r="L18" s="29" t="n">
        <v>1991245.01</v>
      </c>
      <c r="M18" s="29" t="n">
        <v>1192011.1</v>
      </c>
      <c r="N18" s="31">
        <f>SUM(I18:M18)</f>
        <v/>
      </c>
      <c r="O18" s="31">
        <f>M18/$C$5*(1-$AD18)</f>
        <v/>
      </c>
      <c r="P18" s="32">
        <f>IF($AD18=0,0,O18/(1-$AD18)-O18)</f>
        <v/>
      </c>
      <c r="Q18" s="33">
        <f>O18+P18</f>
        <v/>
      </c>
      <c r="R18" s="32">
        <f>O18*$C$6</f>
        <v/>
      </c>
      <c r="S18" s="32">
        <f>O18/(1-$C$7)-O18</f>
        <v/>
      </c>
      <c r="T18" s="32">
        <f>IF($AD18=0,0,O18/(1-$AD18)-O18)</f>
        <v/>
      </c>
      <c r="U18" s="33">
        <f>O18+R18+S18+T18</f>
        <v/>
      </c>
      <c r="V18" s="32">
        <f>O18/(1-$C$8)-O18</f>
        <v/>
      </c>
      <c r="W18" s="33">
        <f>O18+V18</f>
        <v/>
      </c>
      <c r="X18" s="32">
        <f>O18/(1-$C$9)-O18</f>
        <v/>
      </c>
      <c r="Y18" s="33">
        <f>O18+X18</f>
        <v/>
      </c>
      <c r="Z18" s="34">
        <f>U18-Q18</f>
        <v/>
      </c>
      <c r="AA18" s="34">
        <f>W18-Q18</f>
        <v/>
      </c>
      <c r="AB18" s="34">
        <f>Y18-Q18</f>
        <v/>
      </c>
      <c r="AD18" s="35" t="n">
        <v>0.06</v>
      </c>
    </row>
    <row r="19">
      <c r="A19" s="36" t="n">
        <v>6</v>
      </c>
      <c r="B19" s="37" t="inlineStr">
        <is>
          <t>Оглезнева Полина Сергеевна</t>
        </is>
      </c>
      <c r="C19" s="37" t="inlineStr">
        <is>
          <t>ТФМ (ОСП)</t>
        </is>
      </c>
      <c r="D19" s="36" t="inlineStr">
        <is>
          <t>БВ</t>
        </is>
      </c>
      <c r="E19" s="36" t="inlineStr">
        <is>
          <t>6%</t>
        </is>
      </c>
      <c r="F19" s="36" t="inlineStr">
        <is>
          <t>активен</t>
        </is>
      </c>
      <c r="G19" s="36" t="inlineStr">
        <is>
          <t>2023–2026</t>
        </is>
      </c>
      <c r="H19" s="36" t="n">
        <v>4</v>
      </c>
      <c r="I19" s="38" t="n">
        <v>0</v>
      </c>
      <c r="J19" s="30" t="n">
        <v>140852</v>
      </c>
      <c r="K19" s="30" t="n">
        <v>205851</v>
      </c>
      <c r="L19" s="30" t="n">
        <v>2326991</v>
      </c>
      <c r="M19" s="38" t="n">
        <v>1574518</v>
      </c>
      <c r="N19" s="39">
        <f>SUM(I19:M19)</f>
        <v/>
      </c>
      <c r="O19" s="39">
        <f>M19/$C$5*(1-$AD19)</f>
        <v/>
      </c>
      <c r="P19" s="40">
        <f>IF($AD19=0,0,O19/(1-$AD19)-O19)</f>
        <v/>
      </c>
      <c r="Q19" s="41">
        <f>O19+P19</f>
        <v/>
      </c>
      <c r="R19" s="40">
        <f>O19*$C$6</f>
        <v/>
      </c>
      <c r="S19" s="40">
        <f>O19/(1-$C$7)-O19</f>
        <v/>
      </c>
      <c r="T19" s="40">
        <f>IF($AD19=0,0,O19/(1-$AD19)-O19)</f>
        <v/>
      </c>
      <c r="U19" s="41">
        <f>O19+R19+S19+T19</f>
        <v/>
      </c>
      <c r="V19" s="40">
        <f>O19/(1-$C$8)-O19</f>
        <v/>
      </c>
      <c r="W19" s="41">
        <f>O19+V19</f>
        <v/>
      </c>
      <c r="X19" s="40">
        <f>O19/(1-$C$9)-O19</f>
        <v/>
      </c>
      <c r="Y19" s="41">
        <f>O19+X19</f>
        <v/>
      </c>
      <c r="Z19" s="42">
        <f>U19-Q19</f>
        <v/>
      </c>
      <c r="AA19" s="42">
        <f>W19-Q19</f>
        <v/>
      </c>
      <c r="AB19" s="42">
        <f>Y19-Q19</f>
        <v/>
      </c>
      <c r="AD19" s="35" t="n">
        <v>0.06</v>
      </c>
    </row>
    <row r="20">
      <c r="A20" s="27" t="n">
        <v>7</v>
      </c>
      <c r="B20" s="28" t="inlineStr">
        <is>
          <t>Бобрышева Татьяна Сергеевна</t>
        </is>
      </c>
      <c r="C20" s="28" t="inlineStr">
        <is>
          <t>ТФМ (ПО)</t>
        </is>
      </c>
      <c r="D20" s="27" t="inlineStr">
        <is>
          <t>БВ</t>
        </is>
      </c>
      <c r="E20" s="27" t="inlineStr">
        <is>
          <t>6%</t>
        </is>
      </c>
      <c r="F20" s="27" t="inlineStr">
        <is>
          <t>активен</t>
        </is>
      </c>
      <c r="G20" s="27" t="inlineStr">
        <is>
          <t>2023–2026</t>
        </is>
      </c>
      <c r="H20" s="27" t="n">
        <v>4</v>
      </c>
      <c r="I20" s="29" t="n">
        <v>0</v>
      </c>
      <c r="J20" s="29" t="n">
        <v>554372.52</v>
      </c>
      <c r="K20" s="29" t="n">
        <v>1016796.76</v>
      </c>
      <c r="L20" s="29" t="n">
        <v>1505710.52</v>
      </c>
      <c r="M20" s="29" t="n">
        <v>1082430.98</v>
      </c>
      <c r="N20" s="31">
        <f>SUM(I20:M20)</f>
        <v/>
      </c>
      <c r="O20" s="31">
        <f>M20/$C$5*(1-$AD20)</f>
        <v/>
      </c>
      <c r="P20" s="32">
        <f>IF($AD20=0,0,O20/(1-$AD20)-O20)</f>
        <v/>
      </c>
      <c r="Q20" s="33">
        <f>O20+P20</f>
        <v/>
      </c>
      <c r="R20" s="32">
        <f>O20*$C$6</f>
        <v/>
      </c>
      <c r="S20" s="32">
        <f>O20/(1-$C$7)-O20</f>
        <v/>
      </c>
      <c r="T20" s="32">
        <f>IF($AD20=0,0,O20/(1-$AD20)-O20)</f>
        <v/>
      </c>
      <c r="U20" s="33">
        <f>O20+R20+S20+T20</f>
        <v/>
      </c>
      <c r="V20" s="32">
        <f>O20/(1-$C$8)-O20</f>
        <v/>
      </c>
      <c r="W20" s="33">
        <f>O20+V20</f>
        <v/>
      </c>
      <c r="X20" s="32">
        <f>O20/(1-$C$9)-O20</f>
        <v/>
      </c>
      <c r="Y20" s="33">
        <f>O20+X20</f>
        <v/>
      </c>
      <c r="Z20" s="34">
        <f>U20-Q20</f>
        <v/>
      </c>
      <c r="AA20" s="34">
        <f>W20-Q20</f>
        <v/>
      </c>
      <c r="AB20" s="34">
        <f>Y20-Q20</f>
        <v/>
      </c>
      <c r="AD20" s="35" t="n">
        <v>0.06</v>
      </c>
    </row>
    <row r="21">
      <c r="A21" s="36" t="n">
        <v>8</v>
      </c>
      <c r="B21" s="37" t="inlineStr">
        <is>
          <t>Абдуллина Аделина Линаровна</t>
        </is>
      </c>
      <c r="C21" s="37" t="inlineStr">
        <is>
          <t>Fansy</t>
        </is>
      </c>
      <c r="D21" s="36" t="inlineStr">
        <is>
          <t>БВ</t>
        </is>
      </c>
      <c r="E21" s="36" t="inlineStr">
        <is>
          <t>0%</t>
        </is>
      </c>
      <c r="F21" s="36" t="inlineStr">
        <is>
          <t>активен</t>
        </is>
      </c>
      <c r="G21" s="36" t="inlineStr">
        <is>
          <t>2023–2026</t>
        </is>
      </c>
      <c r="H21" s="36" t="n">
        <v>4</v>
      </c>
      <c r="I21" s="38" t="n">
        <v>0</v>
      </c>
      <c r="J21" s="38" t="n">
        <v>129104.22</v>
      </c>
      <c r="K21" s="38" t="n">
        <v>690632</v>
      </c>
      <c r="L21" s="38" t="n">
        <v>1072320</v>
      </c>
      <c r="M21" s="38" t="n">
        <v>755000</v>
      </c>
      <c r="N21" s="39">
        <f>SUM(I21:M21)</f>
        <v/>
      </c>
      <c r="O21" s="39">
        <f>M21/$C$5*(1-$AD21)</f>
        <v/>
      </c>
      <c r="P21" s="40">
        <f>IF($AD21=0,0,O21/(1-$AD21)-O21)</f>
        <v/>
      </c>
      <c r="Q21" s="41">
        <f>O21+P21</f>
        <v/>
      </c>
      <c r="R21" s="40">
        <f>O21*$C$6</f>
        <v/>
      </c>
      <c r="S21" s="40">
        <f>O21/(1-$C$7)-O21</f>
        <v/>
      </c>
      <c r="T21" s="40">
        <f>IF($AD21=0,0,O21/(1-$AD21)-O21)</f>
        <v/>
      </c>
      <c r="U21" s="41">
        <f>O21+R21+S21+T21</f>
        <v/>
      </c>
      <c r="V21" s="40">
        <f>O21/(1-$C$8)-O21</f>
        <v/>
      </c>
      <c r="W21" s="41">
        <f>O21+V21</f>
        <v/>
      </c>
      <c r="X21" s="40">
        <f>O21/(1-$C$9)-O21</f>
        <v/>
      </c>
      <c r="Y21" s="41">
        <f>O21+X21</f>
        <v/>
      </c>
      <c r="Z21" s="42">
        <f>U21-Q21</f>
        <v/>
      </c>
      <c r="AA21" s="42">
        <f>W21-Q21</f>
        <v/>
      </c>
      <c r="AB21" s="42">
        <f>Y21-Q21</f>
        <v/>
      </c>
      <c r="AD21" s="35" t="n">
        <v>0</v>
      </c>
    </row>
    <row r="22">
      <c r="A22" s="27" t="n">
        <v>9</v>
      </c>
      <c r="B22" s="28" t="inlineStr">
        <is>
          <t>Кузнецова Светлана Дмитриевна</t>
        </is>
      </c>
      <c r="C22" s="28" t="inlineStr">
        <is>
          <t>ТФМ (ПО)</t>
        </is>
      </c>
      <c r="D22" s="27" t="inlineStr">
        <is>
          <t>БВ</t>
        </is>
      </c>
      <c r="E22" s="27" t="inlineStr">
        <is>
          <t>6%</t>
        </is>
      </c>
      <c r="F22" s="27" t="inlineStr">
        <is>
          <t>активен</t>
        </is>
      </c>
      <c r="G22" s="27" t="inlineStr">
        <is>
          <t>2024–2026</t>
        </is>
      </c>
      <c r="H22" s="27" t="n">
        <v>3</v>
      </c>
      <c r="I22" s="29" t="n">
        <v>0</v>
      </c>
      <c r="J22" s="29" t="n">
        <v>0</v>
      </c>
      <c r="K22" s="29" t="n">
        <v>1425506.19</v>
      </c>
      <c r="L22" s="30" t="n">
        <v>1685016.96</v>
      </c>
      <c r="M22" s="29" t="n">
        <v>1145357.79</v>
      </c>
      <c r="N22" s="31">
        <f>SUM(I22:M22)</f>
        <v/>
      </c>
      <c r="O22" s="31">
        <f>M22/$C$5*(1-$AD22)</f>
        <v/>
      </c>
      <c r="P22" s="32">
        <f>IF($AD22=0,0,O22/(1-$AD22)-O22)</f>
        <v/>
      </c>
      <c r="Q22" s="33">
        <f>O22+P22</f>
        <v/>
      </c>
      <c r="R22" s="32">
        <f>O22*$C$6</f>
        <v/>
      </c>
      <c r="S22" s="32">
        <f>O22/(1-$C$7)-O22</f>
        <v/>
      </c>
      <c r="T22" s="32">
        <f>IF($AD22=0,0,O22/(1-$AD22)-O22)</f>
        <v/>
      </c>
      <c r="U22" s="33">
        <f>O22+R22+S22+T22</f>
        <v/>
      </c>
      <c r="V22" s="32">
        <f>O22/(1-$C$8)-O22</f>
        <v/>
      </c>
      <c r="W22" s="33">
        <f>O22+V22</f>
        <v/>
      </c>
      <c r="X22" s="32">
        <f>O22/(1-$C$9)-O22</f>
        <v/>
      </c>
      <c r="Y22" s="33">
        <f>O22+X22</f>
        <v/>
      </c>
      <c r="Z22" s="34">
        <f>U22-Q22</f>
        <v/>
      </c>
      <c r="AA22" s="34">
        <f>W22-Q22</f>
        <v/>
      </c>
      <c r="AB22" s="34">
        <f>Y22-Q22</f>
        <v/>
      </c>
      <c r="AD22" s="35" t="n">
        <v>0.06</v>
      </c>
    </row>
    <row r="23">
      <c r="A23" s="36" t="n">
        <v>10</v>
      </c>
      <c r="B23" s="37" t="inlineStr">
        <is>
          <t>Демакова Дарья</t>
        </is>
      </c>
      <c r="C23" s="37" t="inlineStr">
        <is>
          <t>ТХ</t>
        </is>
      </c>
      <c r="D23" s="36" t="inlineStr">
        <is>
          <t>БВ</t>
        </is>
      </c>
      <c r="E23" s="36" t="inlineStr">
        <is>
          <t>6%</t>
        </is>
      </c>
      <c r="F23" s="36" t="inlineStr">
        <is>
          <t>активен</t>
        </is>
      </c>
      <c r="G23" s="36" t="inlineStr">
        <is>
          <t>2024–2026</t>
        </is>
      </c>
      <c r="H23" s="36" t="n">
        <v>3</v>
      </c>
      <c r="I23" s="38" t="n">
        <v>0</v>
      </c>
      <c r="J23" s="38" t="n">
        <v>0</v>
      </c>
      <c r="K23" s="38" t="n">
        <v>582823.1800000001</v>
      </c>
      <c r="L23" s="38" t="n">
        <v>1530724</v>
      </c>
      <c r="M23" s="38" t="n">
        <v>1167329</v>
      </c>
      <c r="N23" s="39">
        <f>SUM(I23:M23)</f>
        <v/>
      </c>
      <c r="O23" s="39">
        <f>M23/$C$5*(1-$AD23)</f>
        <v/>
      </c>
      <c r="P23" s="40">
        <f>IF($AD23=0,0,O23/(1-$AD23)-O23)</f>
        <v/>
      </c>
      <c r="Q23" s="41">
        <f>O23+P23</f>
        <v/>
      </c>
      <c r="R23" s="40">
        <f>O23*$C$6</f>
        <v/>
      </c>
      <c r="S23" s="40">
        <f>O23/(1-$C$7)-O23</f>
        <v/>
      </c>
      <c r="T23" s="40">
        <f>IF($AD23=0,0,O23/(1-$AD23)-O23)</f>
        <v/>
      </c>
      <c r="U23" s="41">
        <f>O23+R23+S23+T23</f>
        <v/>
      </c>
      <c r="V23" s="40">
        <f>O23/(1-$C$8)-O23</f>
        <v/>
      </c>
      <c r="W23" s="41">
        <f>O23+V23</f>
        <v/>
      </c>
      <c r="X23" s="40">
        <f>O23/(1-$C$9)-O23</f>
        <v/>
      </c>
      <c r="Y23" s="41">
        <f>O23+X23</f>
        <v/>
      </c>
      <c r="Z23" s="42">
        <f>U23-Q23</f>
        <v/>
      </c>
      <c r="AA23" s="42">
        <f>W23-Q23</f>
        <v/>
      </c>
      <c r="AB23" s="42">
        <f>Y23-Q23</f>
        <v/>
      </c>
      <c r="AD23" s="35" t="n">
        <v>0.06</v>
      </c>
    </row>
    <row r="24">
      <c r="A24" s="27" t="n">
        <v>11</v>
      </c>
      <c r="B24" s="28" t="inlineStr">
        <is>
          <t>Нуруллина Анжелика Альбертовна</t>
        </is>
      </c>
      <c r="C24" s="28" t="inlineStr">
        <is>
          <t>Fansy</t>
        </is>
      </c>
      <c r="D24" s="27" t="inlineStr">
        <is>
          <t>БВ</t>
        </is>
      </c>
      <c r="E24" s="27" t="inlineStr">
        <is>
          <t>6%</t>
        </is>
      </c>
      <c r="F24" s="27" t="inlineStr">
        <is>
          <t>активен</t>
        </is>
      </c>
      <c r="G24" s="27" t="inlineStr">
        <is>
          <t>2024–2026</t>
        </is>
      </c>
      <c r="H24" s="27" t="n">
        <v>3</v>
      </c>
      <c r="I24" s="29" t="n">
        <v>0</v>
      </c>
      <c r="J24" s="29" t="n">
        <v>0</v>
      </c>
      <c r="K24" s="30" t="n">
        <v>338830</v>
      </c>
      <c r="L24" s="30" t="n">
        <v>1331065</v>
      </c>
      <c r="M24" s="29" t="n">
        <v>741701</v>
      </c>
      <c r="N24" s="31">
        <f>SUM(I24:M24)</f>
        <v/>
      </c>
      <c r="O24" s="31">
        <f>M24/$C$5*(1-$AD24)</f>
        <v/>
      </c>
      <c r="P24" s="32">
        <f>IF($AD24=0,0,O24/(1-$AD24)-O24)</f>
        <v/>
      </c>
      <c r="Q24" s="33">
        <f>O24+P24</f>
        <v/>
      </c>
      <c r="R24" s="32">
        <f>O24*$C$6</f>
        <v/>
      </c>
      <c r="S24" s="32">
        <f>O24/(1-$C$7)-O24</f>
        <v/>
      </c>
      <c r="T24" s="32">
        <f>IF($AD24=0,0,O24/(1-$AD24)-O24)</f>
        <v/>
      </c>
      <c r="U24" s="33">
        <f>O24+R24+S24+T24</f>
        <v/>
      </c>
      <c r="V24" s="32">
        <f>O24/(1-$C$8)-O24</f>
        <v/>
      </c>
      <c r="W24" s="33">
        <f>O24+V24</f>
        <v/>
      </c>
      <c r="X24" s="32">
        <f>O24/(1-$C$9)-O24</f>
        <v/>
      </c>
      <c r="Y24" s="33">
        <f>O24+X24</f>
        <v/>
      </c>
      <c r="Z24" s="34">
        <f>U24-Q24</f>
        <v/>
      </c>
      <c r="AA24" s="34">
        <f>W24-Q24</f>
        <v/>
      </c>
      <c r="AB24" s="34">
        <f>Y24-Q24</f>
        <v/>
      </c>
      <c r="AD24" s="35" t="n">
        <v>0.06</v>
      </c>
    </row>
    <row r="25">
      <c r="A25" s="36" t="n">
        <v>12</v>
      </c>
      <c r="B25" s="37" t="inlineStr">
        <is>
          <t>Тупико Олег Николаевич</t>
        </is>
      </c>
      <c r="C25" s="37" t="inlineStr">
        <is>
          <t>ГК (общие)</t>
        </is>
      </c>
      <c r="D25" s="36" t="inlineStr">
        <is>
          <t>БВ</t>
        </is>
      </c>
      <c r="E25" s="36" t="inlineStr">
        <is>
          <t>6%</t>
        </is>
      </c>
      <c r="F25" s="36" t="inlineStr">
        <is>
          <t>активен</t>
        </is>
      </c>
      <c r="G25" s="36" t="inlineStr">
        <is>
          <t>2024–2026</t>
        </is>
      </c>
      <c r="H25" s="36" t="n">
        <v>3</v>
      </c>
      <c r="I25" s="38" t="n">
        <v>0</v>
      </c>
      <c r="J25" s="38" t="n">
        <v>0</v>
      </c>
      <c r="K25" s="30" t="n">
        <v>259907</v>
      </c>
      <c r="L25" s="30" t="n">
        <v>337036</v>
      </c>
      <c r="M25" s="38" t="n">
        <v>1219304</v>
      </c>
      <c r="N25" s="39">
        <f>SUM(I25:M25)</f>
        <v/>
      </c>
      <c r="O25" s="39">
        <f>M25/$C$5*(1-$AD25)</f>
        <v/>
      </c>
      <c r="P25" s="40">
        <f>IF($AD25=0,0,O25/(1-$AD25)-O25)</f>
        <v/>
      </c>
      <c r="Q25" s="41">
        <f>O25+P25</f>
        <v/>
      </c>
      <c r="R25" s="40">
        <f>O25*$C$6</f>
        <v/>
      </c>
      <c r="S25" s="40">
        <f>O25/(1-$C$7)-O25</f>
        <v/>
      </c>
      <c r="T25" s="40">
        <f>IF($AD25=0,0,O25/(1-$AD25)-O25)</f>
        <v/>
      </c>
      <c r="U25" s="41">
        <f>O25+R25+S25+T25</f>
        <v/>
      </c>
      <c r="V25" s="40">
        <f>O25/(1-$C$8)-O25</f>
        <v/>
      </c>
      <c r="W25" s="41">
        <f>O25+V25</f>
        <v/>
      </c>
      <c r="X25" s="40">
        <f>O25/(1-$C$9)-O25</f>
        <v/>
      </c>
      <c r="Y25" s="41">
        <f>O25+X25</f>
        <v/>
      </c>
      <c r="Z25" s="42">
        <f>U25-Q25</f>
        <v/>
      </c>
      <c r="AA25" s="42">
        <f>W25-Q25</f>
        <v/>
      </c>
      <c r="AB25" s="42">
        <f>Y25-Q25</f>
        <v/>
      </c>
      <c r="AD25" s="35" t="n">
        <v>0.06</v>
      </c>
    </row>
    <row r="26">
      <c r="A26" s="27" t="n">
        <v>13</v>
      </c>
      <c r="B26" s="28" t="inlineStr">
        <is>
          <t>Лукьянова Вера Константиновна</t>
        </is>
      </c>
      <c r="C26" s="28" t="inlineStr">
        <is>
          <t>ТФМ (ПО)</t>
        </is>
      </c>
      <c r="D26" s="27" t="inlineStr">
        <is>
          <t>БВ</t>
        </is>
      </c>
      <c r="E26" s="27" t="inlineStr">
        <is>
          <t>6%</t>
        </is>
      </c>
      <c r="F26" s="27" t="inlineStr">
        <is>
          <t>активен</t>
        </is>
      </c>
      <c r="G26" s="27" t="inlineStr">
        <is>
          <t>2024–2026</t>
        </is>
      </c>
      <c r="H26" s="27" t="n">
        <v>3</v>
      </c>
      <c r="I26" s="29" t="n">
        <v>0</v>
      </c>
      <c r="J26" s="29" t="n">
        <v>0</v>
      </c>
      <c r="K26" s="30" t="n">
        <v>141702</v>
      </c>
      <c r="L26" s="30" t="n">
        <v>73617</v>
      </c>
      <c r="M26" s="29" t="n">
        <v>973404</v>
      </c>
      <c r="N26" s="31">
        <f>SUM(I26:M26)</f>
        <v/>
      </c>
      <c r="O26" s="31">
        <f>M26/$C$5*(1-$AD26)</f>
        <v/>
      </c>
      <c r="P26" s="32">
        <f>IF($AD26=0,0,O26/(1-$AD26)-O26)</f>
        <v/>
      </c>
      <c r="Q26" s="33">
        <f>O26+P26</f>
        <v/>
      </c>
      <c r="R26" s="32">
        <f>O26*$C$6</f>
        <v/>
      </c>
      <c r="S26" s="32">
        <f>O26/(1-$C$7)-O26</f>
        <v/>
      </c>
      <c r="T26" s="32">
        <f>IF($AD26=0,0,O26/(1-$AD26)-O26)</f>
        <v/>
      </c>
      <c r="U26" s="33">
        <f>O26+R26+S26+T26</f>
        <v/>
      </c>
      <c r="V26" s="32">
        <f>O26/(1-$C$8)-O26</f>
        <v/>
      </c>
      <c r="W26" s="33">
        <f>O26+V26</f>
        <v/>
      </c>
      <c r="X26" s="32">
        <f>O26/(1-$C$9)-O26</f>
        <v/>
      </c>
      <c r="Y26" s="33">
        <f>O26+X26</f>
        <v/>
      </c>
      <c r="Z26" s="34">
        <f>U26-Q26</f>
        <v/>
      </c>
      <c r="AA26" s="34">
        <f>W26-Q26</f>
        <v/>
      </c>
      <c r="AB26" s="34">
        <f>Y26-Q26</f>
        <v/>
      </c>
      <c r="AD26" s="35" t="n">
        <v>0.06</v>
      </c>
    </row>
    <row r="27">
      <c r="A27" s="36" t="n">
        <v>14</v>
      </c>
      <c r="B27" s="37" t="inlineStr">
        <is>
          <t>Левашева Анна Алексеевна</t>
        </is>
      </c>
      <c r="C27" s="37" t="inlineStr">
        <is>
          <t>ТФМ (ПО)</t>
        </is>
      </c>
      <c r="D27" s="36" t="inlineStr">
        <is>
          <t>БВ</t>
        </is>
      </c>
      <c r="E27" s="36" t="inlineStr">
        <is>
          <t>6%</t>
        </is>
      </c>
      <c r="F27" s="36" t="inlineStr">
        <is>
          <t>активен</t>
        </is>
      </c>
      <c r="G27" s="36" t="inlineStr">
        <is>
          <t>2025–2026</t>
        </is>
      </c>
      <c r="H27" s="36" t="n">
        <v>2</v>
      </c>
      <c r="I27" s="38" t="n">
        <v>0</v>
      </c>
      <c r="J27" s="38" t="n">
        <v>0</v>
      </c>
      <c r="K27" s="38" t="n">
        <v>0</v>
      </c>
      <c r="L27" s="30" t="n">
        <v>798831.01</v>
      </c>
      <c r="M27" s="38" t="n">
        <v>1362100.09</v>
      </c>
      <c r="N27" s="39">
        <f>SUM(I27:M27)</f>
        <v/>
      </c>
      <c r="O27" s="39">
        <f>M27/$C$5*(1-$AD27)</f>
        <v/>
      </c>
      <c r="P27" s="40">
        <f>IF($AD27=0,0,O27/(1-$AD27)-O27)</f>
        <v/>
      </c>
      <c r="Q27" s="41">
        <f>O27+P27</f>
        <v/>
      </c>
      <c r="R27" s="40">
        <f>O27*$C$6</f>
        <v/>
      </c>
      <c r="S27" s="40">
        <f>O27/(1-$C$7)-O27</f>
        <v/>
      </c>
      <c r="T27" s="40">
        <f>IF($AD27=0,0,O27/(1-$AD27)-O27)</f>
        <v/>
      </c>
      <c r="U27" s="41">
        <f>O27+R27+S27+T27</f>
        <v/>
      </c>
      <c r="V27" s="40">
        <f>O27/(1-$C$8)-O27</f>
        <v/>
      </c>
      <c r="W27" s="41">
        <f>O27+V27</f>
        <v/>
      </c>
      <c r="X27" s="40">
        <f>O27/(1-$C$9)-O27</f>
        <v/>
      </c>
      <c r="Y27" s="41">
        <f>O27+X27</f>
        <v/>
      </c>
      <c r="Z27" s="42">
        <f>U27-Q27</f>
        <v/>
      </c>
      <c r="AA27" s="42">
        <f>W27-Q27</f>
        <v/>
      </c>
      <c r="AB27" s="42">
        <f>Y27-Q27</f>
        <v/>
      </c>
      <c r="AD27" s="35" t="n">
        <v>0.06</v>
      </c>
    </row>
    <row r="28">
      <c r="A28" s="27" t="n">
        <v>15</v>
      </c>
      <c r="B28" s="28" t="inlineStr">
        <is>
          <t>Капустина Вероника Сергеевна</t>
        </is>
      </c>
      <c r="C28" s="28" t="inlineStr">
        <is>
          <t>ТФМ (ОСК)</t>
        </is>
      </c>
      <c r="D28" s="27" t="inlineStr">
        <is>
          <t>БВ</t>
        </is>
      </c>
      <c r="E28" s="27" t="inlineStr">
        <is>
          <t>6%</t>
        </is>
      </c>
      <c r="F28" s="27" t="inlineStr">
        <is>
          <t>активен</t>
        </is>
      </c>
      <c r="G28" s="27" t="inlineStr">
        <is>
          <t>2025–2026</t>
        </is>
      </c>
      <c r="H28" s="27" t="n">
        <v>2</v>
      </c>
      <c r="I28" s="29" t="n">
        <v>0</v>
      </c>
      <c r="J28" s="29" t="n">
        <v>0</v>
      </c>
      <c r="K28" s="29" t="n">
        <v>0</v>
      </c>
      <c r="L28" s="29" t="n">
        <v>214440.3</v>
      </c>
      <c r="M28" s="29" t="n">
        <v>1228052.73</v>
      </c>
      <c r="N28" s="31">
        <f>SUM(I28:M28)</f>
        <v/>
      </c>
      <c r="O28" s="31">
        <f>M28/$C$5*(1-$AD28)</f>
        <v/>
      </c>
      <c r="P28" s="32">
        <f>IF($AD28=0,0,O28/(1-$AD28)-O28)</f>
        <v/>
      </c>
      <c r="Q28" s="33">
        <f>O28+P28</f>
        <v/>
      </c>
      <c r="R28" s="32">
        <f>O28*$C$6</f>
        <v/>
      </c>
      <c r="S28" s="32">
        <f>O28/(1-$C$7)-O28</f>
        <v/>
      </c>
      <c r="T28" s="32">
        <f>IF($AD28=0,0,O28/(1-$AD28)-O28)</f>
        <v/>
      </c>
      <c r="U28" s="33">
        <f>O28+R28+S28+T28</f>
        <v/>
      </c>
      <c r="V28" s="32">
        <f>O28/(1-$C$8)-O28</f>
        <v/>
      </c>
      <c r="W28" s="33">
        <f>O28+V28</f>
        <v/>
      </c>
      <c r="X28" s="32">
        <f>O28/(1-$C$9)-O28</f>
        <v/>
      </c>
      <c r="Y28" s="33">
        <f>O28+X28</f>
        <v/>
      </c>
      <c r="Z28" s="34">
        <f>U28-Q28</f>
        <v/>
      </c>
      <c r="AA28" s="34">
        <f>W28-Q28</f>
        <v/>
      </c>
      <c r="AB28" s="34">
        <f>Y28-Q28</f>
        <v/>
      </c>
      <c r="AD28" s="35" t="n">
        <v>0.06</v>
      </c>
    </row>
    <row r="29">
      <c r="A29" s="43" t="n"/>
      <c r="B29" s="44" t="inlineStr">
        <is>
          <t>Итого БВ</t>
        </is>
      </c>
      <c r="C29" s="43" t="n"/>
      <c r="D29" s="43" t="n"/>
      <c r="E29" s="43" t="n"/>
      <c r="F29" s="43" t="n"/>
      <c r="G29" s="43" t="n"/>
      <c r="H29" s="43" t="n"/>
      <c r="I29" s="45">
        <f>SUM(I14:I28)</f>
        <v/>
      </c>
      <c r="J29" s="45">
        <f>SUM(J14:J28)</f>
        <v/>
      </c>
      <c r="K29" s="45">
        <f>SUM(K14:K28)</f>
        <v/>
      </c>
      <c r="L29" s="45">
        <f>SUM(L14:L28)</f>
        <v/>
      </c>
      <c r="M29" s="45">
        <f>SUM(M14:M28)</f>
        <v/>
      </c>
      <c r="N29" s="45">
        <f>SUM(N14:N28)</f>
        <v/>
      </c>
      <c r="O29" s="45">
        <f>SUM(O14:O28)</f>
        <v/>
      </c>
      <c r="P29" s="45">
        <f>SUM(P14:P28)</f>
        <v/>
      </c>
      <c r="Q29" s="45">
        <f>SUM(Q14:Q28)</f>
        <v/>
      </c>
      <c r="R29" s="45">
        <f>SUM(R14:R28)</f>
        <v/>
      </c>
      <c r="S29" s="45">
        <f>SUM(S14:S28)</f>
        <v/>
      </c>
      <c r="T29" s="45">
        <f>SUM(T14:T28)</f>
        <v/>
      </c>
      <c r="U29" s="45">
        <f>SUM(U14:U28)</f>
        <v/>
      </c>
      <c r="V29" s="45">
        <f>SUM(V14:V28)</f>
        <v/>
      </c>
      <c r="W29" s="45">
        <f>SUM(W14:W28)</f>
        <v/>
      </c>
      <c r="X29" s="45">
        <f>SUM(X14:X28)</f>
        <v/>
      </c>
      <c r="Y29" s="45">
        <f>SUM(Y14:Y28)</f>
        <v/>
      </c>
      <c r="Z29" s="45">
        <f>SUM(Z14:Z28)</f>
        <v/>
      </c>
      <c r="AA29" s="45">
        <f>SUM(AA14:AA28)</f>
        <v/>
      </c>
      <c r="AB29" s="45">
        <f>SUM(AB14:AB28)</f>
        <v/>
      </c>
    </row>
    <row r="31">
      <c r="A31" s="25" t="inlineStr">
        <is>
          <t>АС — 4 чел.</t>
        </is>
      </c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</row>
    <row r="32">
      <c r="A32" s="27" t="n">
        <v>16</v>
      </c>
      <c r="B32" s="28" t="inlineStr">
        <is>
          <t>Грудинин Алексей Сергеевич</t>
        </is>
      </c>
      <c r="C32" s="28" t="inlineStr">
        <is>
          <t>ТФМ (ПО)</t>
        </is>
      </c>
      <c r="D32" s="27" t="inlineStr">
        <is>
          <t>АС</t>
        </is>
      </c>
      <c r="E32" s="27" t="inlineStr">
        <is>
          <t>6%</t>
        </is>
      </c>
      <c r="F32" s="27" t="inlineStr">
        <is>
          <t>активен</t>
        </is>
      </c>
      <c r="G32" s="27" t="inlineStr">
        <is>
          <t>2022–2026</t>
        </is>
      </c>
      <c r="H32" s="27" t="n">
        <v>5</v>
      </c>
      <c r="I32" s="29" t="n">
        <v>267577.88</v>
      </c>
      <c r="J32" s="29" t="n">
        <v>960405.97</v>
      </c>
      <c r="K32" s="29" t="n">
        <v>1372957.36</v>
      </c>
      <c r="L32" s="29" t="n">
        <v>1558585.08</v>
      </c>
      <c r="M32" s="29" t="n">
        <v>938053.12</v>
      </c>
      <c r="N32" s="31">
        <f>SUM(I32:M32)</f>
        <v/>
      </c>
      <c r="O32" s="31">
        <f>M32/$C$5*(1-$AD32)</f>
        <v/>
      </c>
      <c r="P32" s="32">
        <f>IF($AD32=0,0,O32/(1-$AD32)-O32)</f>
        <v/>
      </c>
      <c r="Q32" s="33">
        <f>O32+P32</f>
        <v/>
      </c>
      <c r="R32" s="32">
        <f>O32*$C$6</f>
        <v/>
      </c>
      <c r="S32" s="32">
        <f>O32/(1-$C$7)-O32</f>
        <v/>
      </c>
      <c r="T32" s="32">
        <f>IF($AD32=0,0,O32/(1-$AD32)-O32)</f>
        <v/>
      </c>
      <c r="U32" s="33">
        <f>O32+R32+S32+T32</f>
        <v/>
      </c>
      <c r="V32" s="32">
        <f>O32/(1-$C$8)-O32</f>
        <v/>
      </c>
      <c r="W32" s="33">
        <f>O32+V32</f>
        <v/>
      </c>
      <c r="X32" s="32">
        <f>O32/(1-$C$9)-O32</f>
        <v/>
      </c>
      <c r="Y32" s="33">
        <f>O32+X32</f>
        <v/>
      </c>
      <c r="Z32" s="34">
        <f>U32-Q32</f>
        <v/>
      </c>
      <c r="AA32" s="34">
        <f>W32-Q32</f>
        <v/>
      </c>
      <c r="AB32" s="34">
        <f>Y32-Q32</f>
        <v/>
      </c>
      <c r="AD32" s="35" t="n">
        <v>0.06</v>
      </c>
    </row>
    <row r="33">
      <c r="A33" s="36" t="n">
        <v>17</v>
      </c>
      <c r="B33" s="37" t="inlineStr">
        <is>
          <t>Репетенко Инна Эдуардовна</t>
        </is>
      </c>
      <c r="C33" s="37" t="inlineStr">
        <is>
          <t>ТФМ (ОРБ)</t>
        </is>
      </c>
      <c r="D33" s="36" t="inlineStr">
        <is>
          <t>АС</t>
        </is>
      </c>
      <c r="E33" s="36" t="inlineStr">
        <is>
          <t>6%</t>
        </is>
      </c>
      <c r="F33" s="36" t="inlineStr">
        <is>
          <t>активен</t>
        </is>
      </c>
      <c r="G33" s="36" t="inlineStr">
        <is>
          <t>2022–2026</t>
        </is>
      </c>
      <c r="H33" s="36" t="n">
        <v>5</v>
      </c>
      <c r="I33" s="30" t="n">
        <v>112190</v>
      </c>
      <c r="J33" s="30" t="n">
        <v>246600</v>
      </c>
      <c r="K33" s="30" t="n">
        <v>415655.93</v>
      </c>
      <c r="L33" s="30" t="n">
        <v>142973.52</v>
      </c>
      <c r="M33" s="38" t="n">
        <v>905821.35</v>
      </c>
      <c r="N33" s="39">
        <f>SUM(I33:M33)</f>
        <v/>
      </c>
      <c r="O33" s="39">
        <f>M33/$C$5*(1-$AD33)</f>
        <v/>
      </c>
      <c r="P33" s="40">
        <f>IF($AD33=0,0,O33/(1-$AD33)-O33)</f>
        <v/>
      </c>
      <c r="Q33" s="41">
        <f>O33+P33</f>
        <v/>
      </c>
      <c r="R33" s="40">
        <f>O33*$C$6</f>
        <v/>
      </c>
      <c r="S33" s="40">
        <f>O33/(1-$C$7)-O33</f>
        <v/>
      </c>
      <c r="T33" s="40">
        <f>IF($AD33=0,0,O33/(1-$AD33)-O33)</f>
        <v/>
      </c>
      <c r="U33" s="41">
        <f>O33+R33+S33+T33</f>
        <v/>
      </c>
      <c r="V33" s="40">
        <f>O33/(1-$C$8)-O33</f>
        <v/>
      </c>
      <c r="W33" s="41">
        <f>O33+V33</f>
        <v/>
      </c>
      <c r="X33" s="40">
        <f>O33/(1-$C$9)-O33</f>
        <v/>
      </c>
      <c r="Y33" s="41">
        <f>O33+X33</f>
        <v/>
      </c>
      <c r="Z33" s="42">
        <f>U33-Q33</f>
        <v/>
      </c>
      <c r="AA33" s="42">
        <f>W33-Q33</f>
        <v/>
      </c>
      <c r="AB33" s="42">
        <f>Y33-Q33</f>
        <v/>
      </c>
      <c r="AD33" s="35" t="n">
        <v>0.06</v>
      </c>
    </row>
    <row r="34">
      <c r="A34" s="27" t="n">
        <v>18</v>
      </c>
      <c r="B34" s="28" t="inlineStr">
        <is>
          <t>Жиркова Валентина Александровна</t>
        </is>
      </c>
      <c r="C34" s="28" t="inlineStr">
        <is>
          <t>ТФМ (ПО)</t>
        </is>
      </c>
      <c r="D34" s="27" t="inlineStr">
        <is>
          <t>АС</t>
        </is>
      </c>
      <c r="E34" s="27" t="inlineStr">
        <is>
          <t>6%</t>
        </is>
      </c>
      <c r="F34" s="27" t="inlineStr">
        <is>
          <t>активен</t>
        </is>
      </c>
      <c r="G34" s="27" t="inlineStr">
        <is>
          <t>2023–2026</t>
        </is>
      </c>
      <c r="H34" s="27" t="n">
        <v>4</v>
      </c>
      <c r="I34" s="29" t="n">
        <v>0</v>
      </c>
      <c r="J34" s="29" t="n">
        <v>257222.24</v>
      </c>
      <c r="K34" s="29" t="n">
        <v>1497661</v>
      </c>
      <c r="L34" s="29" t="n">
        <v>2201639.5</v>
      </c>
      <c r="M34" s="30" t="n">
        <v>1656517.19</v>
      </c>
      <c r="N34" s="31">
        <f>SUM(I34:M34)</f>
        <v/>
      </c>
      <c r="O34" s="31">
        <f>M34/$C$5*(1-$AD34)</f>
        <v/>
      </c>
      <c r="P34" s="32">
        <f>IF($AD34=0,0,O34/(1-$AD34)-O34)</f>
        <v/>
      </c>
      <c r="Q34" s="33">
        <f>O34+P34</f>
        <v/>
      </c>
      <c r="R34" s="32">
        <f>O34*$C$6</f>
        <v/>
      </c>
      <c r="S34" s="32">
        <f>O34/(1-$C$7)-O34</f>
        <v/>
      </c>
      <c r="T34" s="32">
        <f>IF($AD34=0,0,O34/(1-$AD34)-O34)</f>
        <v/>
      </c>
      <c r="U34" s="33">
        <f>O34+R34+S34+T34</f>
        <v/>
      </c>
      <c r="V34" s="32">
        <f>O34/(1-$C$8)-O34</f>
        <v/>
      </c>
      <c r="W34" s="33">
        <f>O34+V34</f>
        <v/>
      </c>
      <c r="X34" s="32">
        <f>O34/(1-$C$9)-O34</f>
        <v/>
      </c>
      <c r="Y34" s="33">
        <f>O34+X34</f>
        <v/>
      </c>
      <c r="Z34" s="34">
        <f>U34-Q34</f>
        <v/>
      </c>
      <c r="AA34" s="34">
        <f>W34-Q34</f>
        <v/>
      </c>
      <c r="AB34" s="34">
        <f>Y34-Q34</f>
        <v/>
      </c>
      <c r="AD34" s="35" t="n">
        <v>0.06</v>
      </c>
    </row>
    <row r="35">
      <c r="A35" s="36" t="n">
        <v>19</v>
      </c>
      <c r="B35" s="37" t="inlineStr">
        <is>
          <t>Возмищева Ксения Дмитриевна</t>
        </is>
      </c>
      <c r="C35" s="37" t="inlineStr">
        <is>
          <t>ТФМ (ОРБ)</t>
        </is>
      </c>
      <c r="D35" s="36" t="inlineStr">
        <is>
          <t>АС</t>
        </is>
      </c>
      <c r="E35" s="36" t="inlineStr">
        <is>
          <t>6%</t>
        </is>
      </c>
      <c r="F35" s="36" t="inlineStr">
        <is>
          <t>активен</t>
        </is>
      </c>
      <c r="G35" s="36" t="inlineStr">
        <is>
          <t>2024–2026</t>
        </is>
      </c>
      <c r="H35" s="36" t="n">
        <v>3</v>
      </c>
      <c r="I35" s="38" t="n">
        <v>0</v>
      </c>
      <c r="J35" s="38" t="n">
        <v>0</v>
      </c>
      <c r="K35" s="38" t="n">
        <v>333311.66</v>
      </c>
      <c r="L35" s="38" t="n">
        <v>1347175.74</v>
      </c>
      <c r="M35" s="38" t="n">
        <v>1267879.25</v>
      </c>
      <c r="N35" s="39">
        <f>SUM(I35:M35)</f>
        <v/>
      </c>
      <c r="O35" s="39">
        <f>M35/$C$5*(1-$AD35)</f>
        <v/>
      </c>
      <c r="P35" s="40">
        <f>IF($AD35=0,0,O35/(1-$AD35)-O35)</f>
        <v/>
      </c>
      <c r="Q35" s="41">
        <f>O35+P35</f>
        <v/>
      </c>
      <c r="R35" s="40">
        <f>O35*$C$6</f>
        <v/>
      </c>
      <c r="S35" s="40">
        <f>O35/(1-$C$7)-O35</f>
        <v/>
      </c>
      <c r="T35" s="40">
        <f>IF($AD35=0,0,O35/(1-$AD35)-O35)</f>
        <v/>
      </c>
      <c r="U35" s="41">
        <f>O35+R35+S35+T35</f>
        <v/>
      </c>
      <c r="V35" s="40">
        <f>O35/(1-$C$8)-O35</f>
        <v/>
      </c>
      <c r="W35" s="41">
        <f>O35+V35</f>
        <v/>
      </c>
      <c r="X35" s="40">
        <f>O35/(1-$C$9)-O35</f>
        <v/>
      </c>
      <c r="Y35" s="41">
        <f>O35+X35</f>
        <v/>
      </c>
      <c r="Z35" s="42">
        <f>U35-Q35</f>
        <v/>
      </c>
      <c r="AA35" s="42">
        <f>W35-Q35</f>
        <v/>
      </c>
      <c r="AB35" s="42">
        <f>Y35-Q35</f>
        <v/>
      </c>
      <c r="AD35" s="35" t="n">
        <v>0.06</v>
      </c>
    </row>
    <row r="36">
      <c r="A36" s="43" t="n"/>
      <c r="B36" s="44" t="inlineStr">
        <is>
          <t>Итого АС</t>
        </is>
      </c>
      <c r="C36" s="43" t="n"/>
      <c r="D36" s="43" t="n"/>
      <c r="E36" s="43" t="n"/>
      <c r="F36" s="43" t="n"/>
      <c r="G36" s="43" t="n"/>
      <c r="H36" s="43" t="n"/>
      <c r="I36" s="45">
        <f>SUM(I32:I35)</f>
        <v/>
      </c>
      <c r="J36" s="45">
        <f>SUM(J32:J35)</f>
        <v/>
      </c>
      <c r="K36" s="45">
        <f>SUM(K32:K35)</f>
        <v/>
      </c>
      <c r="L36" s="45">
        <f>SUM(L32:L35)</f>
        <v/>
      </c>
      <c r="M36" s="45">
        <f>SUM(M32:M35)</f>
        <v/>
      </c>
      <c r="N36" s="45">
        <f>SUM(N32:N35)</f>
        <v/>
      </c>
      <c r="O36" s="45">
        <f>SUM(O32:O35)</f>
        <v/>
      </c>
      <c r="P36" s="45">
        <f>SUM(P32:P35)</f>
        <v/>
      </c>
      <c r="Q36" s="45">
        <f>SUM(Q32:Q35)</f>
        <v/>
      </c>
      <c r="R36" s="45">
        <f>SUM(R32:R35)</f>
        <v/>
      </c>
      <c r="S36" s="45">
        <f>SUM(S32:S35)</f>
        <v/>
      </c>
      <c r="T36" s="45">
        <f>SUM(T32:T35)</f>
        <v/>
      </c>
      <c r="U36" s="45">
        <f>SUM(U32:U35)</f>
        <v/>
      </c>
      <c r="V36" s="45">
        <f>SUM(V32:V35)</f>
        <v/>
      </c>
      <c r="W36" s="45">
        <f>SUM(W32:W35)</f>
        <v/>
      </c>
      <c r="X36" s="45">
        <f>SUM(X32:X35)</f>
        <v/>
      </c>
      <c r="Y36" s="45">
        <f>SUM(Y32:Y35)</f>
        <v/>
      </c>
      <c r="Z36" s="45">
        <f>SUM(Z32:Z35)</f>
        <v/>
      </c>
      <c r="AA36" s="45">
        <f>SUM(AA32:AA35)</f>
        <v/>
      </c>
      <c r="AB36" s="45">
        <f>SUM(AB32:AB35)</f>
        <v/>
      </c>
    </row>
    <row r="38">
      <c r="A38" s="25" t="inlineStr">
        <is>
          <t>ИП МТ — 1 чел.</t>
        </is>
      </c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</row>
    <row r="39">
      <c r="A39" s="27" t="n">
        <v>20</v>
      </c>
      <c r="B39" s="28" t="inlineStr">
        <is>
          <t>Злобин Николай Алексеевич</t>
        </is>
      </c>
      <c r="C39" s="28" t="inlineStr">
        <is>
          <t>Fansy</t>
        </is>
      </c>
      <c r="D39" s="27" t="inlineStr">
        <is>
          <t>ИП МТ</t>
        </is>
      </c>
      <c r="E39" s="27" t="inlineStr">
        <is>
          <t>6%</t>
        </is>
      </c>
      <c r="F39" s="27" t="inlineStr">
        <is>
          <t>активен</t>
        </is>
      </c>
      <c r="G39" s="27" t="inlineStr">
        <is>
          <t>2023–2026</t>
        </is>
      </c>
      <c r="H39" s="27" t="n">
        <v>4</v>
      </c>
      <c r="I39" s="29" t="n">
        <v>0</v>
      </c>
      <c r="J39" s="29" t="n">
        <v>231383</v>
      </c>
      <c r="K39" s="29" t="n">
        <v>2343163.34</v>
      </c>
      <c r="L39" s="29" t="n">
        <v>2601170</v>
      </c>
      <c r="M39" s="29" t="n">
        <v>1832861.81</v>
      </c>
      <c r="N39" s="31">
        <f>SUM(I39:M39)</f>
        <v/>
      </c>
      <c r="O39" s="31">
        <f>M39/$C$5*(1-$AD39)</f>
        <v/>
      </c>
      <c r="P39" s="32">
        <f>IF($AD39=0,0,O39/(1-$AD39)-O39)</f>
        <v/>
      </c>
      <c r="Q39" s="33">
        <f>O39+P39</f>
        <v/>
      </c>
      <c r="R39" s="32">
        <f>O39*$C$6</f>
        <v/>
      </c>
      <c r="S39" s="32">
        <f>O39/(1-$C$7)-O39</f>
        <v/>
      </c>
      <c r="T39" s="32">
        <f>IF($AD39=0,0,O39/(1-$AD39)-O39)</f>
        <v/>
      </c>
      <c r="U39" s="33">
        <f>O39+R39+S39+T39</f>
        <v/>
      </c>
      <c r="V39" s="32">
        <f>O39/(1-$C$8)-O39</f>
        <v/>
      </c>
      <c r="W39" s="33">
        <f>O39+V39</f>
        <v/>
      </c>
      <c r="X39" s="32">
        <f>O39/(1-$C$9)-O39</f>
        <v/>
      </c>
      <c r="Y39" s="33">
        <f>O39+X39</f>
        <v/>
      </c>
      <c r="Z39" s="34">
        <f>U39-Q39</f>
        <v/>
      </c>
      <c r="AA39" s="34">
        <f>W39-Q39</f>
        <v/>
      </c>
      <c r="AB39" s="34">
        <f>Y39-Q39</f>
        <v/>
      </c>
      <c r="AD39" s="35" t="n">
        <v>0.06</v>
      </c>
    </row>
    <row r="40">
      <c r="A40" s="43" t="n"/>
      <c r="B40" s="44" t="inlineStr">
        <is>
          <t>Итого ИП МТ</t>
        </is>
      </c>
      <c r="C40" s="43" t="n"/>
      <c r="D40" s="43" t="n"/>
      <c r="E40" s="43" t="n"/>
      <c r="F40" s="43" t="n"/>
      <c r="G40" s="43" t="n"/>
      <c r="H40" s="43" t="n"/>
      <c r="I40" s="45">
        <f>SUM(I39:I39)</f>
        <v/>
      </c>
      <c r="J40" s="45">
        <f>SUM(J39:J39)</f>
        <v/>
      </c>
      <c r="K40" s="45">
        <f>SUM(K39:K39)</f>
        <v/>
      </c>
      <c r="L40" s="45">
        <f>SUM(L39:L39)</f>
        <v/>
      </c>
      <c r="M40" s="45">
        <f>SUM(M39:M39)</f>
        <v/>
      </c>
      <c r="N40" s="45">
        <f>SUM(N39:N39)</f>
        <v/>
      </c>
      <c r="O40" s="45">
        <f>SUM(O39:O39)</f>
        <v/>
      </c>
      <c r="P40" s="45">
        <f>SUM(P39:P39)</f>
        <v/>
      </c>
      <c r="Q40" s="45">
        <f>SUM(Q39:Q39)</f>
        <v/>
      </c>
      <c r="R40" s="45">
        <f>SUM(R39:R39)</f>
        <v/>
      </c>
      <c r="S40" s="45">
        <f>SUM(S39:S39)</f>
        <v/>
      </c>
      <c r="T40" s="45">
        <f>SUM(T39:T39)</f>
        <v/>
      </c>
      <c r="U40" s="45">
        <f>SUM(U39:U39)</f>
        <v/>
      </c>
      <c r="V40" s="45">
        <f>SUM(V39:V39)</f>
        <v/>
      </c>
      <c r="W40" s="45">
        <f>SUM(W39:W39)</f>
        <v/>
      </c>
      <c r="X40" s="45">
        <f>SUM(X39:X39)</f>
        <v/>
      </c>
      <c r="Y40" s="45">
        <f>SUM(Y39:Y39)</f>
        <v/>
      </c>
      <c r="Z40" s="45">
        <f>SUM(Z39:Z39)</f>
        <v/>
      </c>
      <c r="AA40" s="45">
        <f>SUM(AA39:AA39)</f>
        <v/>
      </c>
      <c r="AB40" s="45">
        <f>SUM(AB39:AB39)</f>
        <v/>
      </c>
    </row>
    <row r="42">
      <c r="A42" s="46" t="n"/>
      <c r="B42" s="47" t="inlineStr">
        <is>
          <t>ВСЕГО (20 чел.)</t>
        </is>
      </c>
      <c r="C42" s="46" t="n"/>
      <c r="D42" s="46" t="n"/>
      <c r="E42" s="46" t="n"/>
      <c r="F42" s="46" t="n"/>
      <c r="G42" s="46" t="n"/>
      <c r="H42" s="46" t="n"/>
      <c r="I42" s="48">
        <f>I29+I36+I40</f>
        <v/>
      </c>
      <c r="J42" s="48">
        <f>J29+J36+J40</f>
        <v/>
      </c>
      <c r="K42" s="48">
        <f>K29+K36+K40</f>
        <v/>
      </c>
      <c r="L42" s="48">
        <f>L29+L36+L40</f>
        <v/>
      </c>
      <c r="M42" s="48">
        <f>M29+M36+M40</f>
        <v/>
      </c>
      <c r="N42" s="48">
        <f>N29+N36+N40</f>
        <v/>
      </c>
      <c r="O42" s="48">
        <f>O29+O36+O40</f>
        <v/>
      </c>
      <c r="P42" s="48">
        <f>P29+P36+P40</f>
        <v/>
      </c>
      <c r="Q42" s="48">
        <f>Q29+Q36+Q40</f>
        <v/>
      </c>
      <c r="R42" s="48">
        <f>R29+R36+R40</f>
        <v/>
      </c>
      <c r="S42" s="48">
        <f>S29+S36+S40</f>
        <v/>
      </c>
      <c r="T42" s="48">
        <f>T29+T36+T40</f>
        <v/>
      </c>
      <c r="U42" s="48">
        <f>U29+U36+U40</f>
        <v/>
      </c>
      <c r="V42" s="48">
        <f>V29+V36+V40</f>
        <v/>
      </c>
      <c r="W42" s="48">
        <f>W29+W36+W40</f>
        <v/>
      </c>
      <c r="X42" s="48">
        <f>X29+X36+X40</f>
        <v/>
      </c>
      <c r="Y42" s="48">
        <f>Y29+Y36+Y40</f>
        <v/>
      </c>
      <c r="Z42" s="48">
        <f>Z29+Z36+Z40</f>
        <v/>
      </c>
      <c r="AA42" s="48">
        <f>AA29+AA36+AA40</f>
        <v/>
      </c>
      <c r="AB42" s="48">
        <f>AB29+AB36+AB40</f>
        <v/>
      </c>
    </row>
    <row r="44">
      <c r="A44" s="49" t="inlineStr">
        <is>
          <t>ПЛАНИРОВАНИЕ — сравнение схем</t>
        </is>
      </c>
    </row>
    <row r="45" ht="32" customHeight="1">
      <c r="A45" s="8" t="inlineStr">
        <is>
          <t>Юр. лицо</t>
        </is>
      </c>
      <c r="B45" s="8" t="inlineStr">
        <is>
          <t>Чел.</t>
        </is>
      </c>
      <c r="C45" s="8" t="inlineStr">
        <is>
          <t>Напрямую: месяц</t>
        </is>
      </c>
      <c r="D45" s="8" t="inlineStr">
        <is>
          <t>Напрямую: год</t>
        </is>
      </c>
      <c r="E45" s="8" t="inlineStr">
        <is>
          <t>4dev: месяц</t>
        </is>
      </c>
      <c r="F45" s="8" t="inlineStr">
        <is>
          <t>4dev: год</t>
        </is>
      </c>
      <c r="G45" s="8" t="inlineStr">
        <is>
          <t>УСН 7%: месяц</t>
        </is>
      </c>
      <c r="H45" s="8" t="inlineStr">
        <is>
          <t>УСН 7%: год</t>
        </is>
      </c>
      <c r="I45" s="8" t="inlineStr">
        <is>
          <t>АУСН 8%: месяц</t>
        </is>
      </c>
      <c r="J45" s="8" t="inlineStr">
        <is>
          <t>АУСН 8%: год</t>
        </is>
      </c>
      <c r="K45" s="8" t="inlineStr">
        <is>
          <t>4dev − НПД за год</t>
        </is>
      </c>
      <c r="L45" s="8" t="inlineStr">
        <is>
          <t>УСН − НПД за год</t>
        </is>
      </c>
      <c r="M45" s="8" t="inlineStr">
        <is>
          <t>АУСН − НПД за год</t>
        </is>
      </c>
    </row>
    <row r="46">
      <c r="A46" s="50" t="inlineStr">
        <is>
          <t>БВ</t>
        </is>
      </c>
      <c r="B46" s="51" t="n">
        <v>15</v>
      </c>
      <c r="C46" s="52">
        <f>Q29</f>
        <v/>
      </c>
      <c r="D46" s="53">
        <f>Q29*12</f>
        <v/>
      </c>
      <c r="E46" s="52">
        <f>U29</f>
        <v/>
      </c>
      <c r="F46" s="53">
        <f>U29*12</f>
        <v/>
      </c>
      <c r="G46" s="52">
        <f>W29</f>
        <v/>
      </c>
      <c r="H46" s="53">
        <f>W29*12</f>
        <v/>
      </c>
      <c r="I46" s="52">
        <f>Y29</f>
        <v/>
      </c>
      <c r="J46" s="53">
        <f>Y29*12</f>
        <v/>
      </c>
      <c r="K46" s="53">
        <f>Z29*12</f>
        <v/>
      </c>
      <c r="L46" s="53">
        <f>AA29*12</f>
        <v/>
      </c>
      <c r="M46" s="53">
        <f>AB29*12</f>
        <v/>
      </c>
    </row>
    <row r="47">
      <c r="A47" s="50" t="inlineStr">
        <is>
          <t>АС</t>
        </is>
      </c>
      <c r="B47" s="51" t="n">
        <v>4</v>
      </c>
      <c r="C47" s="52">
        <f>Q36</f>
        <v/>
      </c>
      <c r="D47" s="53">
        <f>Q36*12</f>
        <v/>
      </c>
      <c r="E47" s="52">
        <f>U36</f>
        <v/>
      </c>
      <c r="F47" s="53">
        <f>U36*12</f>
        <v/>
      </c>
      <c r="G47" s="52">
        <f>W36</f>
        <v/>
      </c>
      <c r="H47" s="53">
        <f>W36*12</f>
        <v/>
      </c>
      <c r="I47" s="52">
        <f>Y36</f>
        <v/>
      </c>
      <c r="J47" s="53">
        <f>Y36*12</f>
        <v/>
      </c>
      <c r="K47" s="53">
        <f>Z36*12</f>
        <v/>
      </c>
      <c r="L47" s="53">
        <f>AA36*12</f>
        <v/>
      </c>
      <c r="M47" s="53">
        <f>AB36*12</f>
        <v/>
      </c>
    </row>
    <row r="48">
      <c r="A48" s="50" t="inlineStr">
        <is>
          <t>ИП МТ</t>
        </is>
      </c>
      <c r="B48" s="51" t="n">
        <v>1</v>
      </c>
      <c r="C48" s="52">
        <f>Q40</f>
        <v/>
      </c>
      <c r="D48" s="53">
        <f>Q40*12</f>
        <v/>
      </c>
      <c r="E48" s="52">
        <f>U40</f>
        <v/>
      </c>
      <c r="F48" s="53">
        <f>U40*12</f>
        <v/>
      </c>
      <c r="G48" s="52">
        <f>W40</f>
        <v/>
      </c>
      <c r="H48" s="53">
        <f>W40*12</f>
        <v/>
      </c>
      <c r="I48" s="52">
        <f>Y40</f>
        <v/>
      </c>
      <c r="J48" s="53">
        <f>Y40*12</f>
        <v/>
      </c>
      <c r="K48" s="53">
        <f>Z40*12</f>
        <v/>
      </c>
      <c r="L48" s="53">
        <f>AA40*12</f>
        <v/>
      </c>
      <c r="M48" s="53">
        <f>AB40*12</f>
        <v/>
      </c>
    </row>
    <row r="49">
      <c r="A49" s="54" t="inlineStr">
        <is>
          <t>ИТОГО</t>
        </is>
      </c>
      <c r="B49" s="55" t="n">
        <v>20</v>
      </c>
      <c r="C49" s="56">
        <f>Q42</f>
        <v/>
      </c>
      <c r="D49" s="56">
        <f>Q42*12</f>
        <v/>
      </c>
      <c r="E49" s="56">
        <f>U42</f>
        <v/>
      </c>
      <c r="F49" s="56">
        <f>U42*12</f>
        <v/>
      </c>
      <c r="G49" s="56">
        <f>W42</f>
        <v/>
      </c>
      <c r="H49" s="56">
        <f>W42*12</f>
        <v/>
      </c>
      <c r="I49" s="56">
        <f>Y42</f>
        <v/>
      </c>
      <c r="J49" s="56">
        <f>Y42*12</f>
        <v/>
      </c>
      <c r="K49" s="56">
        <f>Z42*12</f>
        <v/>
      </c>
      <c r="L49" s="56">
        <f>AA42*12</f>
        <v/>
      </c>
      <c r="M49" s="56">
        <f>AB42*12</f>
        <v/>
      </c>
    </row>
    <row r="51">
      <c r="A51" s="57" t="inlineStr">
        <is>
          <t>Примечания</t>
        </is>
      </c>
    </row>
    <row r="52">
      <c r="A52" s="2" t="inlineStr">
        <is>
          <t>1. База «Среднемес. на руки 2026» = «Итого 2026» ÷ 7 × (1 − ставка НПД). Ставка НПД по каждому — столбец E (у Абдуллиной 0%).</t>
        </is>
      </c>
    </row>
    <row r="53">
      <c r="A53" s="2" t="inlineStr">
        <is>
          <t>2. «Напрямую самозанятому» — базовый вариант: на руки + НПД, без комиссии и сбора. Все разницы считаются от него.</t>
        </is>
      </c>
    </row>
    <row r="54">
      <c r="A54" s="2" t="inlineStr">
        <is>
          <t>3. «Через площадку 4dev» — действующая схема: на руки + комиссия 3% + сбор ЮЛ Сингапура (÷0,975) + НПД.</t>
        </is>
      </c>
    </row>
    <row r="55">
      <c r="A55" s="2" t="inlineStr">
        <is>
          <t>4. «ИП на УСН 7%» и «ИП на АУСН 8%» — гипотетические сценарии: те же суммы на руки, налог сверху (выплата = на руки ÷ (1 − ставка)).</t>
        </is>
      </c>
    </row>
    <row r="56">
      <c r="A56" s="2" t="inlineStr">
        <is>
          <t>5. Суммы по годам включают все типы начислений: ЗП, аутсорс и прочее. Устранено задвоение строк между листами-копиями.</t>
        </is>
      </c>
    </row>
    <row r="57">
      <c r="A57" s="2" t="inlineStr">
        <is>
          <t>6. ОРАНЖЕВЫЕ ЯЧЕЙКИ в столбцах 2022–2026 собраны по отдельным строкам выплат — годовая сводная по этим людям в выгрузку Google Drive API не попала (она обрывается на фамилии «Косых»). Эти суммы могут быть занижены; сверьте их в исходной таблице.</t>
        </is>
      </c>
    </row>
    <row r="58">
      <c r="A58" s="2" t="inlineStr">
        <is>
          <t xml:space="preserve">   Затронуты: Глубокая Яна Ярославовна — 2026; Жиркова Валентина Александровна — 2026; Оглезнева Полина Сергеевна — 2023; Оглезнева Полина Сергеевна — 2024; Оглезнева Полина Сергеевна — 2025; Нуруллина Анжелика Альбертовна — 2024; Нуруллина Анжелика Альбертовна — 2025; Кузнецова Светлана Дмитриевна — 2025; Кузьмина Елена Игоревна — 2023; Кузьмина Елена Игоревна — 2025; Левашева Анна Алексеевна — 2025; Лукьянова Вера Константиновна — 2024; Лукьянова Вера Константиновна — 2025; Тупико Олег Николаевич — 2024; Тупико Олег Николаевич — 2025; Репетенко Инна Эдуардовна — 2022; Репетенко Инна Эдуардовна — 2023; Репетенко Инна Эдуардовна — 2024; Репетенко Инна Эдуардовна — 2025</t>
        </is>
      </c>
    </row>
    <row r="59">
      <c r="A59" s="2" t="inlineStr">
        <is>
          <t>7. На расчёт схем это НЕ влияет: база берётся только из 2026 года, а годовая сводная за 2026 выгрузилась полностью (96 человек).</t>
        </is>
      </c>
    </row>
    <row r="60">
      <c r="A60" s="2" t="inlineStr">
        <is>
          <t>8. Страховые взносы ИП в таблице НЕ учтены. На УСН ИП платит их за себя дополнительно, на АУСН взносы за себя не уплачиваются.</t>
        </is>
      </c>
    </row>
    <row r="61">
      <c r="A61" s="2" t="inlineStr">
        <is>
          <t>9. У АУСН есть ограничения: лимит дохода, численность до 5 человек, счёт в уполномоченном банке, доступен не во всех регионах.</t>
        </is>
      </c>
    </row>
    <row r="62">
      <c r="A62" s="2" t="inlineStr">
        <is>
          <t>10. Все ставки — в ячейках C5:C9. При изменении любой пересчитывается вся таблица и блок планирования.</t>
        </is>
      </c>
    </row>
    <row r="63">
      <c r="A63" s="2" t="inlineStr">
        <is>
          <t>11. Левашева и Капустина получают выплаты 2 года (2025–2026) — под критерий «более 2 лет» не подходят, включены по отдельной просьбе.</t>
        </is>
      </c>
    </row>
  </sheetData>
  <mergeCells count="20">
    <mergeCell ref="X11:Y11"/>
    <mergeCell ref="M11:M12"/>
    <mergeCell ref="B11:B12"/>
    <mergeCell ref="D11:D12"/>
    <mergeCell ref="H11:H12"/>
    <mergeCell ref="J11:J12"/>
    <mergeCell ref="K11:K12"/>
    <mergeCell ref="P11:Q11"/>
    <mergeCell ref="C11:C12"/>
    <mergeCell ref="R11:U11"/>
    <mergeCell ref="E11:E12"/>
    <mergeCell ref="V11:W11"/>
    <mergeCell ref="O11:O12"/>
    <mergeCell ref="F11:F12"/>
    <mergeCell ref="L11:L12"/>
    <mergeCell ref="N11:N12"/>
    <mergeCell ref="Z11:AB11"/>
    <mergeCell ref="G11:G12"/>
    <mergeCell ref="I11:I12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2026-08-03T09:54:09Z</dcterms:created>
  <dcterms:modified xsi:type="dcterms:W3CDTF">2026-08-03T09:54:09Z</dcterms:modified>
</cp:coreProperties>
</file>