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уммы" sheetId="2" state="visible" r:id="rId2"/>
    <sheet xmlns:r="http://schemas.openxmlformats.org/officeDocument/2006/relationships" name="Даты" sheetId="3" state="visible" r:id="rId3"/>
    <sheet xmlns:r="http://schemas.openxmlformats.org/officeDocument/2006/relationships" name="Склады" sheetId="4" state="visible" r:id="rId4"/>
    <sheet xmlns:r="http://schemas.openxmlformats.org/officeDocument/2006/relationships" name="Комментарии" sheetId="5" state="visible" r:id="rId5"/>
    <sheet xmlns:r="http://schemas.openxmlformats.org/officeDocument/2006/relationships" name="Контрагенты" sheetId="6" state="visible" r:id="rId6"/>
    <sheet xmlns:r="http://schemas.openxmlformats.org/officeDocument/2006/relationships" name="Только в УНФ" sheetId="7" state="visible" r:id="rId7"/>
    <sheet xmlns:r="http://schemas.openxmlformats.org/officeDocument/2006/relationships" name="Только в Бу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0549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4" customWidth="1" min="3" max="3"/>
  </cols>
  <sheetData>
    <row r="1">
      <c r="A1" s="1" t="inlineStr">
        <is>
          <t>Сверка поступлений: Бухгалтерия vs УНФ</t>
        </is>
      </c>
    </row>
    <row r="3">
      <c r="A3" s="2" t="inlineStr">
        <is>
          <t>Показатель</t>
        </is>
      </c>
      <c r="B3" s="2" t="inlineStr">
        <is>
          <t>Кол-во</t>
        </is>
      </c>
      <c r="C3" s="2" t="inlineStr">
        <is>
          <t>Где смотреть</t>
        </is>
      </c>
    </row>
    <row r="4">
      <c r="A4" s="3" t="inlineStr">
        <is>
          <t>Строк в файле «бух.xls»</t>
        </is>
      </c>
      <c r="B4" s="3" t="n">
        <v>120</v>
      </c>
      <c r="C4" s="3" t="inlineStr"/>
    </row>
    <row r="5">
      <c r="A5" s="3" t="inlineStr">
        <is>
          <t>Строк в файле «унф.xls»</t>
        </is>
      </c>
      <c r="B5" s="3" t="n">
        <v>121</v>
      </c>
      <c r="C5" s="3" t="inlineStr"/>
    </row>
    <row r="6">
      <c r="A6" s="3" t="inlineStr">
        <is>
          <t>Совпадающих документов (по номеру)</t>
        </is>
      </c>
      <c r="B6" s="3" t="n">
        <v>119</v>
      </c>
      <c r="C6" s="3" t="inlineStr"/>
    </row>
    <row r="7">
      <c r="A7" s="3" t="inlineStr">
        <is>
          <t>Расхождения по сумме</t>
        </is>
      </c>
      <c r="B7" s="3">
        <f>COUNTA(Суммы!A4:A200)</f>
        <v/>
      </c>
      <c r="C7" s="3" t="inlineStr">
        <is>
          <t>лист «Суммы»</t>
        </is>
      </c>
    </row>
    <row r="8">
      <c r="A8" s="3" t="inlineStr">
        <is>
          <t>Расхождения по дате</t>
        </is>
      </c>
      <c r="B8" s="3">
        <f>COUNTA(Даты!A4:A200)</f>
        <v/>
      </c>
      <c r="C8" s="3" t="inlineStr">
        <is>
          <t>лист «Даты»</t>
        </is>
      </c>
    </row>
    <row r="9">
      <c r="A9" s="3" t="inlineStr">
        <is>
          <t>Расхождения во входящем номере</t>
        </is>
      </c>
      <c r="B9" s="3" t="n">
        <v>0</v>
      </c>
      <c r="C9" s="3" t="inlineStr">
        <is>
          <t>—</t>
        </is>
      </c>
    </row>
    <row r="10">
      <c r="A10" s="3" t="inlineStr">
        <is>
          <t>Расхождения по складу</t>
        </is>
      </c>
      <c r="B10" s="3">
        <f>COUNTA(Склады!A4:A200)</f>
        <v/>
      </c>
      <c r="C10" s="3" t="inlineStr">
        <is>
          <t>лист «Склады»</t>
        </is>
      </c>
    </row>
    <row r="11">
      <c r="A11" s="3" t="inlineStr">
        <is>
          <t>Расхождения в комментарии</t>
        </is>
      </c>
      <c r="B11" s="3">
        <f>COUNTA(Комментарии!A4:A200)</f>
        <v/>
      </c>
      <c r="C11" s="3" t="inlineStr">
        <is>
          <t>лист «Комментарии»</t>
        </is>
      </c>
    </row>
    <row r="12">
      <c r="A12" s="3" t="inlineStr">
        <is>
          <t>Расхождения в контрагенте</t>
        </is>
      </c>
      <c r="B12" s="3">
        <f>COUNTA(Контрагенты!A4:A200)</f>
        <v/>
      </c>
      <c r="C12" s="3" t="inlineStr">
        <is>
          <t>лист «Контрагенты»</t>
        </is>
      </c>
    </row>
    <row r="13">
      <c r="A13" s="3" t="inlineStr">
        <is>
          <t>Документы только в УНФ</t>
        </is>
      </c>
      <c r="B13" s="3">
        <f>COUNTA('Только в УНФ'!A4:A5)</f>
        <v/>
      </c>
      <c r="C13" s="3" t="inlineStr">
        <is>
          <t>лист «Только в УНФ»</t>
        </is>
      </c>
    </row>
    <row r="14">
      <c r="A14" s="3" t="inlineStr">
        <is>
          <t>Документы только в Бухгалтерии</t>
        </is>
      </c>
      <c r="B14" s="3">
        <f>COUNTA('Только в Бух'!A4:A4)</f>
        <v/>
      </c>
      <c r="C14" s="3" t="inlineStr">
        <is>
          <t>лист «Только в Бух»</t>
        </is>
      </c>
    </row>
    <row r="16">
      <c r="A16" s="2" t="inlineStr">
        <is>
          <t>Суммы, ₽</t>
        </is>
      </c>
      <c r="B16" s="2" t="inlineStr"/>
      <c r="C16" s="2" t="inlineStr"/>
    </row>
    <row r="17">
      <c r="A17" s="3" t="inlineStr">
        <is>
          <t>Итого Бухгалтерия</t>
        </is>
      </c>
      <c r="B17" s="4" t="n">
        <v>53572551.92</v>
      </c>
      <c r="C17" s="3" t="inlineStr"/>
    </row>
    <row r="18">
      <c r="A18" s="3" t="inlineStr">
        <is>
          <t>Итого УНФ</t>
        </is>
      </c>
      <c r="B18" s="4" t="n">
        <v>54040755.91</v>
      </c>
      <c r="C18" s="3" t="inlineStr"/>
    </row>
    <row r="19">
      <c r="A19" s="3" t="inlineStr">
        <is>
          <t>Разница УНФ − Бух</t>
        </is>
      </c>
      <c r="B19" s="4">
        <f>B18-B17</f>
        <v/>
      </c>
      <c r="C19" s="3" t="inlineStr"/>
    </row>
    <row r="20">
      <c r="A20" s="3" t="inlineStr">
        <is>
          <t xml:space="preserve">  в т.ч. документы только в УНФ</t>
        </is>
      </c>
      <c r="B20" s="4">
        <f>'Только в УНФ'!D6</f>
        <v/>
      </c>
      <c r="C20" s="3" t="inlineStr"/>
    </row>
    <row r="21">
      <c r="A21" s="3" t="inlineStr">
        <is>
          <t xml:space="preserve">  в т.ч. документы только в Бух (с минусом)</t>
        </is>
      </c>
      <c r="B21" s="4">
        <f>-'Только в Бух'!D5</f>
        <v/>
      </c>
      <c r="C21" s="3" t="inlineStr"/>
    </row>
    <row r="22">
      <c r="A22" s="3" t="inlineStr">
        <is>
          <t xml:space="preserve">  в т.ч. разница сумм по совпадающим</t>
        </is>
      </c>
      <c r="B22" s="4">
        <f>SUM(Суммы!E4:E200)</f>
        <v/>
      </c>
      <c r="C22" s="3" t="inlineStr"/>
    </row>
    <row r="23">
      <c r="A23" s="3" t="inlineStr">
        <is>
          <t>Проверка (должно быть 0)</t>
        </is>
      </c>
      <c r="B23" s="4">
        <f>ROUND(B19-B20-B21-B22,2)</f>
        <v/>
      </c>
      <c r="C23" s="3" t="inlineStr"/>
    </row>
    <row r="24">
      <c r="A24" s="5" t="inlineStr">
        <is>
          <t>Примечания:</t>
        </is>
      </c>
    </row>
    <row r="25">
      <c r="A25" s="6" t="inlineStr">
        <is>
          <t>• Бух = файл 1e4a…xls, УНФ = файл 5a94…xls; сопоставление по номеру документа.</t>
        </is>
      </c>
    </row>
    <row r="26">
      <c r="A26" s="6" t="inlineStr">
        <is>
          <t>• 00BP-000001 (БРЕНД ТРЕЙД, 1 642 000 ₽, вх. №106 от 06.06.2025) есть только в Бух — в УНФ отсутствует.</t>
        </is>
      </c>
    </row>
    <row r="27">
      <c r="A27" s="6" t="inlineStr">
        <is>
          <t>• 00НФ-000211 и 00НФ-000260 в УНФ помечены «дубль» и в Бухгалтерию не попали.</t>
        </is>
      </c>
    </row>
    <row r="28">
      <c r="A28" s="6" t="inlineStr">
        <is>
          <t>• 00НФ-000212 и 00НФ-000282 в УНФ помечены «дубль», но в Бухгалтерии есть — проверить.</t>
        </is>
      </c>
    </row>
    <row r="29">
      <c r="A29" s="6" t="inlineStr">
        <is>
          <t>• 00НФ-000225: расхождение 1 коп. (Бух 32 944,48 / УНФ 32 944,47).</t>
        </is>
      </c>
    </row>
    <row r="30">
      <c r="A30" s="6" t="inlineStr">
        <is>
          <t>• 00НФ-000290: в Бух контрагент «ГЕТСИ ЛОГИСТИК (МСК)», в УНФ — «(ЛО)».</t>
        </is>
      </c>
    </row>
    <row r="31">
      <c r="A31" s="6" t="inlineStr">
        <is>
          <t>• В Бух у 36 документов (услуги) склад не заполнен — это не считается расхождением, кроме 00НФ-000319 (в УНФ «Основной склад ИП»).</t>
        </is>
      </c>
    </row>
    <row r="32">
      <c r="A32" s="6" t="inlineStr">
        <is>
          <t>• Исправлено с прошлой сверки: суммы без НДС (276, 279, 280, 281, 308), дата и комментарий 00НФ-000246, ЛИКАРД 318/319 теперь есть в Бух.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Расхождения по сумме</t>
        </is>
      </c>
    </row>
    <row r="3">
      <c r="A3" s="7" t="inlineStr">
        <is>
          <t>Номер</t>
        </is>
      </c>
      <c r="B3" s="7" t="inlineStr">
        <is>
          <t>Контрагент</t>
        </is>
      </c>
      <c r="C3" s="7" t="inlineStr">
        <is>
          <t>Сумма Бух</t>
        </is>
      </c>
      <c r="D3" s="7" t="inlineStr">
        <is>
          <t>Сумма УНФ</t>
        </is>
      </c>
      <c r="E3" s="7" t="inlineStr">
        <is>
          <t>Разница (УНФ−Бух)</t>
        </is>
      </c>
      <c r="F3" s="7" t="inlineStr">
        <is>
          <t>Коэф. УНФ/Бух</t>
        </is>
      </c>
    </row>
    <row r="4">
      <c r="A4" s="8" t="inlineStr">
        <is>
          <t>00НФ-000225</t>
        </is>
      </c>
      <c r="B4" s="9" t="inlineStr">
        <is>
          <t>БЕРКС ООО</t>
        </is>
      </c>
      <c r="C4" s="10" t="n">
        <v>32944.48</v>
      </c>
      <c r="D4" s="10" t="n">
        <v>32944.47</v>
      </c>
      <c r="E4" s="10">
        <f>D4-C4</f>
        <v/>
      </c>
      <c r="F4" s="8">
        <f>ROUND(D4/C4,4)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Расхождения по дате документа</t>
        </is>
      </c>
    </row>
    <row r="3">
      <c r="A3" s="7" t="inlineStr">
        <is>
          <t>Номер</t>
        </is>
      </c>
      <c r="B3" s="7" t="inlineStr">
        <is>
          <t>Контрагент</t>
        </is>
      </c>
      <c r="C3" s="7" t="inlineStr">
        <is>
          <t>Дата Бух</t>
        </is>
      </c>
      <c r="D3" s="7" t="inlineStr">
        <is>
          <t>Дата УНФ</t>
        </is>
      </c>
      <c r="E3" s="7" t="inlineStr">
        <is>
          <t>Комментарий Бух</t>
        </is>
      </c>
    </row>
    <row r="4">
      <c r="A4" s="8" t="inlineStr">
        <is>
          <t>00НФ-000258</t>
        </is>
      </c>
      <c r="B4" s="9" t="inlineStr">
        <is>
          <t>БЕРКС ООО</t>
        </is>
      </c>
      <c r="C4" s="8" t="inlineStr">
        <is>
          <t>18.08.2026</t>
        </is>
      </c>
      <c r="D4" s="8" t="inlineStr">
        <is>
          <t>20.08.2026</t>
        </is>
      </c>
      <c r="E4" s="9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6" customWidth="1" min="3" max="3"/>
    <col width="26" customWidth="1" min="4" max="4"/>
  </cols>
  <sheetData>
    <row r="1">
      <c r="A1" s="1" t="inlineStr">
        <is>
          <t>Расхождения по складу</t>
        </is>
      </c>
    </row>
    <row r="3">
      <c r="A3" s="7" t="inlineStr">
        <is>
          <t>Номер</t>
        </is>
      </c>
      <c r="B3" s="7" t="inlineStr">
        <is>
          <t>Контрагент</t>
        </is>
      </c>
      <c r="C3" s="7" t="inlineStr">
        <is>
          <t>Склад Бух</t>
        </is>
      </c>
      <c r="D3" s="7" t="inlineStr">
        <is>
          <t>Склад УНФ</t>
        </is>
      </c>
    </row>
    <row r="4">
      <c r="A4" s="8" t="inlineStr">
        <is>
          <t>00НФ-000190</t>
        </is>
      </c>
      <c r="B4" s="9" t="inlineStr">
        <is>
          <t>БРЕНД ТРЕЙД ООО</t>
        </is>
      </c>
      <c r="C4" s="8" t="inlineStr">
        <is>
          <t>Основной склад Зеллеон</t>
        </is>
      </c>
      <c r="D4" s="8" t="inlineStr">
        <is>
          <t>Склад Z ОС</t>
        </is>
      </c>
    </row>
    <row r="5">
      <c r="A5" s="8" t="inlineStr">
        <is>
          <t>00НФ-000281</t>
        </is>
      </c>
      <c r="B5" s="9" t="inlineStr">
        <is>
          <t>ДНС РИТЕЙЛ ООО</t>
        </is>
      </c>
      <c r="C5" s="8" t="inlineStr">
        <is>
          <t>Основной склад Зеллеон</t>
        </is>
      </c>
      <c r="D5" s="8" t="inlineStr">
        <is>
          <t>Основной склад ИП</t>
        </is>
      </c>
    </row>
    <row r="6">
      <c r="A6" s="8" t="inlineStr">
        <is>
          <t>00НФ-000318</t>
        </is>
      </c>
      <c r="B6" s="9" t="inlineStr">
        <is>
          <t>ЛИКАРД ООО</t>
        </is>
      </c>
      <c r="C6" s="8" t="inlineStr">
        <is>
          <t>Основной склад Зеллеон</t>
        </is>
      </c>
      <c r="D6" s="8" t="inlineStr">
        <is>
          <t>Основной склад ИП</t>
        </is>
      </c>
    </row>
    <row r="7">
      <c r="A7" s="8" t="inlineStr">
        <is>
          <t>00НФ-000319</t>
        </is>
      </c>
      <c r="B7" s="9" t="inlineStr">
        <is>
          <t>ЛИКАРД ООО</t>
        </is>
      </c>
      <c r="C7" s="8" t="inlineStr">
        <is>
          <t>(не указан)</t>
        </is>
      </c>
      <c r="D7" s="8" t="inlineStr">
        <is>
          <t>Основной склад ИП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50" customWidth="1" min="3" max="3"/>
    <col width="40" customWidth="1" min="4" max="4"/>
  </cols>
  <sheetData>
    <row r="1">
      <c r="A1" s="1" t="inlineStr">
        <is>
          <t>Расхождения в комментарии (в т.ч. пометки «дубль»)</t>
        </is>
      </c>
    </row>
    <row r="3">
      <c r="A3" s="7" t="inlineStr">
        <is>
          <t>Номер</t>
        </is>
      </c>
      <c r="B3" s="7" t="inlineStr">
        <is>
          <t>Контрагент</t>
        </is>
      </c>
      <c r="C3" s="7" t="inlineStr">
        <is>
          <t>Комментарий Бух</t>
        </is>
      </c>
      <c r="D3" s="7" t="inlineStr">
        <is>
          <t>Комментарий УНФ</t>
        </is>
      </c>
    </row>
    <row r="4">
      <c r="A4" s="8" t="inlineStr">
        <is>
          <t>00НФ-000212</t>
        </is>
      </c>
      <c r="B4" s="9" t="inlineStr">
        <is>
          <t>Обособленное подразделение  "ДНС Ритейл ООО</t>
        </is>
      </c>
      <c r="C4" s="9" t="inlineStr">
        <is>
          <t>(пусто)</t>
        </is>
      </c>
      <c r="D4" s="9" t="inlineStr">
        <is>
          <t>дубль</t>
        </is>
      </c>
    </row>
    <row r="5">
      <c r="A5" s="8" t="inlineStr">
        <is>
          <t>00НФ-000282</t>
        </is>
      </c>
      <c r="B5" s="9" t="inlineStr">
        <is>
          <t>ЭЛТЕКС СПБ ООО</t>
        </is>
      </c>
      <c r="C5" s="9" t="inlineStr">
        <is>
          <t>(пусто)</t>
        </is>
      </c>
      <c r="D5" s="9" t="inlineStr">
        <is>
          <t>дубль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32" customWidth="1" min="4" max="4"/>
  </cols>
  <sheetData>
    <row r="1">
      <c r="A1" s="1" t="inlineStr">
        <is>
          <t>Расхождения в контрагенте</t>
        </is>
      </c>
    </row>
    <row r="3">
      <c r="A3" s="7" t="inlineStr">
        <is>
          <t>Номер</t>
        </is>
      </c>
      <c r="B3" s="7" t="inlineStr">
        <is>
          <t>Дата</t>
        </is>
      </c>
      <c r="C3" s="7" t="inlineStr">
        <is>
          <t>Контрагент Бух</t>
        </is>
      </c>
      <c r="D3" s="7" t="inlineStr">
        <is>
          <t>Контрагент УНФ</t>
        </is>
      </c>
    </row>
    <row r="4">
      <c r="A4" s="8" t="inlineStr">
        <is>
          <t>00НФ-000290</t>
        </is>
      </c>
      <c r="B4" s="8" t="inlineStr">
        <is>
          <t>18.09.2026</t>
        </is>
      </c>
      <c r="C4" s="9" t="inlineStr">
        <is>
          <t>ГЕТСИ ЛОГИСТИК ООО (МСК)</t>
        </is>
      </c>
      <c r="D4" s="9" t="inlineStr">
        <is>
          <t>ГЕТСИ ЛОГИСТИК ООО (ЛО)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6" customWidth="1" min="4" max="4"/>
    <col width="24" customWidth="1" min="5" max="5"/>
    <col width="20" customWidth="1" min="6" max="6"/>
  </cols>
  <sheetData>
    <row r="1">
      <c r="A1" s="1" t="inlineStr">
        <is>
          <t>Документы, которых нет в Бухгалтерии (есть только в УНФ)</t>
        </is>
      </c>
    </row>
    <row r="3">
      <c r="A3" s="7" t="inlineStr">
        <is>
          <t>Номер</t>
        </is>
      </c>
      <c r="B3" s="7" t="inlineStr">
        <is>
          <t>Дата</t>
        </is>
      </c>
      <c r="C3" s="7" t="inlineStr">
        <is>
          <t>Поставщик</t>
        </is>
      </c>
      <c r="D3" s="7" t="inlineStr">
        <is>
          <t>Сумма</t>
        </is>
      </c>
      <c r="E3" s="7" t="inlineStr">
        <is>
          <t>Склад</t>
        </is>
      </c>
      <c r="F3" s="7" t="inlineStr">
        <is>
          <t>Комментарий УНФ</t>
        </is>
      </c>
    </row>
    <row r="4">
      <c r="A4" s="8" t="inlineStr">
        <is>
          <t>00НФ-000211</t>
        </is>
      </c>
      <c r="B4" s="8" t="inlineStr">
        <is>
          <t>15.07.2026</t>
        </is>
      </c>
      <c r="C4" s="9" t="inlineStr">
        <is>
          <t>КАРИН ООО</t>
        </is>
      </c>
      <c r="D4" s="10" t="n">
        <v>17995.23</v>
      </c>
      <c r="E4" s="8" t="inlineStr">
        <is>
          <t>Основной склад Зеллеон</t>
        </is>
      </c>
      <c r="F4" s="8" t="inlineStr">
        <is>
          <t>дублдь</t>
        </is>
      </c>
    </row>
    <row r="5">
      <c r="A5" s="8" t="inlineStr">
        <is>
          <t>00НФ-000260</t>
        </is>
      </c>
      <c r="B5" s="8" t="inlineStr">
        <is>
          <t>31.08.2026</t>
        </is>
      </c>
      <c r="C5" s="9" t="inlineStr">
        <is>
          <t>БЕРКС ООО</t>
        </is>
      </c>
      <c r="D5" s="10" t="n">
        <v>2092208.77</v>
      </c>
      <c r="E5" s="8" t="inlineStr">
        <is>
          <t>Основной склад Зеллеон</t>
        </is>
      </c>
      <c r="F5" s="8" t="inlineStr">
        <is>
          <t>дубль</t>
        </is>
      </c>
    </row>
    <row r="6">
      <c r="A6" s="11" t="n"/>
      <c r="B6" s="11" t="n"/>
      <c r="C6" s="12" t="inlineStr">
        <is>
          <t>Итого</t>
        </is>
      </c>
      <c r="D6" s="13">
        <f>SUM(D4:D5)</f>
        <v/>
      </c>
      <c r="E6" s="11" t="n"/>
      <c r="F6" s="11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6" customWidth="1" min="4" max="4"/>
    <col width="24" customWidth="1" min="5" max="5"/>
    <col width="14" customWidth="1" min="6" max="6"/>
    <col width="14" customWidth="1" min="7" max="7"/>
  </cols>
  <sheetData>
    <row r="1">
      <c r="A1" s="1" t="inlineStr">
        <is>
          <t>Документы, которых нет в УНФ (есть только в Бухгалтерии)</t>
        </is>
      </c>
    </row>
    <row r="3">
      <c r="A3" s="7" t="inlineStr">
        <is>
          <t>Номер</t>
        </is>
      </c>
      <c r="B3" s="7" t="inlineStr">
        <is>
          <t>Дата</t>
        </is>
      </c>
      <c r="C3" s="7" t="inlineStr">
        <is>
          <t>Контрагент</t>
        </is>
      </c>
      <c r="D3" s="7" t="inlineStr">
        <is>
          <t>Сумма</t>
        </is>
      </c>
      <c r="E3" s="7" t="inlineStr">
        <is>
          <t>Склад</t>
        </is>
      </c>
      <c r="F3" s="7" t="inlineStr">
        <is>
          <t>Дата вх.</t>
        </is>
      </c>
      <c r="G3" s="7" t="inlineStr">
        <is>
          <t>Номер вх.</t>
        </is>
      </c>
    </row>
    <row r="4">
      <c r="A4" s="8" t="inlineStr">
        <is>
          <t>00BP-000001</t>
        </is>
      </c>
      <c r="B4" s="8" t="inlineStr">
        <is>
          <t>01.07.2026</t>
        </is>
      </c>
      <c r="C4" s="9" t="inlineStr">
        <is>
          <t>БРЕНД ТРЕЙД ООО</t>
        </is>
      </c>
      <c r="D4" s="10" t="n">
        <v>1642000</v>
      </c>
      <c r="E4" s="8" t="inlineStr">
        <is>
          <t>Основной склад Зеллеон</t>
        </is>
      </c>
      <c r="F4" s="8" t="inlineStr">
        <is>
          <t>06.06.2025</t>
        </is>
      </c>
      <c r="G4" s="8" t="inlineStr">
        <is>
          <t>106</t>
        </is>
      </c>
    </row>
    <row r="5">
      <c r="A5" s="11" t="n"/>
      <c r="B5" s="11" t="n"/>
      <c r="C5" s="12" t="inlineStr">
        <is>
          <t>Итого</t>
        </is>
      </c>
      <c r="D5" s="13">
        <f>SUM(D4:D4)</f>
        <v/>
      </c>
      <c r="E5" s="11" t="n"/>
      <c r="F5" s="11" t="n"/>
      <c r="G5" s="11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2026-10-24T10:06:21Z</dcterms:created>
  <dcterms:modified xmlns:dcterms="http://purl.org/dc/terms/" xmlns:xsi="http://www.w3.org/2001/XMLSchema-instance" xsi:type="dcterms:W3CDTF">2026-10-24T10:06:21Z</dcterms:modified>
</cp:coreProperties>
</file>