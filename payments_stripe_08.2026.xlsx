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OlgaB\Downloads\Stripe\"/>
    </mc:Choice>
  </mc:AlternateContent>
  <bookViews>
    <workbookView xWindow="0" yWindow="0" windowWidth="23040" windowHeight="9192"/>
  </bookViews>
  <sheets>
    <sheet name="Сводная" sheetId="1" r:id="rId1"/>
    <sheet name="unified_payments" sheetId="2" r:id="rId2"/>
    <sheet name="Countries" sheetId="3" r:id="rId3"/>
  </sheets>
  <definedNames>
    <definedName name="_xlnm._FilterDatabase" localSheetId="1" hidden="1">unified_payments!$A$1:$H$7023</definedName>
  </definedNames>
  <calcPr calcId="162913"/>
</workbook>
</file>

<file path=xl/sharedStrings.xml><?xml version="1.0" encoding="utf-8"?>
<sst xmlns="http://schemas.openxmlformats.org/spreadsheetml/2006/main" count="21478" uniqueCount="343">
  <si>
    <t>Названия строк</t>
  </si>
  <si>
    <t>Сумма по полю Amount USD</t>
  </si>
  <si>
    <t xml:space="preserve">Сумма по полю Converted Amount EUR </t>
  </si>
  <si>
    <t>Сумма по полю Fee EUR</t>
  </si>
  <si>
    <t>Australia</t>
  </si>
  <si>
    <t>Austria</t>
  </si>
  <si>
    <t>Belgium</t>
  </si>
  <si>
    <t>Bermuda</t>
  </si>
  <si>
    <t>Bolivia</t>
  </si>
  <si>
    <t>Bosnia &amp; Herzegovina</t>
  </si>
  <si>
    <t>Brazil</t>
  </si>
  <si>
    <t>Bulgaria</t>
  </si>
  <si>
    <t>Cambodia</t>
  </si>
  <si>
    <t>Cameroon</t>
  </si>
  <si>
    <t>Canada</t>
  </si>
  <si>
    <t>Chili</t>
  </si>
  <si>
    <t>China</t>
  </si>
  <si>
    <t>Colombia</t>
  </si>
  <si>
    <t>Costa Rica</t>
  </si>
  <si>
    <t>Cote d'Ivoire</t>
  </si>
  <si>
    <t>Croatia</t>
  </si>
  <si>
    <t>Czech Republic</t>
  </si>
  <si>
    <t>Denmark</t>
  </si>
  <si>
    <t>Dominican Republic</t>
  </si>
  <si>
    <t>Egypt</t>
  </si>
  <si>
    <t>El Salvador</t>
  </si>
  <si>
    <t>Finland</t>
  </si>
  <si>
    <t>France</t>
  </si>
  <si>
    <t>Georgia</t>
  </si>
  <si>
    <t>Germany</t>
  </si>
  <si>
    <t>Ghana</t>
  </si>
  <si>
    <t>Great Britain (United Kingdom)</t>
  </si>
  <si>
    <t>Greece</t>
  </si>
  <si>
    <t>Guam</t>
  </si>
  <si>
    <t>Guatemala</t>
  </si>
  <si>
    <t>Guyana</t>
  </si>
  <si>
    <t>Honduras</t>
  </si>
  <si>
    <t>Hong Kong</t>
  </si>
  <si>
    <t>Hungary</t>
  </si>
  <si>
    <t>Iceland</t>
  </si>
  <si>
    <t>India</t>
  </si>
  <si>
    <t>Indonesia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</si>
  <si>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</si>
  <si>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</si>
  <si>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</si>
  <si>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</si>
  <si>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</si>
  <si>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</si>
  <si>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</si>
  <si>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</si>
  <si>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</si>
  <si>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Korea (South)</t>
  </si>
  <si>
    <t>Kuwait</t>
  </si>
  <si>
    <t>Kyrgyzstan</t>
  </si>
  <si>
    <t>Lebanon</t>
  </si>
  <si>
    <t>Liechtenstein</t>
  </si>
  <si>
    <t>Lithuania</t>
  </si>
  <si>
    <t>Luxembourg</t>
  </si>
  <si>
    <t>Malaysia</t>
  </si>
  <si>
    <t>Marocco</t>
  </si>
  <si>
    <t>Mauritius</t>
  </si>
  <si>
    <t>Mexico</t>
  </si>
  <si>
    <t>Moldova</t>
  </si>
  <si>
    <t>Montenegro</t>
  </si>
  <si>
    <t>Myanmar</t>
  </si>
  <si>
    <t>Netherlands (Holland)</t>
  </si>
  <si>
    <t>New Zealand</t>
  </si>
  <si>
    <t>Nicaragua</t>
  </si>
  <si>
    <t>Nigeria</t>
  </si>
  <si>
    <t>Norway</t>
  </si>
  <si>
    <t>Pakistan</t>
  </si>
  <si>
    <t>Palestinian Territory (occupied)</t>
  </si>
  <si>
    <t>Panama</t>
  </si>
  <si>
    <t>Paraguay</t>
  </si>
  <si>
    <t>Peru</t>
  </si>
  <si>
    <t>Philippines</t>
  </si>
  <si>
    <t>Poland</t>
  </si>
  <si>
    <t>Portugal</t>
  </si>
  <si>
    <t>Puerto Rico</t>
  </si>
  <si>
    <t>Qatar</t>
  </si>
  <si>
    <t>Republic of Serbia</t>
  </si>
  <si>
    <t>Romania</t>
  </si>
  <si>
    <t>Saudi Arabia</t>
  </si>
  <si>
    <t>Senegal</t>
  </si>
  <si>
    <t>Singapore</t>
  </si>
  <si>
    <t>Slovak Republic</t>
  </si>
  <si>
    <t>Slovenia</t>
  </si>
  <si>
    <t>South Africa</t>
  </si>
  <si>
    <t>Spain</t>
  </si>
  <si>
    <t>Sri Lanka</t>
  </si>
  <si>
    <t>Sweden</t>
  </si>
  <si>
    <t>Switzerland</t>
  </si>
  <si>
    <t>Taiwan</t>
  </si>
  <si>
    <t>Thailand</t>
  </si>
  <si>
    <t>Turkey</t>
  </si>
  <si>
    <t>Uganda</t>
  </si>
  <si>
    <t>Ukraine</t>
  </si>
  <si>
    <t>United Arab Emirates</t>
  </si>
  <si>
    <t>United States of America</t>
  </si>
  <si>
    <t>Uruguay</t>
  </si>
  <si>
    <t>Vietnam</t>
  </si>
  <si>
    <t>Zimbabwe</t>
  </si>
  <si>
    <t>Общий итог</t>
  </si>
  <si>
    <t>Created date (UTC)</t>
  </si>
  <si>
    <t>Amount USD</t>
  </si>
  <si>
    <t xml:space="preserve">Converted Amount EUR </t>
  </si>
  <si>
    <t>Fee EUR</t>
  </si>
  <si>
    <t>Card Address Country</t>
  </si>
  <si>
    <t>Card Issue Country</t>
  </si>
  <si>
    <t>Country</t>
  </si>
  <si>
    <t>FULL</t>
  </si>
  <si>
    <t>FI</t>
  </si>
  <si>
    <t>IE</t>
  </si>
  <si>
    <t>US</t>
  </si>
  <si>
    <t>PH</t>
  </si>
  <si>
    <t>CH</t>
  </si>
  <si>
    <t>ES</t>
  </si>
  <si>
    <t>SK</t>
  </si>
  <si>
    <t>BM</t>
  </si>
  <si>
    <t>GB</t>
  </si>
  <si>
    <t>CZ</t>
  </si>
  <si>
    <t>JP</t>
  </si>
  <si>
    <t>MM</t>
  </si>
  <si>
    <t>FR</t>
  </si>
  <si>
    <t>IT</t>
  </si>
  <si>
    <t>NO</t>
  </si>
  <si>
    <t>KH</t>
  </si>
  <si>
    <t>PR</t>
  </si>
  <si>
    <t>ZA</t>
  </si>
  <si>
    <t>QA</t>
  </si>
  <si>
    <t>AU</t>
  </si>
  <si>
    <t>UA</t>
  </si>
  <si>
    <t>CA</t>
  </si>
  <si>
    <t>DK</t>
  </si>
  <si>
    <t>HK</t>
  </si>
  <si>
    <t>KW</t>
  </si>
  <si>
    <t>TR</t>
  </si>
  <si>
    <t>PL</t>
  </si>
  <si>
    <t>IS</t>
  </si>
  <si>
    <t>NG</t>
  </si>
  <si>
    <t>CO</t>
  </si>
  <si>
    <t>SN</t>
  </si>
  <si>
    <t>IN</t>
  </si>
  <si>
    <t>AE</t>
  </si>
  <si>
    <t>UY</t>
  </si>
  <si>
    <t>TH</t>
  </si>
  <si>
    <t>GP</t>
  </si>
  <si>
    <t>DE</t>
  </si>
  <si>
    <t>HN</t>
  </si>
  <si>
    <t>ID</t>
  </si>
  <si>
    <t>SV</t>
  </si>
  <si>
    <t>NL</t>
  </si>
  <si>
    <t>SG</t>
  </si>
  <si>
    <t>MU</t>
  </si>
  <si>
    <t>BE</t>
  </si>
  <si>
    <t>BG</t>
  </si>
  <si>
    <t>CI</t>
  </si>
  <si>
    <t>CR</t>
  </si>
  <si>
    <t>TN</t>
  </si>
  <si>
    <t>RO</t>
  </si>
  <si>
    <t>NZ</t>
  </si>
  <si>
    <t>LU</t>
  </si>
  <si>
    <t>DZ</t>
  </si>
  <si>
    <t>SA</t>
  </si>
  <si>
    <t>GY</t>
  </si>
  <si>
    <t>IL</t>
  </si>
  <si>
    <t>NP</t>
  </si>
  <si>
    <t>CY</t>
  </si>
  <si>
    <t>KY</t>
  </si>
  <si>
    <t>LK</t>
  </si>
  <si>
    <t>KG</t>
  </si>
  <si>
    <t>KR</t>
  </si>
  <si>
    <t>HR</t>
  </si>
  <si>
    <t>AD</t>
  </si>
  <si>
    <t>ZW</t>
  </si>
  <si>
    <t>GU</t>
  </si>
  <si>
    <t>IM</t>
  </si>
  <si>
    <t>HU</t>
  </si>
  <si>
    <t>SE</t>
  </si>
  <si>
    <t>FO</t>
  </si>
  <si>
    <t>PT</t>
  </si>
  <si>
    <t>MX</t>
  </si>
  <si>
    <t>GT</t>
  </si>
  <si>
    <t>MY</t>
  </si>
  <si>
    <t>GL</t>
  </si>
  <si>
    <t>RS</t>
  </si>
  <si>
    <t>PY</t>
  </si>
  <si>
    <t>JM</t>
  </si>
  <si>
    <t>DO</t>
  </si>
  <si>
    <t>AT</t>
  </si>
  <si>
    <t>EG</t>
  </si>
  <si>
    <t>UG</t>
  </si>
  <si>
    <t>LT</t>
  </si>
  <si>
    <t>LI</t>
  </si>
  <si>
    <t>VN</t>
  </si>
  <si>
    <t>BA</t>
  </si>
  <si>
    <t>KZ</t>
  </si>
  <si>
    <t>CN</t>
  </si>
  <si>
    <t>TW</t>
  </si>
  <si>
    <t>MD</t>
  </si>
  <si>
    <t>IQ</t>
  </si>
  <si>
    <t>EL</t>
  </si>
  <si>
    <t>LB</t>
  </si>
  <si>
    <t>SI</t>
  </si>
  <si>
    <t>CM</t>
  </si>
  <si>
    <t>PK</t>
  </si>
  <si>
    <t>EC</t>
  </si>
  <si>
    <t>BR</t>
  </si>
  <si>
    <t>GE</t>
  </si>
  <si>
    <t>BO</t>
  </si>
  <si>
    <t>NI</t>
  </si>
  <si>
    <t>AL</t>
  </si>
  <si>
    <t>RE</t>
  </si>
  <si>
    <t>KE</t>
  </si>
  <si>
    <t>PE</t>
  </si>
  <si>
    <t>PS</t>
  </si>
  <si>
    <t>MR</t>
  </si>
  <si>
    <t>PA</t>
  </si>
  <si>
    <t>RU</t>
  </si>
  <si>
    <t>PF</t>
  </si>
  <si>
    <t>GH</t>
  </si>
  <si>
    <t>JO</t>
  </si>
  <si>
    <t>ME</t>
  </si>
  <si>
    <t>MA</t>
  </si>
  <si>
    <t>GF</t>
  </si>
  <si>
    <t>CL</t>
  </si>
  <si>
    <t>Albania</t>
  </si>
  <si>
    <t>Algeria</t>
  </si>
  <si>
    <t>Andorra</t>
  </si>
  <si>
    <t>AO</t>
  </si>
  <si>
    <t>Angola</t>
  </si>
  <si>
    <t>AG</t>
  </si>
  <si>
    <t>Antigua and Barbuda</t>
  </si>
  <si>
    <t>AR</t>
  </si>
  <si>
    <t>Argentina</t>
  </si>
  <si>
    <t>AW</t>
  </si>
  <si>
    <t>Aruba</t>
  </si>
  <si>
    <t>AZ</t>
  </si>
  <si>
    <t>Azerbaijan</t>
  </si>
  <si>
    <t>BS</t>
  </si>
  <si>
    <t>Bahamas</t>
  </si>
  <si>
    <t>BH</t>
  </si>
  <si>
    <t>Bahrain</t>
  </si>
  <si>
    <t>BD</t>
  </si>
  <si>
    <t>Bangladesh</t>
  </si>
  <si>
    <t>BB</t>
  </si>
  <si>
    <t>Barbados</t>
  </si>
  <si>
    <t>BY</t>
  </si>
  <si>
    <t>Belarus</t>
  </si>
  <si>
    <t>BZ</t>
  </si>
  <si>
    <t>Belize</t>
  </si>
  <si>
    <t>BT</t>
  </si>
  <si>
    <t>Bhutan</t>
  </si>
  <si>
    <t>BW</t>
  </si>
  <si>
    <t>Botswana</t>
  </si>
  <si>
    <t>BN</t>
  </si>
  <si>
    <t>Brunei Darussalam</t>
  </si>
  <si>
    <t>BF</t>
  </si>
  <si>
    <t>Burkina Faso</t>
  </si>
  <si>
    <t>CW</t>
  </si>
  <si>
    <t>CURAÇAO</t>
  </si>
  <si>
    <t>Cayman Islands</t>
  </si>
  <si>
    <t>TD</t>
  </si>
  <si>
    <t>Chad</t>
  </si>
  <si>
    <t>CD</t>
  </si>
  <si>
    <t>Congo, the Democratic Republic of the</t>
  </si>
  <si>
    <t>CK</t>
  </si>
  <si>
    <t>Cook Islands</t>
  </si>
  <si>
    <t>Cyprus</t>
  </si>
  <si>
    <t>DJ</t>
  </si>
  <si>
    <t>Djibouti</t>
  </si>
  <si>
    <t>Ecuador</t>
  </si>
  <si>
    <t>EE</t>
  </si>
  <si>
    <t>Estonia</t>
  </si>
  <si>
    <t>FJ</t>
  </si>
  <si>
    <t>Fiji</t>
  </si>
  <si>
    <t>GD</t>
  </si>
  <si>
    <t>Grenada</t>
  </si>
  <si>
    <t>LA</t>
  </si>
  <si>
    <t>Lao People's Democratic Republic</t>
  </si>
  <si>
    <t>LV</t>
  </si>
  <si>
    <t>Latvia</t>
  </si>
  <si>
    <t>LY</t>
  </si>
  <si>
    <t>Libya</t>
  </si>
  <si>
    <t>MO</t>
  </si>
  <si>
    <t>Macao</t>
  </si>
  <si>
    <t>MK</t>
  </si>
  <si>
    <t>Macedonia</t>
  </si>
  <si>
    <t>MG</t>
  </si>
  <si>
    <t>Madagascar</t>
  </si>
  <si>
    <t>MV</t>
  </si>
  <si>
    <t>Maldives</t>
  </si>
  <si>
    <t>ML</t>
  </si>
  <si>
    <t>Mali</t>
  </si>
  <si>
    <t>MT</t>
  </si>
  <si>
    <t>Malta</t>
  </si>
  <si>
    <t>Mauritania</t>
  </si>
  <si>
    <t>MN</t>
  </si>
  <si>
    <t>Mongolia</t>
  </si>
  <si>
    <t>MZ</t>
  </si>
  <si>
    <t>Mozambique</t>
  </si>
  <si>
    <t>NA</t>
  </si>
  <si>
    <t>Namibia</t>
  </si>
  <si>
    <t>Nepal</t>
  </si>
  <si>
    <t>OM</t>
  </si>
  <si>
    <t>Oman</t>
  </si>
  <si>
    <t>PG</t>
  </si>
  <si>
    <t>Papua New Guinea</t>
  </si>
  <si>
    <t>RW</t>
  </si>
  <si>
    <t>Rwanda</t>
  </si>
  <si>
    <t>KN</t>
  </si>
  <si>
    <t>Saint Kitts and Nevis</t>
  </si>
  <si>
    <t>SC</t>
  </si>
  <si>
    <t>Seychelles</t>
  </si>
  <si>
    <t>SL</t>
  </si>
  <si>
    <t>Sierra Leone</t>
  </si>
  <si>
    <t>SX</t>
  </si>
  <si>
    <t>Sint Maarten (Dutch part)</t>
  </si>
  <si>
    <t>SO</t>
  </si>
  <si>
    <t>Somalia</t>
  </si>
  <si>
    <t>SR</t>
  </si>
  <si>
    <t>Suriname</t>
  </si>
  <si>
    <t>SZ</t>
  </si>
  <si>
    <t>Swaziland</t>
  </si>
  <si>
    <t>TJ</t>
  </si>
  <si>
    <t>Tajikistan</t>
  </si>
  <si>
    <t>TZ</t>
  </si>
  <si>
    <t>Tanzania</t>
  </si>
  <si>
    <t>TT</t>
  </si>
  <si>
    <t>Trinidad and Tobago</t>
  </si>
  <si>
    <t>Tunisia</t>
  </si>
  <si>
    <t>TC</t>
  </si>
  <si>
    <t>Turks and Caicos Islands</t>
  </si>
  <si>
    <t>UZ</t>
  </si>
  <si>
    <t>Uzbekistan</t>
  </si>
  <si>
    <t>VE</t>
  </si>
  <si>
    <t>Venezuela</t>
  </si>
  <si>
    <t>YE</t>
  </si>
  <si>
    <t>Yemen</t>
  </si>
  <si>
    <t>ZM</t>
  </si>
  <si>
    <t>Zambia</t>
  </si>
  <si>
    <t>GN</t>
  </si>
  <si>
    <t> Guinea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</si>
</sst>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0" fontId="1" fillId="0" borderId="0" xfId="0" applyFont="1"/>
    <xf numFmtId="22" fontId="2" fillId="0" borderId="0" xfId="0" applyNumberFormat="1" applyFon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2"/>
  <sheetViews>
    <sheetView tabSelected="1" topLeftCell="A16" workbookViewId="0">
      <selection activeCell="B88" sqref="B88"/>
    </sheetView>
  </sheetViews>
  <sheetFormatPr defaultRowHeight="14.4" x14ac:dyDescent="0.3"/>
  <cols>
    <col min="1" max="1" width="30" customWidth="1"/>
    <col min="2" max="4" width="28" customWidth="1"/>
  </cols>
  <sheetData>
    <row r="1" spans="1:4" x14ac:dyDescent="0.3">
      <c r="A1" s="1"/>
      <c r="B1" s="1"/>
      <c r="C1" s="1"/>
      <c r="D1" s="1"/>
    </row>
    <row r="2" spans="1:4" x14ac:dyDescent="0.3">
      <c r="A2" s="1"/>
      <c r="B2" s="1"/>
      <c r="C2" s="1"/>
      <c r="D2" s="1"/>
    </row>
    <row r="3" spans="1:4" x14ac:dyDescent="0.3">
      <c r="A3" s="2" t="s">
        <v>0</v>
      </c>
      <c r="B3" s="2" t="s">
        <v>1</v>
      </c>
      <c r="C3" s="2" t="s">
        <v>2</v>
      </c>
      <c r="D3" s="2" t="s">
        <v>3</v>
      </c>
    </row>
    <row r="4" spans="1:4" x14ac:dyDescent="0.3">
      <c r="A4" s="1" t="s">
        <v>4</v>
      </c>
      <c r="B4" s="1">
        <f>SUMIF(unified_payments!$H$2:$H$7023,$A4,unified_payments!$B$2:$B$7023)</f>
        <v>5416.7800000000034</v>
      </c>
      <c r="C4" s="1">
        <v>4679.34</v>
      </c>
      <c r="D4" s="1">
        <f>SUMIF(unified_payments!$H$2:$H$7023,$A4,unified_payments!$D$2:$D$7023)</f>
        <v>311.59999999999991</v>
      </c>
    </row>
    <row r="5" spans="1:4" x14ac:dyDescent="0.3">
      <c r="A5" s="1" t="s">
        <v>5</v>
      </c>
      <c r="B5" s="1">
        <f>SUMIF(unified_payments!$H$2:$H$7023,$A5,unified_payments!$B$2:$B$7023)</f>
        <v>81.86</v>
      </c>
      <c r="C5" s="1">
        <v>70.7</v>
      </c>
      <c r="D5" s="1">
        <f>SUMIF(unified_payments!$H$2:$H$7023,$A5,unified_payments!$D$2:$D$7023)</f>
        <v>3.4799999999999995</v>
      </c>
    </row>
    <row r="6" spans="1:4" x14ac:dyDescent="0.3">
      <c r="A6" s="1" t="s">
        <v>6</v>
      </c>
      <c r="B6" s="1">
        <f>SUMIF(unified_payments!$H$2:$H$7023,$A6,unified_payments!$B$2:$B$7023)</f>
        <v>794.66000000000008</v>
      </c>
      <c r="C6" s="1">
        <v>682.62</v>
      </c>
      <c r="D6" s="1">
        <f>SUMIF(unified_payments!$H$2:$H$7023,$A6,unified_payments!$D$2:$D$7023)</f>
        <v>35.919999999999987</v>
      </c>
    </row>
    <row r="7" spans="1:4" x14ac:dyDescent="0.3">
      <c r="A7" s="1" t="s">
        <v>7</v>
      </c>
      <c r="B7" s="1">
        <f>SUMIF(unified_payments!$H$2:$H$7023,$A7,unified_payments!$B$2:$B$7023)</f>
        <v>11.36</v>
      </c>
      <c r="C7" s="1">
        <v>9.78</v>
      </c>
      <c r="D7" s="1">
        <f>SUMIF(unified_payments!$H$2:$H$7023,$A7,unified_payments!$D$2:$D$7023)</f>
        <v>1.02</v>
      </c>
    </row>
    <row r="8" spans="1:4" x14ac:dyDescent="0.3">
      <c r="A8" s="1" t="s">
        <v>8</v>
      </c>
      <c r="B8" s="1">
        <f>SUMIF(unified_payments!$H$2:$H$7023,$A8,unified_payments!$B$2:$B$7023)</f>
        <v>8.9700000000000006</v>
      </c>
      <c r="C8" s="1">
        <v>7.76</v>
      </c>
      <c r="D8" s="1">
        <f>SUMIF(unified_payments!$H$2:$H$7023,$A8,unified_payments!$D$2:$D$7023)</f>
        <v>1.1400000000000001</v>
      </c>
    </row>
    <row r="9" spans="1:4" x14ac:dyDescent="0.3">
      <c r="A9" s="1" t="s">
        <v>9</v>
      </c>
      <c r="B9" s="1">
        <f>SUMIF(unified_payments!$H$2:$H$7023,$A9,unified_payments!$B$2:$B$7023)</f>
        <v>3.98</v>
      </c>
      <c r="C9" s="1">
        <v>3.41</v>
      </c>
      <c r="D9" s="1">
        <f>SUMIF(unified_payments!$H$2:$H$7023,$A9,unified_payments!$D$2:$D$7023)</f>
        <v>0.43</v>
      </c>
    </row>
    <row r="10" spans="1:4" x14ac:dyDescent="0.3">
      <c r="A10" s="1" t="s">
        <v>10</v>
      </c>
      <c r="B10" s="1">
        <f>SUMIF(unified_payments!$H$2:$H$7023,$A10,unified_payments!$B$2:$B$7023)</f>
        <v>2.99</v>
      </c>
      <c r="C10" s="1">
        <v>2.58</v>
      </c>
      <c r="D10" s="1">
        <f>SUMIF(unified_payments!$H$2:$H$7023,$A10,unified_payments!$D$2:$D$7023)</f>
        <v>0.38</v>
      </c>
    </row>
    <row r="11" spans="1:4" x14ac:dyDescent="0.3">
      <c r="A11" s="1" t="s">
        <v>11</v>
      </c>
      <c r="B11" s="1">
        <f>SUMIF(unified_payments!$H$2:$H$7023,$A11,unified_payments!$B$2:$B$7023)</f>
        <v>7.46</v>
      </c>
      <c r="C11" s="1">
        <v>6.45</v>
      </c>
      <c r="D11" s="1">
        <f>SUMIF(unified_payments!$H$2:$H$7023,$A11,unified_payments!$D$2:$D$7023)</f>
        <v>0.72</v>
      </c>
    </row>
    <row r="12" spans="1:4" x14ac:dyDescent="0.3">
      <c r="A12" s="1" t="s">
        <v>12</v>
      </c>
      <c r="B12" s="1">
        <f>SUMIF(unified_payments!$H$2:$H$7023,$A12,unified_payments!$B$2:$B$7023)</f>
        <v>124.31999999999998</v>
      </c>
      <c r="C12" s="1">
        <v>107.51</v>
      </c>
      <c r="D12" s="1">
        <f>SUMIF(unified_payments!$H$2:$H$7023,$A12,unified_payments!$D$2:$D$7023)</f>
        <v>11.879999999999997</v>
      </c>
    </row>
    <row r="13" spans="1:4" x14ac:dyDescent="0.3">
      <c r="A13" s="1" t="s">
        <v>13</v>
      </c>
      <c r="B13" s="1">
        <f>SUMIF(unified_payments!$H$2:$H$7023,$A13,unified_payments!$B$2:$B$7023)</f>
        <v>7.96</v>
      </c>
      <c r="C13" s="1">
        <v>6.87</v>
      </c>
      <c r="D13" s="1">
        <f>SUMIF(unified_payments!$H$2:$H$7023,$A13,unified_payments!$D$2:$D$7023)</f>
        <v>1.36</v>
      </c>
    </row>
    <row r="14" spans="1:4" x14ac:dyDescent="0.3">
      <c r="A14" s="1" t="s">
        <v>14</v>
      </c>
      <c r="B14" s="1">
        <f>SUMIF(unified_payments!$H$2:$H$7023,$A14,unified_payments!$B$2:$B$7023)</f>
        <v>3095.1000000000045</v>
      </c>
      <c r="C14" s="1">
        <v>2675.59</v>
      </c>
      <c r="D14" s="1">
        <f>SUMIF(unified_payments!$H$2:$H$7023,$A14,unified_payments!$D$2:$D$7023)</f>
        <v>194.86999999999958</v>
      </c>
    </row>
    <row r="15" spans="1:4" x14ac:dyDescent="0.3">
      <c r="A15" s="1" t="s">
        <v>15</v>
      </c>
      <c r="B15" s="1">
        <f>SUMIF(unified_payments!$H$2:$H$7023,$A15,unified_payments!$B$2:$B$7023)</f>
        <v>7.58</v>
      </c>
      <c r="C15" s="1">
        <v>6.59</v>
      </c>
      <c r="D15" s="1">
        <f>SUMIF(unified_payments!$H$2:$H$7023,$A15,unified_payments!$D$2:$D$7023)</f>
        <v>0.59</v>
      </c>
    </row>
    <row r="16" spans="1:4" x14ac:dyDescent="0.3">
      <c r="A16" s="1" t="s">
        <v>16</v>
      </c>
      <c r="B16" s="1">
        <f>SUMIF(unified_payments!$H$2:$H$7023,$A16,unified_payments!$B$2:$B$7023)</f>
        <v>93.62</v>
      </c>
      <c r="C16" s="1">
        <v>80.49</v>
      </c>
      <c r="D16" s="1">
        <f>SUMIF(unified_payments!$H$2:$H$7023,$A16,unified_payments!$D$2:$D$7023)</f>
        <v>5.7200000000000006</v>
      </c>
    </row>
    <row r="17" spans="1:4" x14ac:dyDescent="0.3">
      <c r="A17" s="1" t="s">
        <v>17</v>
      </c>
      <c r="B17" s="1">
        <f>SUMIF(unified_payments!$H$2:$H$7023,$A17,unified_payments!$B$2:$B$7023)</f>
        <v>22.62</v>
      </c>
      <c r="C17" s="1">
        <v>19.54</v>
      </c>
      <c r="D17" s="1">
        <f>SUMIF(unified_payments!$H$2:$H$7023,$A17,unified_payments!$D$2:$D$7023)</f>
        <v>2.7800000000000002</v>
      </c>
    </row>
    <row r="18" spans="1:4" x14ac:dyDescent="0.3">
      <c r="A18" s="1" t="s">
        <v>18</v>
      </c>
      <c r="B18" s="1">
        <f>SUMIF(unified_payments!$H$2:$H$7023,$A18,unified_payments!$B$2:$B$7023)</f>
        <v>33.920000000000009</v>
      </c>
      <c r="C18" s="1">
        <v>29.29</v>
      </c>
      <c r="D18" s="1">
        <f>SUMIF(unified_payments!$H$2:$H$7023,$A18,unified_payments!$D$2:$D$7023)</f>
        <v>3.4999999999999996</v>
      </c>
    </row>
    <row r="19" spans="1:4" x14ac:dyDescent="0.3">
      <c r="A19" s="1" t="s">
        <v>19</v>
      </c>
      <c r="B19" s="1">
        <f>SUMIF(unified_payments!$H$2:$H$7023,$A19,unified_payments!$B$2:$B$7023)</f>
        <v>51.620000000000005</v>
      </c>
      <c r="C19" s="1">
        <v>44.36</v>
      </c>
      <c r="D19" s="1">
        <f>SUMIF(unified_payments!$H$2:$H$7023,$A19,unified_payments!$D$2:$D$7023)</f>
        <v>4.34</v>
      </c>
    </row>
    <row r="20" spans="1:4" x14ac:dyDescent="0.3">
      <c r="A20" s="1" t="s">
        <v>20</v>
      </c>
      <c r="B20" s="1">
        <f>SUMIF(unified_payments!$H$2:$H$7023,$A20,unified_payments!$B$2:$B$7023)</f>
        <v>39.209999999999994</v>
      </c>
      <c r="C20" s="1">
        <v>33.73</v>
      </c>
      <c r="D20" s="1">
        <f>SUMIF(unified_payments!$H$2:$H$7023,$A20,unified_payments!$D$2:$D$7023)</f>
        <v>2.93</v>
      </c>
    </row>
    <row r="21" spans="1:4" x14ac:dyDescent="0.3">
      <c r="A21" s="1" t="s">
        <v>21</v>
      </c>
      <c r="B21" s="1">
        <f>SUMIF(unified_payments!$H$2:$H$7023,$A21,unified_payments!$B$2:$B$7023)</f>
        <v>662.68000000000018</v>
      </c>
      <c r="C21" s="1">
        <v>572.22</v>
      </c>
      <c r="D21" s="1">
        <f>SUMIF(unified_payments!$H$2:$H$7023,$A21,unified_payments!$D$2:$D$7023)</f>
        <v>27.240000000000002</v>
      </c>
    </row>
    <row r="22" spans="1:4" x14ac:dyDescent="0.3">
      <c r="A22" s="1" t="s">
        <v>22</v>
      </c>
      <c r="B22" s="1">
        <f>SUMIF(unified_payments!$H$2:$H$7023,$A22,unified_payments!$B$2:$B$7023)</f>
        <v>87.060000000000016</v>
      </c>
      <c r="C22" s="1">
        <v>75.12</v>
      </c>
      <c r="D22" s="1">
        <f>SUMIF(unified_payments!$H$2:$H$7023,$A22,unified_payments!$D$2:$D$7023)</f>
        <v>6.3700000000000019</v>
      </c>
    </row>
    <row r="23" spans="1:4" x14ac:dyDescent="0.3">
      <c r="A23" s="1" t="s">
        <v>23</v>
      </c>
      <c r="B23" s="1">
        <f>SUMIF(unified_payments!$H$2:$H$7023,$A23,unified_payments!$B$2:$B$7023)</f>
        <v>12.36</v>
      </c>
      <c r="C23" s="1">
        <v>10.58</v>
      </c>
      <c r="D23" s="1">
        <f>SUMIF(unified_payments!$H$2:$H$7023,$A23,unified_payments!$D$2:$D$7023)</f>
        <v>1.06</v>
      </c>
    </row>
    <row r="24" spans="1:4" x14ac:dyDescent="0.3">
      <c r="A24" s="1" t="s">
        <v>24</v>
      </c>
      <c r="B24" s="1">
        <f>SUMIF(unified_payments!$H$2:$H$7023,$A24,unified_payments!$B$2:$B$7023)</f>
        <v>3.98</v>
      </c>
      <c r="C24" s="1">
        <v>3.42</v>
      </c>
      <c r="D24" s="1">
        <f>SUMIF(unified_payments!$H$2:$H$7023,$A24,unified_payments!$D$2:$D$7023)</f>
        <v>0.68</v>
      </c>
    </row>
    <row r="25" spans="1:4" x14ac:dyDescent="0.3">
      <c r="A25" s="1" t="s">
        <v>25</v>
      </c>
      <c r="B25" s="1">
        <f>SUMIF(unified_payments!$H$2:$H$7023,$A25,unified_payments!$B$2:$B$7023)</f>
        <v>65.820000000000007</v>
      </c>
      <c r="C25" s="1">
        <v>56.92</v>
      </c>
      <c r="D25" s="1">
        <f>SUMIF(unified_payments!$H$2:$H$7023,$A25,unified_payments!$D$2:$D$7023)</f>
        <v>7.46</v>
      </c>
    </row>
    <row r="26" spans="1:4" x14ac:dyDescent="0.3">
      <c r="A26" s="1" t="s">
        <v>26</v>
      </c>
      <c r="B26" s="1">
        <f>SUMIF(unified_payments!$H$2:$H$7023,$A26,unified_payments!$B$2:$B$7023)</f>
        <v>21.48</v>
      </c>
      <c r="C26" s="1">
        <v>18.57</v>
      </c>
      <c r="D26" s="1">
        <f>SUMIF(unified_payments!$H$2:$H$7023,$A26,unified_payments!$D$2:$D$7023)</f>
        <v>1.1499999999999999</v>
      </c>
    </row>
    <row r="27" spans="1:4" x14ac:dyDescent="0.3">
      <c r="A27" s="1" t="s">
        <v>27</v>
      </c>
      <c r="B27" s="1">
        <f>SUMIF(unified_payments!$H$2:$H$7023,$A27,unified_payments!$B$2:$B$7023)</f>
        <v>2808.6800000000003</v>
      </c>
      <c r="C27" s="1">
        <v>2426.05</v>
      </c>
      <c r="D27" s="1">
        <f>SUMIF(unified_payments!$H$2:$H$7023,$A27,unified_payments!$D$2:$D$7023)</f>
        <v>141.66999999999999</v>
      </c>
    </row>
    <row r="28" spans="1:4" x14ac:dyDescent="0.3">
      <c r="A28" s="1" t="s">
        <v>28</v>
      </c>
      <c r="B28" s="1">
        <f>SUMIF(unified_payments!$H$2:$H$7023,$A28,unified_payments!$B$2:$B$7023)</f>
        <v>20.66</v>
      </c>
      <c r="C28" s="1">
        <v>17.91</v>
      </c>
      <c r="D28" s="1">
        <f>SUMIF(unified_payments!$H$2:$H$7023,$A28,unified_payments!$D$2:$D$7023)</f>
        <v>1.9199999999999997</v>
      </c>
    </row>
    <row r="29" spans="1:4" x14ac:dyDescent="0.3">
      <c r="A29" s="1" t="s">
        <v>29</v>
      </c>
      <c r="B29" s="1">
        <f>SUMIF(unified_payments!$H$2:$H$7023,$A29,unified_payments!$B$2:$B$7023)</f>
        <v>870.4899999999999</v>
      </c>
      <c r="C29" s="1">
        <v>753.09</v>
      </c>
      <c r="D29" s="1">
        <f>SUMIF(unified_payments!$H$2:$H$7023,$A29,unified_payments!$D$2:$D$7023)</f>
        <v>43.27999999999998</v>
      </c>
    </row>
    <row r="30" spans="1:4" x14ac:dyDescent="0.3">
      <c r="A30" s="1" t="s">
        <v>30</v>
      </c>
      <c r="B30" s="1">
        <f>SUMIF(unified_payments!$H$2:$H$7023,$A30,unified_payments!$B$2:$B$7023)</f>
        <v>1.99</v>
      </c>
      <c r="C30" s="1">
        <v>1.72</v>
      </c>
      <c r="D30" s="1">
        <f>SUMIF(unified_payments!$H$2:$H$7023,$A30,unified_payments!$D$2:$D$7023)</f>
        <v>0.34</v>
      </c>
    </row>
    <row r="31" spans="1:4" x14ac:dyDescent="0.3">
      <c r="A31" s="1" t="s">
        <v>31</v>
      </c>
      <c r="B31" s="1">
        <f>SUMIF(unified_payments!$H$2:$H$7023,$A31,unified_payments!$B$2:$B$7023)</f>
        <v>5076.4199999999764</v>
      </c>
      <c r="C31" s="1">
        <v>4384.45</v>
      </c>
      <c r="D31" s="1">
        <f>SUMIF(unified_payments!$H$2:$H$7023,$A31,unified_payments!$D$2:$D$7023)</f>
        <v>279.19000000000017</v>
      </c>
    </row>
    <row r="32" spans="1:4" x14ac:dyDescent="0.3">
      <c r="A32" s="1" t="s">
        <v>32</v>
      </c>
      <c r="B32" s="1">
        <f>SUMIF(unified_payments!$H$2:$H$7023,$A32,unified_payments!$B$2:$B$7023)</f>
        <v>31.490000000000002</v>
      </c>
      <c r="C32" s="1">
        <v>27.05</v>
      </c>
      <c r="D32" s="1">
        <f>SUMIF(unified_payments!$H$2:$H$7023,$A32,unified_payments!$D$2:$D$7023)</f>
        <v>2.19</v>
      </c>
    </row>
    <row r="33" spans="1:4" x14ac:dyDescent="0.3">
      <c r="A33" s="1" t="s">
        <v>33</v>
      </c>
      <c r="B33" s="1">
        <f>SUMIF(unified_payments!$H$2:$H$7023,$A33,unified_payments!$B$2:$B$7023)</f>
        <v>97.949999999999989</v>
      </c>
      <c r="C33" s="1">
        <v>84.13</v>
      </c>
      <c r="D33" s="1">
        <f>SUMIF(unified_payments!$H$2:$H$7023,$A33,unified_payments!$D$2:$D$7023)</f>
        <v>6.42</v>
      </c>
    </row>
    <row r="34" spans="1:4" x14ac:dyDescent="0.3">
      <c r="A34" s="1" t="s">
        <v>34</v>
      </c>
      <c r="B34" s="1">
        <f>SUMIF(unified_payments!$H$2:$H$7023,$A34,unified_payments!$B$2:$B$7023)</f>
        <v>22.289999999999996</v>
      </c>
      <c r="C34" s="1">
        <v>19.27</v>
      </c>
      <c r="D34" s="1">
        <f>SUMIF(unified_payments!$H$2:$H$7023,$A34,unified_payments!$D$2:$D$7023)</f>
        <v>3.26</v>
      </c>
    </row>
    <row r="35" spans="1:4" x14ac:dyDescent="0.3">
      <c r="A35" s="1" t="s">
        <v>35</v>
      </c>
      <c r="B35" s="1">
        <f>SUMIF(unified_payments!$H$2:$H$7023,$A35,unified_payments!$B$2:$B$7023)</f>
        <v>9.9499999999999993</v>
      </c>
      <c r="C35" s="1">
        <v>8.59</v>
      </c>
      <c r="D35" s="1">
        <f>SUMIF(unified_payments!$H$2:$H$7023,$A35,unified_payments!$D$2:$D$7023)</f>
        <v>1.7000000000000002</v>
      </c>
    </row>
    <row r="36" spans="1:4" x14ac:dyDescent="0.3">
      <c r="A36" s="1" t="s">
        <v>36</v>
      </c>
      <c r="B36" s="1">
        <f>SUMIF(unified_payments!$H$2:$H$7023,$A36,unified_payments!$B$2:$B$7023)</f>
        <v>15.92</v>
      </c>
      <c r="C36" s="1">
        <v>13.76</v>
      </c>
      <c r="D36" s="1">
        <f>SUMIF(unified_payments!$H$2:$H$7023,$A36,unified_payments!$D$2:$D$7023)</f>
        <v>2.7199999999999998</v>
      </c>
    </row>
    <row r="37" spans="1:4" x14ac:dyDescent="0.3">
      <c r="A37" s="1" t="s">
        <v>37</v>
      </c>
      <c r="B37" s="1">
        <f>SUMIF(unified_payments!$H$2:$H$7023,$A37,unified_payments!$B$2:$B$7023)</f>
        <v>131.06</v>
      </c>
      <c r="C37" s="1">
        <v>113.42</v>
      </c>
      <c r="D37" s="1">
        <f>SUMIF(unified_payments!$H$2:$H$7023,$A37,unified_payments!$D$2:$D$7023)</f>
        <v>9.43</v>
      </c>
    </row>
    <row r="38" spans="1:4" x14ac:dyDescent="0.3">
      <c r="A38" s="1" t="s">
        <v>38</v>
      </c>
      <c r="B38" s="1">
        <f>SUMIF(unified_payments!$H$2:$H$7023,$A38,unified_payments!$B$2:$B$7023)</f>
        <v>85.4</v>
      </c>
      <c r="C38" s="1">
        <v>73.78</v>
      </c>
      <c r="D38" s="1">
        <f>SUMIF(unified_payments!$H$2:$H$7023,$A38,unified_payments!$D$2:$D$7023)</f>
        <v>5.07</v>
      </c>
    </row>
    <row r="39" spans="1:4" x14ac:dyDescent="0.3">
      <c r="A39" s="1" t="s">
        <v>39</v>
      </c>
      <c r="B39" s="1">
        <f>SUMIF(unified_payments!$H$2:$H$7023,$A39,unified_payments!$B$2:$B$7023)</f>
        <v>23.580000000000002</v>
      </c>
      <c r="C39" s="1">
        <v>20.36</v>
      </c>
      <c r="D39" s="1">
        <f>SUMIF(unified_payments!$H$2:$H$7023,$A39,unified_payments!$D$2:$D$7023)</f>
        <v>2.2200000000000002</v>
      </c>
    </row>
    <row r="40" spans="1:4" x14ac:dyDescent="0.3">
      <c r="A40" s="1" t="s">
        <v>40</v>
      </c>
      <c r="B40" s="1">
        <f>SUMIF(unified_payments!$H$2:$H$7023,$A40,unified_payments!$B$2:$B$7023)</f>
        <v>584.21</v>
      </c>
      <c r="C40" s="1">
        <v>504.89</v>
      </c>
      <c r="D40" s="1">
        <f>SUMIF(unified_payments!$H$2:$H$7023,$A40,unified_payments!$D$2:$D$7023)</f>
        <v>33.919999999999995</v>
      </c>
    </row>
    <row r="41" spans="1:4" x14ac:dyDescent="0.3">
      <c r="A41" s="1" t="s">
        <v>41</v>
      </c>
      <c r="B41" s="1">
        <f>SUMIF(unified_payments!$H$2:$H$7023,$A41,unified_payments!$B$2:$B$7023)</f>
        <v>101.72999999999996</v>
      </c>
      <c r="C41" s="1">
        <v>87.67</v>
      </c>
      <c r="D41" s="1">
        <f>SUMIF(unified_payments!$H$2:$H$7023,$A41,unified_payments!$D$2:$D$7023)</f>
        <v>9.7900000000000045</v>
      </c>
    </row>
    <row r="42" spans="1:4" x14ac:dyDescent="0.3">
      <c r="A42" s="1" t="s">
        <v>42</v>
      </c>
      <c r="B42" s="1">
        <f>SUMIF(unified_payments!$H$2:$H$7023,$A42,unified_payments!$B$2:$B$7023)</f>
        <v>147.28000000000003</v>
      </c>
      <c r="C42" s="1">
        <v>127.55</v>
      </c>
      <c r="D42" s="1">
        <f>SUMIF(unified_payments!$H$2:$H$7023,$A42,unified_payments!$D$2:$D$7023)</f>
        <v>9.17</v>
      </c>
    </row>
    <row r="43" spans="1:4" x14ac:dyDescent="0.3">
      <c r="A43" s="1" t="s">
        <v>43</v>
      </c>
      <c r="B43" s="1">
        <f>SUMIF(unified_payments!$H$2:$H$7023,$A43,unified_payments!$B$2:$B$7023)</f>
        <v>1572.6800000000007</v>
      </c>
      <c r="C43" s="1">
        <v>1352.31</v>
      </c>
      <c r="D43" s="1">
        <f>SUMIF(unified_payments!$H$2:$H$7023,$A43,unified_payments!$D$2:$D$7023)</f>
        <v>67.990000000000052</v>
      </c>
    </row>
    <row r="44" spans="1:4" x14ac:dyDescent="0.3">
      <c r="A44" s="1" t="s">
        <v>44</v>
      </c>
      <c r="B44" s="1">
        <f>SUMIF(unified_payments!$H$2:$H$7023,$A44,unified_payments!$B$2:$B$7023)</f>
        <v>753.20000000000039</v>
      </c>
      <c r="C44" s="1">
        <v>651.85</v>
      </c>
      <c r="D44" s="1">
        <f>SUMIF(unified_payments!$H$2:$H$7023,$A44,unified_payments!$D$2:$D$7023)</f>
        <v>44.919999999999973</v>
      </c>
    </row>
    <row r="45" spans="1:4" x14ac:dyDescent="0.3">
      <c r="A45" s="1" t="s">
        <v>45</v>
      </c>
      <c r="B45" s="1">
        <f>SUMIF(unified_payments!$H$2:$H$7023,$A45,unified_payments!$B$2:$B$7023)</f>
        <v>906.31999999999937</v>
      </c>
      <c r="C45" s="1">
        <v>783.35</v>
      </c>
      <c r="D45" s="1">
        <f>SUMIF(unified_payments!$H$2:$H$7023,$A45,unified_payments!$D$2:$D$7023)</f>
        <v>43.109999999999978</v>
      </c>
    </row>
    <row r="46" spans="1:4" x14ac:dyDescent="0.3">
      <c r="A46" s="1" t="s">
        <v>46</v>
      </c>
      <c r="B46" s="1">
        <f>SUMIF(unified_payments!$H$2:$H$7023,$A46,unified_payments!$B$2:$B$7023)</f>
        <v>4.9800000000000004</v>
      </c>
      <c r="C46" s="1">
        <v>4.29</v>
      </c>
      <c r="D46" s="1">
        <f>SUMIF(unified_payments!$H$2:$H$7023,$A46,unified_payments!$D$2:$D$7023)</f>
        <v>0.72</v>
      </c>
    </row>
    <row r="47" spans="1:4" x14ac:dyDescent="0.3">
      <c r="A47" s="1" t="s">
        <v>47</v>
      </c>
      <c r="B47" s="1">
        <f>SUMIF(unified_payments!$H$2:$H$7023,$A47,unified_payments!$B$2:$B$7023)</f>
        <v>766.50999999999976</v>
      </c>
      <c r="C47" s="1">
        <v>661.26</v>
      </c>
      <c r="D47" s="1">
        <f>SUMIF(unified_payments!$H$2:$H$7023,$A47,unified_payments!$D$2:$D$7023)</f>
        <v>61.060000000000031</v>
      </c>
    </row>
    <row r="48" spans="1:4" x14ac:dyDescent="0.3">
      <c r="A48" s="1" t="s">
        <v>48</v>
      </c>
      <c r="B48" s="1">
        <f>SUMIF(unified_payments!$H$2:$H$7023,$A48,unified_payments!$B$2:$B$7023)</f>
        <v>84.06</v>
      </c>
      <c r="C48" s="1">
        <v>72.77</v>
      </c>
      <c r="D48" s="1">
        <f>SUMIF(unified_payments!$H$2:$H$7023,$A48,unified_payments!$D$2:$D$7023)</f>
        <v>4.8099999999999996</v>
      </c>
    </row>
    <row r="49" spans="1:4" x14ac:dyDescent="0.3">
      <c r="A49" s="1" t="s">
        <v>49</v>
      </c>
      <c r="B49" s="1">
        <f>SUMIF(unified_payments!$H$2:$H$7023,$A49,unified_payments!$B$2:$B$7023)</f>
        <v>551.7399999999999</v>
      </c>
      <c r="C49" s="1">
        <v>474.01</v>
      </c>
      <c r="D49" s="1">
        <f>SUMIF(unified_payments!$H$2:$H$7023,$A49,unified_payments!$D$2:$D$7023)</f>
        <v>31.900000000000009</v>
      </c>
    </row>
    <row r="50" spans="1:4" x14ac:dyDescent="0.3">
      <c r="A50" s="1" t="s">
        <v>50</v>
      </c>
      <c r="B50" s="1">
        <f>SUMIF(unified_payments!$H$2:$H$7023,$A50,unified_payments!$B$2:$B$7023)</f>
        <v>3.51</v>
      </c>
      <c r="C50" s="1">
        <v>3.03</v>
      </c>
      <c r="D50" s="1">
        <f>SUMIF(unified_payments!$H$2:$H$7023,$A50,unified_payments!$D$2:$D$7023)</f>
        <v>0.41</v>
      </c>
    </row>
    <row r="51" spans="1:4" x14ac:dyDescent="0.3">
      <c r="A51" s="1" t="s">
        <v>51</v>
      </c>
      <c r="B51" s="1">
        <f>SUMIF(unified_payments!$H$2:$H$7023,$A51,unified_payments!$B$2:$B$7023)</f>
        <v>438.00999999999993</v>
      </c>
      <c r="C51" s="1">
        <v>378.76</v>
      </c>
      <c r="D51" s="1">
        <f>SUMIF(unified_payments!$H$2:$H$7023,$A51,unified_payments!$D$2:$D$7023)</f>
        <v>27.699999999999996</v>
      </c>
    </row>
    <row r="52" spans="1:4" x14ac:dyDescent="0.3">
      <c r="A52" s="1" t="s">
        <v>52</v>
      </c>
      <c r="B52" s="1">
        <f>SUMIF(unified_payments!$H$2:$H$7023,$A52,unified_payments!$B$2:$B$7023)</f>
        <v>844.25999999999988</v>
      </c>
      <c r="C52" s="1">
        <v>730.87</v>
      </c>
      <c r="D52" s="1">
        <f>SUMIF(unified_payments!$H$2:$H$7023,$A52,unified_payments!$D$2:$D$7023)</f>
        <v>55.680000000000014</v>
      </c>
    </row>
    <row r="53" spans="1:4" x14ac:dyDescent="0.3">
      <c r="A53" s="1" t="s">
        <v>53</v>
      </c>
      <c r="B53" s="1">
        <f>SUMIF(unified_payments!$H$2:$H$7023,$A53,unified_payments!$B$2:$B$7023)</f>
        <v>14.709999999999999</v>
      </c>
      <c r="C53" s="1">
        <v>12.74</v>
      </c>
      <c r="D53" s="1">
        <f>SUMIF(unified_payments!$H$2:$H$7023,$A53,unified_payments!$D$2:$D$7023)</f>
        <v>1.9100000000000001</v>
      </c>
    </row>
    <row r="54" spans="1:4" x14ac:dyDescent="0.3">
      <c r="A54" s="1" t="s">
        <v>54</v>
      </c>
      <c r="B54" s="1">
        <f>SUMIF(unified_payments!$H$2:$H$7023,$A54,unified_payments!$B$2:$B$7023)</f>
        <v>36.810000000000009</v>
      </c>
      <c r="C54" s="1">
        <v>31.85</v>
      </c>
      <c r="D54" s="1">
        <f>SUMIF(unified_payments!$H$2:$H$7023,$A54,unified_payments!$D$2:$D$7023)</f>
        <v>4.16</v>
      </c>
    </row>
    <row r="55" spans="1:4" x14ac:dyDescent="0.3">
      <c r="A55" s="1" t="s">
        <v>55</v>
      </c>
      <c r="B55" s="1">
        <f>SUMIF(unified_payments!$H$2:$H$7023,$A55,unified_payments!$B$2:$B$7023)</f>
        <v>10.85</v>
      </c>
      <c r="C55" s="1">
        <v>9.3</v>
      </c>
      <c r="D55" s="1">
        <f>SUMIF(unified_payments!$H$2:$H$7023,$A55,unified_payments!$D$2:$D$7023)</f>
        <v>0.57999999999999996</v>
      </c>
    </row>
    <row r="56" spans="1:4" x14ac:dyDescent="0.3">
      <c r="A56" s="1" t="s">
        <v>56</v>
      </c>
      <c r="B56" s="1">
        <f>SUMIF(unified_payments!$H$2:$H$7023,$A56,unified_payments!$B$2:$B$7023)</f>
        <v>21.61</v>
      </c>
      <c r="C56" s="1">
        <v>18.75</v>
      </c>
      <c r="D56" s="1">
        <f>SUMIF(unified_payments!$H$2:$H$7023,$A56,unified_payments!$D$2:$D$7023)</f>
        <v>1.42</v>
      </c>
    </row>
    <row r="57" spans="1:4" x14ac:dyDescent="0.3">
      <c r="A57" s="1" t="s">
        <v>57</v>
      </c>
      <c r="B57" s="1">
        <f>SUMIF(unified_payments!$H$2:$H$7023,$A57,unified_payments!$B$2:$B$7023)</f>
        <v>21.63</v>
      </c>
      <c r="C57" s="1">
        <v>18.73</v>
      </c>
      <c r="D57" s="1">
        <f>SUMIF(unified_payments!$H$2:$H$7023,$A57,unified_payments!$D$2:$D$7023)</f>
        <v>1.4</v>
      </c>
    </row>
    <row r="58" spans="1:4" x14ac:dyDescent="0.3">
      <c r="A58" s="1" t="s">
        <v>58</v>
      </c>
      <c r="B58" s="1">
        <f>SUMIF(unified_payments!$H$2:$H$7023,$A58,unified_payments!$B$2:$B$7023)</f>
        <v>358.16</v>
      </c>
      <c r="C58" s="1">
        <v>308.87</v>
      </c>
      <c r="D58" s="1">
        <f>SUMIF(unified_payments!$H$2:$H$7023,$A58,unified_payments!$D$2:$D$7023)</f>
        <v>24.509999999999991</v>
      </c>
    </row>
    <row r="59" spans="1:4" x14ac:dyDescent="0.3">
      <c r="A59" s="1" t="s">
        <v>59</v>
      </c>
      <c r="B59" s="1">
        <f>SUMIF(unified_payments!$H$2:$H$7023,$A59,unified_payments!$B$2:$B$7023)</f>
        <v>8.7100000000000009</v>
      </c>
      <c r="C59" s="1">
        <v>7.55</v>
      </c>
      <c r="D59" s="1">
        <f>SUMIF(unified_payments!$H$2:$H$7023,$A59,unified_payments!$D$2:$D$7023)</f>
        <v>0.8899999999999999</v>
      </c>
    </row>
    <row r="60" spans="1:4" x14ac:dyDescent="0.3">
      <c r="A60" s="1" t="s">
        <v>60</v>
      </c>
      <c r="B60" s="1">
        <f>SUMIF(unified_payments!$H$2:$H$7023,$A60,unified_payments!$B$2:$B$7023)</f>
        <v>3.51</v>
      </c>
      <c r="C60" s="1">
        <v>3.03</v>
      </c>
      <c r="D60" s="1">
        <f>SUMIF(unified_payments!$H$2:$H$7023,$A60,unified_payments!$D$2:$D$7023)</f>
        <v>0.41</v>
      </c>
    </row>
    <row r="61" spans="1:4" x14ac:dyDescent="0.3">
      <c r="A61" s="1" t="s">
        <v>61</v>
      </c>
      <c r="B61" s="1">
        <f>SUMIF(unified_payments!$H$2:$H$7023,$A61,unified_payments!$B$2:$B$7023)</f>
        <v>81.280000000000015</v>
      </c>
      <c r="C61" s="1">
        <v>70.33</v>
      </c>
      <c r="D61" s="1">
        <f>SUMIF(unified_payments!$H$2:$H$7023,$A61,unified_payments!$D$2:$D$7023)</f>
        <v>5.4500000000000011</v>
      </c>
    </row>
    <row r="62" spans="1:4" x14ac:dyDescent="0.3">
      <c r="A62" s="1" t="s">
        <v>62</v>
      </c>
      <c r="B62" s="1">
        <f>SUMIF(unified_payments!$H$2:$H$7023,$A62,unified_payments!$B$2:$B$7023)</f>
        <v>10.08</v>
      </c>
      <c r="C62" s="1">
        <v>8.69</v>
      </c>
      <c r="D62" s="1">
        <f>SUMIF(unified_payments!$H$2:$H$7023,$A62,unified_payments!$D$2:$D$7023)</f>
        <v>0.95</v>
      </c>
    </row>
    <row r="63" spans="1:4" x14ac:dyDescent="0.3">
      <c r="A63" s="1" t="s">
        <v>63</v>
      </c>
      <c r="B63" s="1">
        <f>SUMIF(unified_payments!$H$2:$H$7023,$A63,unified_payments!$B$2:$B$7023)</f>
        <v>7.99</v>
      </c>
      <c r="C63" s="1">
        <v>6.91</v>
      </c>
      <c r="D63" s="1">
        <f>SUMIF(unified_payments!$H$2:$H$7023,$A63,unified_payments!$D$2:$D$7023)</f>
        <v>0.61</v>
      </c>
    </row>
    <row r="64" spans="1:4" x14ac:dyDescent="0.3">
      <c r="A64" s="1" t="s">
        <v>64</v>
      </c>
      <c r="B64" s="1">
        <f>SUMIF(unified_payments!$H$2:$H$7023,$A64,unified_payments!$B$2:$B$7023)</f>
        <v>89.45</v>
      </c>
      <c r="C64" s="1">
        <v>77.15</v>
      </c>
      <c r="D64" s="1">
        <f>SUMIF(unified_payments!$H$2:$H$7023,$A64,unified_payments!$D$2:$D$7023)</f>
        <v>5.5600000000000005</v>
      </c>
    </row>
    <row r="65" spans="1:4" x14ac:dyDescent="0.3">
      <c r="A65" s="1" t="s">
        <v>65</v>
      </c>
      <c r="B65" s="1">
        <f>SUMIF(unified_payments!$H$2:$H$7023,$A65,unified_payments!$B$2:$B$7023)</f>
        <v>706.16999999999985</v>
      </c>
      <c r="C65" s="1">
        <v>608.86</v>
      </c>
      <c r="D65" s="1">
        <f>SUMIF(unified_payments!$H$2:$H$7023,$A65,unified_payments!$D$2:$D$7023)</f>
        <v>31.730000000000004</v>
      </c>
    </row>
    <row r="66" spans="1:4" x14ac:dyDescent="0.3">
      <c r="A66" s="1" t="s">
        <v>66</v>
      </c>
      <c r="B66" s="1">
        <f>SUMIF(unified_payments!$H$2:$H$7023,$A66,unified_payments!$B$2:$B$7023)</f>
        <v>2720.1600000000008</v>
      </c>
      <c r="C66" s="1">
        <v>2355.33</v>
      </c>
      <c r="D66" s="1">
        <f>SUMIF(unified_payments!$H$2:$H$7023,$A66,unified_payments!$D$2:$D$7023)</f>
        <v>151.29999999999995</v>
      </c>
    </row>
    <row r="67" spans="1:4" x14ac:dyDescent="0.3">
      <c r="A67" s="1" t="s">
        <v>67</v>
      </c>
      <c r="B67" s="1">
        <f>SUMIF(unified_payments!$H$2:$H$7023,$A67,unified_payments!$B$2:$B$7023)</f>
        <v>13.97</v>
      </c>
      <c r="C67" s="1">
        <v>12.11</v>
      </c>
      <c r="D67" s="1">
        <f>SUMIF(unified_payments!$H$2:$H$7023,$A67,unified_payments!$D$2:$D$7023)</f>
        <v>1.3800000000000001</v>
      </c>
    </row>
    <row r="68" spans="1:4" x14ac:dyDescent="0.3">
      <c r="A68" s="1" t="s">
        <v>68</v>
      </c>
      <c r="B68" s="1">
        <f>SUMIF(unified_payments!$H$2:$H$7023,$A68,unified_payments!$B$2:$B$7023)</f>
        <v>5.97</v>
      </c>
      <c r="C68" s="1">
        <v>5.16</v>
      </c>
      <c r="D68" s="1">
        <f>SUMIF(unified_payments!$H$2:$H$7023,$A68,unified_payments!$D$2:$D$7023)</f>
        <v>1.02</v>
      </c>
    </row>
    <row r="69" spans="1:4" x14ac:dyDescent="0.3">
      <c r="A69" s="1" t="s">
        <v>69</v>
      </c>
      <c r="B69" s="1">
        <f>SUMIF(unified_payments!$H$2:$H$7023,$A69,unified_payments!$B$2:$B$7023)</f>
        <v>266.53000000000003</v>
      </c>
      <c r="C69" s="1">
        <v>230.69</v>
      </c>
      <c r="D69" s="1">
        <f>SUMIF(unified_payments!$H$2:$H$7023,$A69,unified_payments!$D$2:$D$7023)</f>
        <v>13.550000000000002</v>
      </c>
    </row>
    <row r="70" spans="1:4" x14ac:dyDescent="0.3">
      <c r="A70" s="1" t="s">
        <v>70</v>
      </c>
      <c r="B70" s="1">
        <f>SUMIF(unified_payments!$H$2:$H$7023,$A70,unified_payments!$B$2:$B$7023)</f>
        <v>19.880000000000003</v>
      </c>
      <c r="C70" s="1">
        <v>17.17</v>
      </c>
      <c r="D70" s="1">
        <f>SUMIF(unified_payments!$H$2:$H$7023,$A70,unified_payments!$D$2:$D$7023)</f>
        <v>1.4</v>
      </c>
    </row>
    <row r="71" spans="1:4" x14ac:dyDescent="0.3">
      <c r="A71" s="1" t="s">
        <v>71</v>
      </c>
      <c r="B71" s="1">
        <f>SUMIF(unified_payments!$H$2:$H$7023,$A71,unified_payments!$B$2:$B$7023)</f>
        <v>6.98</v>
      </c>
      <c r="C71" s="1">
        <v>6.06</v>
      </c>
      <c r="D71" s="1">
        <f>SUMIF(unified_payments!$H$2:$H$7023,$A71,unified_payments!$D$2:$D$7023)</f>
        <v>0.82000000000000006</v>
      </c>
    </row>
    <row r="72" spans="1:4" x14ac:dyDescent="0.3">
      <c r="A72" s="1" t="s">
        <v>72</v>
      </c>
      <c r="B72" s="1">
        <f>SUMIF(unified_payments!$H$2:$H$7023,$A72,unified_payments!$B$2:$B$7023)</f>
        <v>8.9700000000000006</v>
      </c>
      <c r="C72" s="1">
        <v>7.77</v>
      </c>
      <c r="D72" s="1">
        <f>SUMIF(unified_payments!$H$2:$H$7023,$A72,unified_payments!$D$2:$D$7023)</f>
        <v>1.1400000000000001</v>
      </c>
    </row>
    <row r="73" spans="1:4" x14ac:dyDescent="0.3">
      <c r="A73" s="1" t="s">
        <v>73</v>
      </c>
      <c r="B73" s="1">
        <f>SUMIF(unified_payments!$H$2:$H$7023,$A73,unified_payments!$B$2:$B$7023)</f>
        <v>7.99</v>
      </c>
      <c r="C73" s="1">
        <v>6.85</v>
      </c>
      <c r="D73" s="1">
        <f>SUMIF(unified_payments!$H$2:$H$7023,$A73,unified_payments!$D$2:$D$7023)</f>
        <v>0.61</v>
      </c>
    </row>
    <row r="74" spans="1:4" x14ac:dyDescent="0.3">
      <c r="A74" s="1" t="s">
        <v>74</v>
      </c>
      <c r="B74" s="1">
        <f>SUMIF(unified_payments!$H$2:$H$7023,$A74,unified_payments!$B$2:$B$7023)</f>
        <v>59.95000000000001</v>
      </c>
      <c r="C74" s="1">
        <v>51.93</v>
      </c>
      <c r="D74" s="1">
        <f>SUMIF(unified_payments!$H$2:$H$7023,$A74,unified_payments!$D$2:$D$7023)</f>
        <v>4.2</v>
      </c>
    </row>
    <row r="75" spans="1:4" x14ac:dyDescent="0.3">
      <c r="A75" s="1" t="s">
        <v>75</v>
      </c>
      <c r="B75" s="1">
        <f>SUMIF(unified_payments!$H$2:$H$7023,$A75,unified_payments!$B$2:$B$7023)</f>
        <v>1011.7299999999996</v>
      </c>
      <c r="C75" s="1">
        <v>873.98</v>
      </c>
      <c r="D75" s="1">
        <f>SUMIF(unified_payments!$H$2:$H$7023,$A75,unified_payments!$D$2:$D$7023)</f>
        <v>75.729999999999933</v>
      </c>
    </row>
    <row r="76" spans="1:4" x14ac:dyDescent="0.3">
      <c r="A76" s="1" t="s">
        <v>76</v>
      </c>
      <c r="B76" s="1">
        <f>SUMIF(unified_payments!$H$2:$H$7023,$A76,unified_payments!$B$2:$B$7023)</f>
        <v>1420.8000000000006</v>
      </c>
      <c r="C76" s="1">
        <v>1225.59</v>
      </c>
      <c r="D76" s="1">
        <f>SUMIF(unified_payments!$H$2:$H$7023,$A76,unified_payments!$D$2:$D$7023)</f>
        <v>74.399999999999991</v>
      </c>
    </row>
    <row r="77" spans="1:4" x14ac:dyDescent="0.3">
      <c r="A77" s="1" t="s">
        <v>77</v>
      </c>
      <c r="B77" s="1">
        <f>SUMIF(unified_payments!$H$2:$H$7023,$A77,unified_payments!$B$2:$B$7023)</f>
        <v>78.67</v>
      </c>
      <c r="C77" s="1">
        <v>68.15</v>
      </c>
      <c r="D77" s="1">
        <f>SUMIF(unified_payments!$H$2:$H$7023,$A77,unified_payments!$D$2:$D$7023)</f>
        <v>3.89</v>
      </c>
    </row>
    <row r="78" spans="1:4" x14ac:dyDescent="0.3">
      <c r="A78" s="1" t="s">
        <v>78</v>
      </c>
      <c r="B78" s="1">
        <f>SUMIF(unified_payments!$H$2:$H$7023,$A78,unified_payments!$B$2:$B$7023)</f>
        <v>50.210000000000008</v>
      </c>
      <c r="C78" s="1">
        <v>43.14</v>
      </c>
      <c r="D78" s="1">
        <f>SUMIF(unified_payments!$H$2:$H$7023,$A78,unified_payments!$D$2:$D$7023)</f>
        <v>4.51</v>
      </c>
    </row>
    <row r="79" spans="1:4" x14ac:dyDescent="0.3">
      <c r="A79" s="1" t="s">
        <v>79</v>
      </c>
      <c r="B79" s="1">
        <f>SUMIF(unified_payments!$H$2:$H$7023,$A79,unified_payments!$B$2:$B$7023)</f>
        <v>200.09000000000003</v>
      </c>
      <c r="C79" s="1">
        <v>172.67</v>
      </c>
      <c r="D79" s="1">
        <f>SUMIF(unified_payments!$H$2:$H$7023,$A79,unified_payments!$D$2:$D$7023)</f>
        <v>18.959999999999997</v>
      </c>
    </row>
    <row r="80" spans="1:4" x14ac:dyDescent="0.3">
      <c r="A80" s="1" t="s">
        <v>80</v>
      </c>
      <c r="B80" s="1">
        <f>SUMIF(unified_payments!$H$2:$H$7023,$A80,unified_payments!$B$2:$B$7023)</f>
        <v>322.36999999999995</v>
      </c>
      <c r="C80" s="1">
        <v>278.87</v>
      </c>
      <c r="D80" s="1">
        <f>SUMIF(unified_payments!$H$2:$H$7023,$A80,unified_payments!$D$2:$D$7023)</f>
        <v>16.869999999999997</v>
      </c>
    </row>
    <row r="81" spans="1:4" x14ac:dyDescent="0.3">
      <c r="A81" s="1" t="s">
        <v>81</v>
      </c>
      <c r="B81" s="1">
        <f>SUMIF(unified_payments!$H$2:$H$7023,$A81,unified_payments!$B$2:$B$7023)</f>
        <v>990.98000000000127</v>
      </c>
      <c r="C81" s="1">
        <v>853.85</v>
      </c>
      <c r="D81" s="1">
        <f>SUMIF(unified_payments!$H$2:$H$7023,$A81,unified_payments!$D$2:$D$7023)</f>
        <v>49.049999999999955</v>
      </c>
    </row>
    <row r="82" spans="1:4" x14ac:dyDescent="0.3">
      <c r="A82" s="1" t="s">
        <v>82</v>
      </c>
      <c r="B82" s="1">
        <f>SUMIF(unified_payments!$H$2:$H$7023,$A82,unified_payments!$B$2:$B$7023)</f>
        <v>693.39999999999986</v>
      </c>
      <c r="C82" s="1">
        <v>597.82</v>
      </c>
      <c r="D82" s="1">
        <f>SUMIF(unified_payments!$H$2:$H$7023,$A82,unified_payments!$D$2:$D$7023)</f>
        <v>45.410000000000004</v>
      </c>
    </row>
    <row r="83" spans="1:4" x14ac:dyDescent="0.3">
      <c r="A83" s="1" t="s">
        <v>83</v>
      </c>
      <c r="B83" s="1">
        <f>SUMIF(unified_payments!$H$2:$H$7023,$A83,unified_payments!$B$2:$B$7023)</f>
        <v>7.48</v>
      </c>
      <c r="C83" s="1">
        <v>6.46</v>
      </c>
      <c r="D83" s="1">
        <f>SUMIF(unified_payments!$H$2:$H$7023,$A83,unified_payments!$D$2:$D$7023)</f>
        <v>0.59</v>
      </c>
    </row>
    <row r="84" spans="1:4" x14ac:dyDescent="0.3">
      <c r="A84" s="1" t="s">
        <v>84</v>
      </c>
      <c r="B84" s="1">
        <f>SUMIF(unified_payments!$H$2:$H$7023,$A84,unified_payments!$B$2:$B$7023)</f>
        <v>520.74999999999977</v>
      </c>
      <c r="C84" s="1">
        <v>449.74</v>
      </c>
      <c r="D84" s="1">
        <f>SUMIF(unified_payments!$H$2:$H$7023,$A84,unified_payments!$D$2:$D$7023)</f>
        <v>39.239999999999995</v>
      </c>
    </row>
    <row r="85" spans="1:4" x14ac:dyDescent="0.3">
      <c r="A85" s="1" t="s">
        <v>85</v>
      </c>
      <c r="B85" s="1">
        <f>SUMIF(unified_payments!$H$2:$H$7023,$A85,unified_payments!$B$2:$B$7023)</f>
        <v>188.98999999999998</v>
      </c>
      <c r="C85" s="1">
        <v>163.68</v>
      </c>
      <c r="D85" s="1">
        <f>SUMIF(unified_payments!$H$2:$H$7023,$A85,unified_payments!$D$2:$D$7023)</f>
        <v>10.239999999999998</v>
      </c>
    </row>
    <row r="86" spans="1:4" x14ac:dyDescent="0.3">
      <c r="A86" s="1" t="s">
        <v>86</v>
      </c>
      <c r="B86" s="1">
        <f>SUMIF(unified_payments!$H$2:$H$7023,$A86,unified_payments!$B$2:$B$7023)</f>
        <v>73.8</v>
      </c>
      <c r="C86" s="1">
        <v>63.77</v>
      </c>
      <c r="D86" s="1">
        <f>SUMIF(unified_payments!$H$2:$H$7023,$A86,unified_payments!$D$2:$D$7023)</f>
        <v>3.73</v>
      </c>
    </row>
    <row r="87" spans="1:4" x14ac:dyDescent="0.3">
      <c r="A87" s="1" t="s">
        <v>87</v>
      </c>
      <c r="B87" s="1">
        <f>SUMIF(unified_payments!$H$2:$H$7023,$A87,unified_payments!$B$2:$B$7023)</f>
        <v>245.66999999999996</v>
      </c>
      <c r="C87" s="1">
        <v>212.04</v>
      </c>
      <c r="D87" s="1">
        <f>SUMIF(unified_payments!$H$2:$H$7023,$A87,unified_payments!$D$2:$D$7023)</f>
        <v>16.399999999999999</v>
      </c>
    </row>
    <row r="88" spans="1:4" x14ac:dyDescent="0.3">
      <c r="A88" s="1" t="s">
        <v>88</v>
      </c>
      <c r="B88" s="1">
        <f>SUMIF(unified_payments!$H$2:$H$7023,$A88,unified_payments!$B$2:$B$7023)</f>
        <v>2195.9999999999968</v>
      </c>
      <c r="C88" s="1">
        <v>1897.88</v>
      </c>
      <c r="D88" s="1">
        <f>SUMIF(unified_payments!$H$2:$H$7023,$A88,unified_payments!$D$2:$D$7023)</f>
        <v>117.4400000000001</v>
      </c>
    </row>
    <row r="89" spans="1:4" x14ac:dyDescent="0.3">
      <c r="A89" s="1" t="s">
        <v>89</v>
      </c>
      <c r="B89" s="1">
        <f>SUMIF(unified_payments!$H$2:$H$7023,$A89,unified_payments!$B$2:$B$7023)</f>
        <v>44.47</v>
      </c>
      <c r="C89" s="1">
        <v>38.44</v>
      </c>
      <c r="D89" s="1">
        <f>SUMIF(unified_payments!$H$2:$H$7023,$A89,unified_payments!$D$2:$D$7023)</f>
        <v>3.5100000000000002</v>
      </c>
    </row>
    <row r="90" spans="1:4" x14ac:dyDescent="0.3">
      <c r="A90" s="1" t="s">
        <v>90</v>
      </c>
      <c r="B90" s="1">
        <f>SUMIF(unified_payments!$H$2:$H$7023,$A90,unified_payments!$B$2:$B$7023)</f>
        <v>294.23</v>
      </c>
      <c r="C90" s="1">
        <v>254.46</v>
      </c>
      <c r="D90" s="1">
        <f>SUMIF(unified_payments!$H$2:$H$7023,$A90,unified_payments!$D$2:$D$7023)</f>
        <v>15.630000000000003</v>
      </c>
    </row>
    <row r="91" spans="1:4" x14ac:dyDescent="0.3">
      <c r="A91" s="1" t="s">
        <v>91</v>
      </c>
      <c r="B91" s="1">
        <f>SUMIF(unified_payments!$H$2:$H$7023,$A91,unified_payments!$B$2:$B$7023)</f>
        <v>5122.730000000005</v>
      </c>
      <c r="C91" s="1">
        <v>4407.5</v>
      </c>
      <c r="D91" s="1">
        <f>SUMIF(unified_payments!$H$2:$H$7023,$A91,unified_payments!$D$2:$D$7023)</f>
        <v>335.960000000001</v>
      </c>
    </row>
    <row r="92" spans="1:4" x14ac:dyDescent="0.3">
      <c r="A92" s="1" t="s">
        <v>92</v>
      </c>
      <c r="B92" s="1">
        <f>SUMIF(unified_payments!$H$2:$H$7023,$A92,unified_payments!$B$2:$B$7023)</f>
        <v>23.97</v>
      </c>
      <c r="C92" s="1">
        <v>20.74</v>
      </c>
      <c r="D92" s="1">
        <f>SUMIF(unified_payments!$H$2:$H$7023,$A92,unified_payments!$D$2:$D$7023)</f>
        <v>1.84</v>
      </c>
    </row>
    <row r="93" spans="1:4" x14ac:dyDescent="0.3">
      <c r="A93" s="1" t="s">
        <v>93</v>
      </c>
      <c r="B93" s="1">
        <f>SUMIF(unified_payments!$H$2:$H$7023,$A93,unified_payments!$B$2:$B$7023)</f>
        <v>10.71</v>
      </c>
      <c r="C93" s="1">
        <v>9.24</v>
      </c>
      <c r="D93" s="1">
        <f>SUMIF(unified_payments!$H$2:$H$7023,$A93,unified_payments!$D$2:$D$7023)</f>
        <v>1.22</v>
      </c>
    </row>
    <row r="94" spans="1:4" x14ac:dyDescent="0.3">
      <c r="A94" s="1" t="s">
        <v>94</v>
      </c>
      <c r="B94" s="1">
        <f>SUMIF(unified_payments!$H$2:$H$7023,$A94,unified_payments!$B$2:$B$7023)</f>
        <v>76.650000000000006</v>
      </c>
      <c r="C94" s="1">
        <v>66.35</v>
      </c>
      <c r="D94" s="1">
        <f>SUMIF(unified_payments!$H$2:$H$7023,$A94,unified_payments!$D$2:$D$7023)</f>
        <v>6.19</v>
      </c>
    </row>
    <row r="95" spans="1:4" x14ac:dyDescent="0.3">
      <c r="A95" s="1" t="s">
        <v>95</v>
      </c>
      <c r="B95" s="1">
        <f>SUMIF(unified_payments!$H$2:$H$7023,$A95,unified_payments!$B$2:$B$7023)</f>
        <v>5.97</v>
      </c>
      <c r="C95" s="1">
        <v>5.13</v>
      </c>
      <c r="D95" s="1">
        <f>SUMIF(unified_payments!$H$2:$H$7023,$A95,unified_payments!$D$2:$D$7023)</f>
        <v>1.02</v>
      </c>
    </row>
    <row r="96" spans="1:4" x14ac:dyDescent="0.3">
      <c r="A96" s="1" t="s">
        <v>96</v>
      </c>
      <c r="B96" s="1">
        <f>SUMIF(unified_payments!$H$2:$H$7023,$A96,unified_payments!$B$2:$B$7023)</f>
        <v>38.729999999999997</v>
      </c>
      <c r="C96" s="1">
        <v>33.39</v>
      </c>
      <c r="D96" s="1">
        <f>SUMIF(unified_payments!$H$2:$H$7023,$A96,unified_payments!$D$2:$D$7023)</f>
        <v>3.72</v>
      </c>
    </row>
    <row r="97" spans="1:4" x14ac:dyDescent="0.3">
      <c r="A97" s="1" t="s">
        <v>97</v>
      </c>
      <c r="B97" s="1">
        <f>SUMIF(unified_payments!$H$2:$H$7023,$A97,unified_payments!$B$2:$B$7023)</f>
        <v>6520.9700000000148</v>
      </c>
      <c r="C97" s="1">
        <v>5606.1</v>
      </c>
      <c r="D97" s="1">
        <f>SUMIF(unified_payments!$H$2:$H$7023,$A97,unified_payments!$D$2:$D$7023)</f>
        <v>324.13000000000085</v>
      </c>
    </row>
    <row r="98" spans="1:4" x14ac:dyDescent="0.3">
      <c r="A98" s="1" t="s">
        <v>98</v>
      </c>
      <c r="B98" s="1">
        <f>SUMIF(unified_payments!$H$2:$H$7023,$A98,unified_payments!$B$2:$B$7023)</f>
        <v>52561.790000000954</v>
      </c>
      <c r="C98" s="1">
        <v>45355.0</v>
      </c>
      <c r="D98" s="1">
        <f>SUMIF(unified_payments!$H$2:$H$7023,$A98,unified_payments!$D$2:$D$7023)</f>
        <v>3161.3599999999446</v>
      </c>
    </row>
    <row r="99" spans="1:4" x14ac:dyDescent="0.3">
      <c r="A99" s="1" t="s">
        <v>99</v>
      </c>
      <c r="B99" s="1">
        <f>SUMIF(unified_payments!$H$2:$H$7023,$A99,unified_payments!$B$2:$B$7023)</f>
        <v>2.99</v>
      </c>
      <c r="C99" s="1">
        <v>2.58</v>
      </c>
      <c r="D99" s="1">
        <f>SUMIF(unified_payments!$H$2:$H$7023,$A99,unified_payments!$D$2:$D$7023)</f>
        <v>0.38</v>
      </c>
    </row>
    <row r="100" spans="1:4" x14ac:dyDescent="0.3">
      <c r="A100" s="1" t="s">
        <v>100</v>
      </c>
      <c r="B100" s="1">
        <f>SUMIF(unified_payments!$H$2:$H$7023,$A100,unified_payments!$B$2:$B$7023)</f>
        <v>268.37000000000006</v>
      </c>
      <c r="C100" s="1">
        <v>232.82</v>
      </c>
      <c r="D100" s="1">
        <f>SUMIF(unified_payments!$H$2:$H$7023,$A100,unified_payments!$D$2:$D$7023)</f>
        <v>17.410000000000004</v>
      </c>
    </row>
    <row r="101" spans="1:4" x14ac:dyDescent="0.3">
      <c r="A101" s="1" t="s">
        <v>101</v>
      </c>
      <c r="B101" s="1">
        <f>SUMIF(unified_payments!$H$2:$H$7023,$A101,unified_payments!$B$2:$B$7023)</f>
        <v>80</v>
      </c>
      <c r="C101" s="1">
        <v>69.33</v>
      </c>
      <c r="D101" s="1">
        <f>SUMIF(unified_payments!$H$2:$H$7023,$A101,unified_payments!$D$2:$D$7023)</f>
        <v>4.88</v>
      </c>
    </row>
    <row r="102" spans="1:4" x14ac:dyDescent="0.3">
      <c r="A102" s="2" t="s">
        <v>102</v>
      </c>
      <c r="B102" s="2">
        <f>SUM(B4:B101)</f>
        <v>104145.64000000097</v>
      </c>
      <c r="C102" s="2">
        <v>89864.18</v>
      </c>
      <c r="D102" s="2">
        <f>SUM(D4:D101)</f>
        <v>6125.9199999999473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023"/>
  <sheetViews>
    <sheetView topLeftCell="A6995" workbookViewId="0">
      <selection activeCell="H7017" sqref="H7017"/>
    </sheetView>
  </sheetViews>
  <sheetFormatPr defaultRowHeight="14.4" x14ac:dyDescent="0.3"/>
  <cols>
    <col min="1" max="1" width="20.5546875" customWidth="1"/>
    <col min="2" max="2" width="20.109375" customWidth="1"/>
    <col min="3" max="3" width="26.109375" customWidth="1"/>
    <col min="4" max="4" width="20.44140625" customWidth="1"/>
    <col min="5" max="5" width="12.88671875" customWidth="1"/>
    <col min="6" max="6" width="17.21875" customWidth="1"/>
    <col min="7" max="7" width="14" customWidth="1"/>
    <col min="8" max="8" width="40.109375" customWidth="1"/>
  </cols>
  <sheetData>
    <row r="1" spans="1:8" x14ac:dyDescent="0.3">
      <c r="A1" s="1" t="s">
        <v>103</v>
      </c>
      <c r="B1" s="1" t="s">
        <v>104</v>
      </c>
      <c r="C1" s="1" t="s">
        <v>105</v>
      </c>
      <c r="D1" s="1" t="s">
        <v>106</v>
      </c>
      <c r="E1" s="1" t="s">
        <v>107</v>
      </c>
      <c r="F1" s="1" t="s">
        <v>108</v>
      </c>
      <c r="G1" s="1" t="s">
        <v>109</v>
      </c>
      <c r="H1" s="1" t="s">
        <v>110</v>
      </c>
    </row>
    <row r="2" spans="1:8" x14ac:dyDescent="0.3">
      <c r="A2" s="3">
        <v>46265.874537037038</v>
      </c>
      <c r="B2" s="1">
        <v>7.98</v>
      </c>
      <c r="C2" s="1">
        <v>6.87</v>
      </c>
      <c r="D2" s="1">
        <v>0.49</v>
      </c>
      <c r="E2" s="1" t="s">
        <v>111</v>
      </c>
      <c r="F2" s="1" t="s">
        <v>111</v>
      </c>
      <c r="G2" s="1" t="s">
        <v>111</v>
      </c>
      <c r="H2" s="1" t="str">
        <f>VLOOKUP(F2,Countries!$A$1:$B$161,2,0)</f>
        <v>Finland</v>
      </c>
    </row>
    <row r="3" spans="1:8" x14ac:dyDescent="0.3">
      <c r="A3" s="3">
        <v>46265.873287037037</v>
      </c>
      <c r="B3" s="1">
        <v>12.97</v>
      </c>
      <c r="C3" s="1">
        <v>11.17</v>
      </c>
      <c r="D3" s="1">
        <v>0.64</v>
      </c>
      <c r="E3" s="1" t="s">
        <v>112</v>
      </c>
      <c r="F3" s="1" t="s">
        <v>112</v>
      </c>
      <c r="G3" s="1" t="s">
        <v>112</v>
      </c>
      <c r="H3" s="1" t="str">
        <f>VLOOKUP(F3,Countries!$A$1:$B$161,2,0)</f>
        <v>Ireland</v>
      </c>
    </row>
    <row r="4" spans="1:8" x14ac:dyDescent="0.3">
      <c r="A4" s="3">
        <v>46265.868275462963</v>
      </c>
      <c r="B4" s="1">
        <v>14.77</v>
      </c>
      <c r="C4" s="1">
        <v>12.71</v>
      </c>
      <c r="D4" s="1">
        <v>0.91</v>
      </c>
      <c r="E4" s="1" t="s">
        <v>113</v>
      </c>
      <c r="F4" s="1" t="s">
        <v>113</v>
      </c>
      <c r="G4" s="1" t="s">
        <v>113</v>
      </c>
      <c r="H4" s="1" t="str">
        <f>VLOOKUP(F4,Countries!$A$1:$B$161,2,0)</f>
        <v>United States of America</v>
      </c>
    </row>
    <row r="5" spans="1:8" x14ac:dyDescent="0.3">
      <c r="A5" s="3">
        <v>46265.86791666667</v>
      </c>
      <c r="B5" s="1">
        <v>3.39</v>
      </c>
      <c r="C5" s="1">
        <v>2.92</v>
      </c>
      <c r="D5" s="1">
        <v>0.4</v>
      </c>
      <c r="E5" s="1" t="s">
        <v>114</v>
      </c>
      <c r="F5" s="1" t="s">
        <v>114</v>
      </c>
      <c r="G5" s="1" t="s">
        <v>114</v>
      </c>
      <c r="H5" s="1" t="str">
        <f>VLOOKUP(F5,Countries!$A$1:$B$161,2,0)</f>
        <v>Philippines</v>
      </c>
    </row>
    <row r="6" spans="1:8" x14ac:dyDescent="0.3">
      <c r="A6" s="3">
        <v>46265.864016203697</v>
      </c>
      <c r="B6" s="1">
        <v>6.37</v>
      </c>
      <c r="C6" s="1">
        <v>5.48</v>
      </c>
      <c r="D6" s="1">
        <v>0.54</v>
      </c>
      <c r="E6" s="1" t="s">
        <v>113</v>
      </c>
      <c r="F6" s="1" t="s">
        <v>113</v>
      </c>
      <c r="G6" s="1" t="s">
        <v>113</v>
      </c>
      <c r="H6" s="1" t="str">
        <f>VLOOKUP(F6,Countries!$A$1:$B$161,2,0)</f>
        <v>United States of America</v>
      </c>
    </row>
    <row r="7" spans="1:8" x14ac:dyDescent="0.3">
      <c r="A7" s="3">
        <v>46265.859050925923</v>
      </c>
      <c r="B7" s="1">
        <v>12.97</v>
      </c>
      <c r="C7" s="1">
        <v>11.17</v>
      </c>
      <c r="D7" s="1">
        <v>0.64</v>
      </c>
      <c r="E7" s="1" t="s">
        <v>112</v>
      </c>
      <c r="F7" s="1" t="s">
        <v>112</v>
      </c>
      <c r="G7" s="1" t="s">
        <v>112</v>
      </c>
      <c r="H7" s="1" t="str">
        <f>VLOOKUP(F7,Countries!$A$1:$B$161,2,0)</f>
        <v>Ireland</v>
      </c>
    </row>
    <row r="8" spans="1:8" x14ac:dyDescent="0.3">
      <c r="A8" s="3">
        <v>46265.857731481483</v>
      </c>
      <c r="B8" s="1">
        <v>11.35</v>
      </c>
      <c r="C8" s="1">
        <v>9.77</v>
      </c>
      <c r="D8" s="1">
        <v>0.77</v>
      </c>
      <c r="E8" s="1" t="s">
        <v>114</v>
      </c>
      <c r="F8" s="1" t="s">
        <v>114</v>
      </c>
      <c r="G8" s="1" t="s">
        <v>114</v>
      </c>
      <c r="H8" s="1" t="str">
        <f>VLOOKUP(F8,Countries!$A$1:$B$161,2,0)</f>
        <v>Philippines</v>
      </c>
    </row>
    <row r="9" spans="1:8" x14ac:dyDescent="0.3">
      <c r="A9" s="3">
        <v>46265.856192129628</v>
      </c>
      <c r="B9" s="1">
        <v>10.85</v>
      </c>
      <c r="C9" s="1">
        <v>9.34</v>
      </c>
      <c r="D9" s="1">
        <v>0.74</v>
      </c>
      <c r="E9" s="1" t="s">
        <v>115</v>
      </c>
      <c r="F9" s="1" t="s">
        <v>115</v>
      </c>
      <c r="G9" s="1" t="s">
        <v>115</v>
      </c>
      <c r="H9" s="1" t="str">
        <f>VLOOKUP(F9,Countries!$A$1:$B$161,2,0)</f>
        <v>Switzerland</v>
      </c>
    </row>
    <row r="10" spans="1:8" x14ac:dyDescent="0.3">
      <c r="A10" s="3">
        <v>46265.850613425922</v>
      </c>
      <c r="B10" s="1">
        <v>6.37</v>
      </c>
      <c r="C10" s="1">
        <v>5.48</v>
      </c>
      <c r="D10" s="1">
        <v>0.54</v>
      </c>
      <c r="E10" s="1" t="s">
        <v>113</v>
      </c>
      <c r="F10" s="1" t="s">
        <v>113</v>
      </c>
      <c r="G10" s="1" t="s">
        <v>113</v>
      </c>
      <c r="H10" s="1" t="str">
        <f>VLOOKUP(F10,Countries!$A$1:$B$161,2,0)</f>
        <v>United States of America</v>
      </c>
    </row>
    <row r="11" spans="1:8" x14ac:dyDescent="0.3">
      <c r="A11" s="3">
        <v>46265.846226851849</v>
      </c>
      <c r="B11" s="1">
        <v>12.64</v>
      </c>
      <c r="C11" s="1">
        <v>10.88</v>
      </c>
      <c r="D11" s="1">
        <v>0.63</v>
      </c>
      <c r="E11" s="1" t="s">
        <v>116</v>
      </c>
      <c r="F11" s="1" t="s">
        <v>116</v>
      </c>
      <c r="G11" s="1" t="s">
        <v>116</v>
      </c>
      <c r="H11" s="1" t="str">
        <f>VLOOKUP(F11,Countries!$A$1:$B$161,2,0)</f>
        <v>Spain</v>
      </c>
    </row>
    <row r="12" spans="1:8" x14ac:dyDescent="0.3">
      <c r="A12" s="3">
        <v>46265.845613425918</v>
      </c>
      <c r="B12" s="1">
        <v>3.88</v>
      </c>
      <c r="C12" s="1">
        <v>3.34</v>
      </c>
      <c r="D12" s="1">
        <v>0.37</v>
      </c>
      <c r="E12" s="1" t="s">
        <v>117</v>
      </c>
      <c r="F12" s="1" t="s">
        <v>117</v>
      </c>
      <c r="G12" s="1" t="s">
        <v>117</v>
      </c>
      <c r="H12" s="1" t="str">
        <f>VLOOKUP(F12,Countries!$A$1:$B$161,2,0)</f>
        <v>Slovak Republic</v>
      </c>
    </row>
    <row r="13" spans="1:8" x14ac:dyDescent="0.3">
      <c r="A13" s="3">
        <v>46265.838229166657</v>
      </c>
      <c r="B13" s="1">
        <v>12.98</v>
      </c>
      <c r="C13" s="1">
        <v>11.17</v>
      </c>
      <c r="D13" s="1">
        <v>0.64</v>
      </c>
      <c r="E13" s="1" t="s">
        <v>112</v>
      </c>
      <c r="F13" s="1" t="s">
        <v>112</v>
      </c>
      <c r="G13" s="1" t="s">
        <v>112</v>
      </c>
      <c r="H13" s="1" t="str">
        <f>VLOOKUP(F13,Countries!$A$1:$B$161,2,0)</f>
        <v>Ireland</v>
      </c>
    </row>
    <row r="14" spans="1:8" x14ac:dyDescent="0.3">
      <c r="A14" s="3">
        <v>46265.837372685193</v>
      </c>
      <c r="B14" s="1">
        <v>6.37</v>
      </c>
      <c r="C14" s="1">
        <v>5.48</v>
      </c>
      <c r="D14" s="1">
        <v>0.54</v>
      </c>
      <c r="E14" s="1" t="s">
        <v>113</v>
      </c>
      <c r="F14" s="1" t="s">
        <v>113</v>
      </c>
      <c r="G14" s="1" t="s">
        <v>113</v>
      </c>
      <c r="H14" s="1" t="str">
        <f>VLOOKUP(F14,Countries!$A$1:$B$161,2,0)</f>
        <v>United States of America</v>
      </c>
    </row>
    <row r="15" spans="1:8" x14ac:dyDescent="0.3">
      <c r="A15" s="3">
        <v>46265.836643518523</v>
      </c>
      <c r="B15" s="1">
        <v>12.97</v>
      </c>
      <c r="C15" s="1">
        <v>11.17</v>
      </c>
      <c r="D15" s="1">
        <v>0.64</v>
      </c>
      <c r="E15" s="1" t="s">
        <v>112</v>
      </c>
      <c r="F15" s="1" t="s">
        <v>112</v>
      </c>
      <c r="G15" s="1" t="s">
        <v>112</v>
      </c>
      <c r="H15" s="1" t="str">
        <f>VLOOKUP(F15,Countries!$A$1:$B$161,2,0)</f>
        <v>Ireland</v>
      </c>
    </row>
    <row r="16" spans="1:8" x14ac:dyDescent="0.3">
      <c r="A16" s="3">
        <v>46265.835081018522</v>
      </c>
      <c r="B16" s="1">
        <v>10.85</v>
      </c>
      <c r="C16" s="1">
        <v>9.34</v>
      </c>
      <c r="D16" s="1">
        <v>0.74</v>
      </c>
      <c r="E16" s="1" t="s">
        <v>115</v>
      </c>
      <c r="F16" s="1" t="s">
        <v>115</v>
      </c>
      <c r="G16" s="1" t="s">
        <v>115</v>
      </c>
      <c r="H16" s="1" t="str">
        <f>VLOOKUP(F16,Countries!$A$1:$B$161,2,0)</f>
        <v>Switzerland</v>
      </c>
    </row>
    <row r="17" spans="1:8" x14ac:dyDescent="0.3">
      <c r="A17" s="3">
        <v>46265.834386574083</v>
      </c>
      <c r="B17" s="1">
        <v>12.97</v>
      </c>
      <c r="C17" s="1">
        <v>11.17</v>
      </c>
      <c r="D17" s="1">
        <v>0.64</v>
      </c>
      <c r="E17" s="1" t="s">
        <v>112</v>
      </c>
      <c r="F17" s="1" t="s">
        <v>112</v>
      </c>
      <c r="G17" s="1" t="s">
        <v>112</v>
      </c>
      <c r="H17" s="1" t="str">
        <f>VLOOKUP(F17,Countries!$A$1:$B$161,2,0)</f>
        <v>Ireland</v>
      </c>
    </row>
    <row r="18" spans="1:8" x14ac:dyDescent="0.3">
      <c r="A18" s="3">
        <v>46265.831087962957</v>
      </c>
      <c r="B18" s="1">
        <v>12.97</v>
      </c>
      <c r="C18" s="1">
        <v>11.17</v>
      </c>
      <c r="D18" s="1">
        <v>0.64</v>
      </c>
      <c r="E18" s="1" t="s">
        <v>112</v>
      </c>
      <c r="F18" s="1" t="s">
        <v>112</v>
      </c>
      <c r="G18" s="1" t="s">
        <v>112</v>
      </c>
      <c r="H18" s="1" t="str">
        <f>VLOOKUP(F18,Countries!$A$1:$B$161,2,0)</f>
        <v>Ireland</v>
      </c>
    </row>
    <row r="19" spans="1:8" x14ac:dyDescent="0.3">
      <c r="A19" s="3">
        <v>46265.827881944453</v>
      </c>
      <c r="B19" s="1">
        <v>12.97</v>
      </c>
      <c r="C19" s="1">
        <v>11.17</v>
      </c>
      <c r="D19" s="1">
        <v>0.64</v>
      </c>
      <c r="E19" s="1" t="s">
        <v>112</v>
      </c>
      <c r="F19" s="1" t="s">
        <v>112</v>
      </c>
      <c r="G19" s="1" t="s">
        <v>112</v>
      </c>
      <c r="H19" s="1" t="str">
        <f>VLOOKUP(F19,Countries!$A$1:$B$161,2,0)</f>
        <v>Ireland</v>
      </c>
    </row>
    <row r="20" spans="1:8" x14ac:dyDescent="0.3">
      <c r="A20" s="3">
        <v>46265.823877314811</v>
      </c>
      <c r="B20" s="1">
        <v>14.77</v>
      </c>
      <c r="C20" s="1">
        <v>12.72</v>
      </c>
      <c r="D20" s="1">
        <v>0.91</v>
      </c>
      <c r="E20" s="1" t="s">
        <v>113</v>
      </c>
      <c r="F20" s="1" t="s">
        <v>113</v>
      </c>
      <c r="G20" s="1" t="s">
        <v>113</v>
      </c>
      <c r="H20" s="1" t="str">
        <f>VLOOKUP(F20,Countries!$A$1:$B$161,2,0)</f>
        <v>United States of America</v>
      </c>
    </row>
    <row r="21" spans="1:8" x14ac:dyDescent="0.3">
      <c r="A21" s="3">
        <v>46265.82203703704</v>
      </c>
      <c r="B21" s="1">
        <v>10.62</v>
      </c>
      <c r="C21" s="1">
        <v>9.14</v>
      </c>
      <c r="D21" s="1">
        <v>0.73</v>
      </c>
      <c r="E21" s="1" t="s">
        <v>113</v>
      </c>
      <c r="F21" s="1" t="s">
        <v>113</v>
      </c>
      <c r="G21" s="1" t="s">
        <v>113</v>
      </c>
      <c r="H21" s="1" t="str">
        <f>VLOOKUP(F21,Countries!$A$1:$B$161,2,0)</f>
        <v>United States of America</v>
      </c>
    </row>
    <row r="22" spans="1:8" x14ac:dyDescent="0.3">
      <c r="A22" s="3">
        <v>46265.820752314823</v>
      </c>
      <c r="B22" s="1">
        <v>12.97</v>
      </c>
      <c r="C22" s="1">
        <v>11.17</v>
      </c>
      <c r="D22" s="1">
        <v>0.64</v>
      </c>
      <c r="E22" s="1" t="s">
        <v>112</v>
      </c>
      <c r="F22" s="1" t="s">
        <v>112</v>
      </c>
      <c r="G22" s="1" t="s">
        <v>112</v>
      </c>
      <c r="H22" s="1" t="str">
        <f>VLOOKUP(F22,Countries!$A$1:$B$161,2,0)</f>
        <v>Ireland</v>
      </c>
    </row>
    <row r="23" spans="1:8" x14ac:dyDescent="0.3">
      <c r="A23" s="3">
        <v>46265.819097222222</v>
      </c>
      <c r="B23" s="1">
        <v>11.35</v>
      </c>
      <c r="C23" s="1">
        <v>9.77</v>
      </c>
      <c r="D23" s="1">
        <v>0.77</v>
      </c>
      <c r="E23" s="1" t="s">
        <v>114</v>
      </c>
      <c r="F23" s="1" t="s">
        <v>114</v>
      </c>
      <c r="G23" s="1" t="s">
        <v>114</v>
      </c>
      <c r="H23" s="1" t="str">
        <f>VLOOKUP(F23,Countries!$A$1:$B$161,2,0)</f>
        <v>Philippines</v>
      </c>
    </row>
    <row r="24" spans="1:8" x14ac:dyDescent="0.3">
      <c r="A24" s="3">
        <v>46265.816250000003</v>
      </c>
      <c r="B24" s="1">
        <v>6.37</v>
      </c>
      <c r="C24" s="1">
        <v>5.48</v>
      </c>
      <c r="D24" s="1">
        <v>0.54</v>
      </c>
      <c r="E24" s="1" t="s">
        <v>118</v>
      </c>
      <c r="F24" s="1" t="s">
        <v>118</v>
      </c>
      <c r="G24" s="1" t="s">
        <v>118</v>
      </c>
      <c r="H24" s="1" t="str">
        <f>VLOOKUP(F24,Countries!$A$1:$B$161,2,0)</f>
        <v>Bermuda</v>
      </c>
    </row>
    <row r="25" spans="1:8" x14ac:dyDescent="0.3">
      <c r="A25" s="3">
        <v>46265.810219907413</v>
      </c>
      <c r="B25" s="1">
        <v>14.77</v>
      </c>
      <c r="C25" s="1">
        <v>12.72</v>
      </c>
      <c r="D25" s="1">
        <v>0.91</v>
      </c>
      <c r="E25" s="1" t="s">
        <v>113</v>
      </c>
      <c r="F25" s="1" t="s">
        <v>113</v>
      </c>
      <c r="G25" s="1" t="s">
        <v>113</v>
      </c>
      <c r="H25" s="1" t="str">
        <f>VLOOKUP(F25,Countries!$A$1:$B$161,2,0)</f>
        <v>United States of America</v>
      </c>
    </row>
    <row r="26" spans="1:8" x14ac:dyDescent="0.3">
      <c r="A26" s="3">
        <v>46265.800092592603</v>
      </c>
      <c r="B26" s="1">
        <v>17.36</v>
      </c>
      <c r="C26" s="1">
        <v>14.95</v>
      </c>
      <c r="D26" s="1">
        <v>0.92</v>
      </c>
      <c r="E26" s="1" t="s">
        <v>119</v>
      </c>
      <c r="F26" s="1" t="s">
        <v>119</v>
      </c>
      <c r="G26" s="1" t="s">
        <v>119</v>
      </c>
      <c r="H26" s="1" t="str">
        <f>VLOOKUP(F26,Countries!$A$1:$B$161,2,0)</f>
        <v>Great Britain (United Kingdom)</v>
      </c>
    </row>
    <row r="27" spans="1:8" x14ac:dyDescent="0.3">
      <c r="A27" s="3">
        <v>46265.798090277778</v>
      </c>
      <c r="B27" s="1">
        <v>2.99</v>
      </c>
      <c r="C27" s="1">
        <v>2.57</v>
      </c>
      <c r="D27" s="1">
        <v>0.34</v>
      </c>
      <c r="E27" s="1" t="s">
        <v>120</v>
      </c>
      <c r="F27" s="1" t="s">
        <v>120</v>
      </c>
      <c r="G27" s="1" t="s">
        <v>120</v>
      </c>
      <c r="H27" s="1" t="str">
        <f>VLOOKUP(F27,Countries!$A$1:$B$161,2,0)</f>
        <v>Czech Republic</v>
      </c>
    </row>
    <row r="28" spans="1:8" x14ac:dyDescent="0.3">
      <c r="A28" s="3">
        <v>46265.795983796299</v>
      </c>
      <c r="B28" s="1">
        <v>11.35</v>
      </c>
      <c r="C28" s="1">
        <v>9.77</v>
      </c>
      <c r="D28" s="1">
        <v>0.77</v>
      </c>
      <c r="E28" s="1" t="s">
        <v>114</v>
      </c>
      <c r="F28" s="1" t="s">
        <v>114</v>
      </c>
      <c r="G28" s="1" t="s">
        <v>114</v>
      </c>
      <c r="H28" s="1" t="str">
        <f>VLOOKUP(F28,Countries!$A$1:$B$161,2,0)</f>
        <v>Philippines</v>
      </c>
    </row>
    <row r="29" spans="1:8" x14ac:dyDescent="0.3">
      <c r="A29" s="3">
        <v>46265.795358796298</v>
      </c>
      <c r="B29" s="1">
        <v>14.77</v>
      </c>
      <c r="C29" s="1">
        <v>12.72</v>
      </c>
      <c r="D29" s="1">
        <v>0.91</v>
      </c>
      <c r="E29" s="1" t="s">
        <v>113</v>
      </c>
      <c r="F29" s="1" t="s">
        <v>113</v>
      </c>
      <c r="G29" s="1" t="s">
        <v>113</v>
      </c>
      <c r="H29" s="1" t="str">
        <f>VLOOKUP(F29,Countries!$A$1:$B$161,2,0)</f>
        <v>United States of America</v>
      </c>
    </row>
    <row r="30" spans="1:8" x14ac:dyDescent="0.3">
      <c r="A30" s="3">
        <v>46265.793842592589</v>
      </c>
      <c r="B30" s="1">
        <v>12.97</v>
      </c>
      <c r="C30" s="1">
        <v>11.17</v>
      </c>
      <c r="D30" s="1">
        <v>0.64</v>
      </c>
      <c r="E30" s="1" t="s">
        <v>112</v>
      </c>
      <c r="F30" s="1" t="s">
        <v>112</v>
      </c>
      <c r="G30" s="1" t="s">
        <v>112</v>
      </c>
      <c r="H30" s="1" t="str">
        <f>VLOOKUP(F30,Countries!$A$1:$B$161,2,0)</f>
        <v>Ireland</v>
      </c>
    </row>
    <row r="31" spans="1:8" x14ac:dyDescent="0.3">
      <c r="A31" s="3">
        <v>46265.793449074074</v>
      </c>
      <c r="B31" s="1">
        <v>6.65</v>
      </c>
      <c r="C31" s="1">
        <v>5.72</v>
      </c>
      <c r="D31" s="1">
        <v>0.55000000000000004</v>
      </c>
      <c r="E31" s="1" t="s">
        <v>121</v>
      </c>
      <c r="F31" s="1" t="s">
        <v>121</v>
      </c>
      <c r="G31" s="1" t="s">
        <v>121</v>
      </c>
      <c r="H31" s="1" t="str">
        <f>VLOOKUP(F31,Countries!$A$1:$B$161,2,0)</f>
        <v>Japan</v>
      </c>
    </row>
    <row r="32" spans="1:8" x14ac:dyDescent="0.3">
      <c r="A32" s="3">
        <v>46265.789050925923</v>
      </c>
      <c r="B32" s="1">
        <v>7.48</v>
      </c>
      <c r="C32" s="1">
        <v>6.44</v>
      </c>
      <c r="D32" s="1">
        <v>0.59</v>
      </c>
      <c r="E32" s="1" t="s">
        <v>122</v>
      </c>
      <c r="F32" s="1" t="s">
        <v>122</v>
      </c>
      <c r="G32" s="1" t="s">
        <v>122</v>
      </c>
      <c r="H32" s="1" t="str">
        <f>VLOOKUP(F32,Countries!$A$1:$B$161,2,0)</f>
        <v>Myanmar</v>
      </c>
    </row>
    <row r="33" spans="1:8" x14ac:dyDescent="0.3">
      <c r="A33" s="3">
        <v>46265.786319444444</v>
      </c>
      <c r="B33" s="1">
        <v>11.35</v>
      </c>
      <c r="C33" s="1">
        <v>9.77</v>
      </c>
      <c r="D33" s="1">
        <v>0.77</v>
      </c>
      <c r="E33" s="1" t="s">
        <v>114</v>
      </c>
      <c r="F33" s="1" t="s">
        <v>114</v>
      </c>
      <c r="G33" s="1" t="s">
        <v>114</v>
      </c>
      <c r="H33" s="1" t="str">
        <f>VLOOKUP(F33,Countries!$A$1:$B$161,2,0)</f>
        <v>Philippines</v>
      </c>
    </row>
    <row r="34" spans="1:8" x14ac:dyDescent="0.3">
      <c r="A34" s="3">
        <v>46265.784641203703</v>
      </c>
      <c r="B34" s="1">
        <v>10.85</v>
      </c>
      <c r="C34" s="1">
        <v>9.34</v>
      </c>
      <c r="D34" s="1">
        <v>0.74</v>
      </c>
      <c r="E34" s="1" t="s">
        <v>115</v>
      </c>
      <c r="F34" s="1" t="s">
        <v>115</v>
      </c>
      <c r="G34" s="1" t="s">
        <v>115</v>
      </c>
      <c r="H34" s="1" t="str">
        <f>VLOOKUP(F34,Countries!$A$1:$B$161,2,0)</f>
        <v>Switzerland</v>
      </c>
    </row>
    <row r="35" spans="1:8" x14ac:dyDescent="0.3">
      <c r="A35" s="3">
        <v>46265.78328703704</v>
      </c>
      <c r="B35" s="1">
        <v>5.99</v>
      </c>
      <c r="C35" s="1">
        <v>5.16</v>
      </c>
      <c r="D35" s="1">
        <v>0.52</v>
      </c>
      <c r="E35" s="1" t="s">
        <v>113</v>
      </c>
      <c r="F35" s="1" t="s">
        <v>113</v>
      </c>
      <c r="G35" s="1" t="s">
        <v>113</v>
      </c>
      <c r="H35" s="1" t="str">
        <f>VLOOKUP(F35,Countries!$A$1:$B$161,2,0)</f>
        <v>United States of America</v>
      </c>
    </row>
    <row r="36" spans="1:8" x14ac:dyDescent="0.3">
      <c r="A36" s="3">
        <v>46265.775879629633</v>
      </c>
      <c r="B36" s="1">
        <v>14.77</v>
      </c>
      <c r="C36" s="1">
        <v>12.72</v>
      </c>
      <c r="D36" s="1">
        <v>0.91</v>
      </c>
      <c r="E36" s="1" t="s">
        <v>113</v>
      </c>
      <c r="F36" s="1" t="s">
        <v>113</v>
      </c>
      <c r="G36" s="1" t="s">
        <v>113</v>
      </c>
      <c r="H36" s="1" t="str">
        <f>VLOOKUP(F36,Countries!$A$1:$B$161,2,0)</f>
        <v>United States of America</v>
      </c>
    </row>
    <row r="37" spans="1:8" x14ac:dyDescent="0.3">
      <c r="A37" s="3">
        <v>46265.773240740738</v>
      </c>
      <c r="B37" s="1">
        <v>3.39</v>
      </c>
      <c r="C37" s="1">
        <v>2.92</v>
      </c>
      <c r="D37" s="1">
        <v>0.4</v>
      </c>
      <c r="E37" s="1" t="s">
        <v>114</v>
      </c>
      <c r="F37" s="1" t="s">
        <v>114</v>
      </c>
      <c r="G37" s="1" t="s">
        <v>114</v>
      </c>
      <c r="H37" s="1" t="str">
        <f>VLOOKUP(F37,Countries!$A$1:$B$161,2,0)</f>
        <v>Philippines</v>
      </c>
    </row>
    <row r="38" spans="1:8" x14ac:dyDescent="0.3">
      <c r="A38" s="3">
        <v>46265.770185185182</v>
      </c>
      <c r="B38" s="1">
        <v>36.96</v>
      </c>
      <c r="C38" s="1">
        <v>31.82</v>
      </c>
      <c r="D38" s="1">
        <v>1.92</v>
      </c>
      <c r="E38" s="1" t="s">
        <v>113</v>
      </c>
      <c r="F38" s="1" t="s">
        <v>113</v>
      </c>
      <c r="G38" s="1" t="s">
        <v>113</v>
      </c>
      <c r="H38" s="1" t="str">
        <f>VLOOKUP(F38,Countries!$A$1:$B$161,2,0)</f>
        <v>United States of America</v>
      </c>
    </row>
    <row r="39" spans="1:8" x14ac:dyDescent="0.3">
      <c r="A39" s="3">
        <v>46265.766875000001</v>
      </c>
      <c r="B39" s="1">
        <v>11.35</v>
      </c>
      <c r="C39" s="1">
        <v>9.77</v>
      </c>
      <c r="D39" s="1">
        <v>0.77</v>
      </c>
      <c r="E39" s="1" t="s">
        <v>114</v>
      </c>
      <c r="F39" s="1" t="s">
        <v>114</v>
      </c>
      <c r="G39" s="1" t="s">
        <v>114</v>
      </c>
      <c r="H39" s="1" t="str">
        <f>VLOOKUP(F39,Countries!$A$1:$B$161,2,0)</f>
        <v>Philippines</v>
      </c>
    </row>
    <row r="40" spans="1:8" x14ac:dyDescent="0.3">
      <c r="A40" s="3">
        <v>46265.761944444443</v>
      </c>
      <c r="B40" s="1">
        <v>2.11</v>
      </c>
      <c r="C40" s="1">
        <v>1.82</v>
      </c>
      <c r="D40" s="1">
        <v>0.35</v>
      </c>
      <c r="E40" s="1" t="s">
        <v>113</v>
      </c>
      <c r="F40" s="1" t="s">
        <v>113</v>
      </c>
      <c r="G40" s="1" t="s">
        <v>113</v>
      </c>
      <c r="H40" s="1" t="str">
        <f>VLOOKUP(F40,Countries!$A$1:$B$161,2,0)</f>
        <v>United States of America</v>
      </c>
    </row>
    <row r="41" spans="1:8" x14ac:dyDescent="0.3">
      <c r="A41" s="3">
        <v>46265.752337962957</v>
      </c>
      <c r="B41" s="1">
        <v>12.97</v>
      </c>
      <c r="C41" s="1">
        <v>11.17</v>
      </c>
      <c r="D41" s="1">
        <v>0.64</v>
      </c>
      <c r="E41" s="1" t="s">
        <v>112</v>
      </c>
      <c r="F41" s="1" t="s">
        <v>112</v>
      </c>
      <c r="G41" s="1" t="s">
        <v>112</v>
      </c>
      <c r="H41" s="1" t="str">
        <f>VLOOKUP(F41,Countries!$A$1:$B$161,2,0)</f>
        <v>Ireland</v>
      </c>
    </row>
    <row r="42" spans="1:8" x14ac:dyDescent="0.3">
      <c r="A42" s="3">
        <v>46265.749942129631</v>
      </c>
      <c r="B42" s="1">
        <v>7.48</v>
      </c>
      <c r="C42" s="1">
        <v>6.44</v>
      </c>
      <c r="D42" s="1">
        <v>0.48</v>
      </c>
      <c r="E42" s="1" t="s">
        <v>123</v>
      </c>
      <c r="F42" s="1" t="s">
        <v>123</v>
      </c>
      <c r="G42" s="1" t="s">
        <v>123</v>
      </c>
      <c r="H42" s="1" t="str">
        <f>VLOOKUP(F42,Countries!$A$1:$B$161,2,0)</f>
        <v>France</v>
      </c>
    </row>
    <row r="43" spans="1:8" x14ac:dyDescent="0.3">
      <c r="A43" s="3">
        <v>46265.747615740736</v>
      </c>
      <c r="B43" s="1">
        <v>10.62</v>
      </c>
      <c r="C43" s="1">
        <v>9.14</v>
      </c>
      <c r="D43" s="1">
        <v>0.73</v>
      </c>
      <c r="E43" s="1" t="s">
        <v>113</v>
      </c>
      <c r="F43" s="1" t="s">
        <v>113</v>
      </c>
      <c r="G43" s="1" t="s">
        <v>113</v>
      </c>
      <c r="H43" s="1" t="str">
        <f>VLOOKUP(F43,Countries!$A$1:$B$161,2,0)</f>
        <v>United States of America</v>
      </c>
    </row>
    <row r="44" spans="1:8" x14ac:dyDescent="0.3">
      <c r="A44" s="3">
        <v>46265.744166666656</v>
      </c>
      <c r="B44" s="1">
        <v>9.07</v>
      </c>
      <c r="C44" s="1">
        <v>7.81</v>
      </c>
      <c r="D44" s="1">
        <v>0.66</v>
      </c>
      <c r="E44" s="1" t="s">
        <v>114</v>
      </c>
      <c r="F44" s="1" t="s">
        <v>114</v>
      </c>
      <c r="G44" s="1" t="s">
        <v>114</v>
      </c>
      <c r="H44" s="1" t="str">
        <f>VLOOKUP(F44,Countries!$A$1:$B$161,2,0)</f>
        <v>Philippines</v>
      </c>
    </row>
    <row r="45" spans="1:8" x14ac:dyDescent="0.3">
      <c r="A45" s="3">
        <v>46265.737534722219</v>
      </c>
      <c r="B45" s="1">
        <v>6.37</v>
      </c>
      <c r="C45" s="1">
        <v>5.48</v>
      </c>
      <c r="D45" s="1">
        <v>0.54</v>
      </c>
      <c r="E45" s="1" t="s">
        <v>113</v>
      </c>
      <c r="F45" s="1" t="s">
        <v>113</v>
      </c>
      <c r="G45" s="1" t="s">
        <v>113</v>
      </c>
      <c r="H45" s="1" t="str">
        <f>VLOOKUP(F45,Countries!$A$1:$B$161,2,0)</f>
        <v>United States of America</v>
      </c>
    </row>
    <row r="46" spans="1:8" x14ac:dyDescent="0.3">
      <c r="A46" s="3">
        <v>46265.713842592602</v>
      </c>
      <c r="B46" s="1">
        <v>12.97</v>
      </c>
      <c r="C46" s="1">
        <v>11.17</v>
      </c>
      <c r="D46" s="1">
        <v>0.64</v>
      </c>
      <c r="E46" s="1" t="s">
        <v>112</v>
      </c>
      <c r="F46" s="1" t="s">
        <v>112</v>
      </c>
      <c r="G46" s="1" t="s">
        <v>112</v>
      </c>
      <c r="H46" s="1" t="str">
        <f>VLOOKUP(F46,Countries!$A$1:$B$161,2,0)</f>
        <v>Ireland</v>
      </c>
    </row>
    <row r="47" spans="1:8" x14ac:dyDescent="0.3">
      <c r="A47" s="3">
        <v>46265.71056712963</v>
      </c>
      <c r="B47" s="1">
        <v>20.5</v>
      </c>
      <c r="C47" s="1">
        <v>17.649999999999999</v>
      </c>
      <c r="D47" s="1">
        <v>0.86</v>
      </c>
      <c r="E47" s="1" t="s">
        <v>124</v>
      </c>
      <c r="F47" s="1" t="s">
        <v>124</v>
      </c>
      <c r="G47" s="1" t="s">
        <v>124</v>
      </c>
      <c r="H47" s="1" t="str">
        <f>VLOOKUP(F47,Countries!$A$1:$B$161,2,0)</f>
        <v>Italy</v>
      </c>
    </row>
    <row r="48" spans="1:8" x14ac:dyDescent="0.3">
      <c r="A48" s="3">
        <v>46265.70957175926</v>
      </c>
      <c r="B48" s="1">
        <v>12.97</v>
      </c>
      <c r="C48" s="1">
        <v>11.16</v>
      </c>
      <c r="D48" s="1">
        <v>0.64</v>
      </c>
      <c r="E48" s="1" t="s">
        <v>112</v>
      </c>
      <c r="F48" s="1" t="s">
        <v>112</v>
      </c>
      <c r="G48" s="1" t="s">
        <v>112</v>
      </c>
      <c r="H48" s="1" t="str">
        <f>VLOOKUP(F48,Countries!$A$1:$B$161,2,0)</f>
        <v>Ireland</v>
      </c>
    </row>
    <row r="49" spans="1:8" x14ac:dyDescent="0.3">
      <c r="A49" s="3">
        <v>46265.705034722218</v>
      </c>
      <c r="B49" s="1">
        <v>6.37</v>
      </c>
      <c r="C49" s="1">
        <v>5.48</v>
      </c>
      <c r="D49" s="1">
        <v>0.54</v>
      </c>
      <c r="E49" s="1" t="s">
        <v>113</v>
      </c>
      <c r="F49" s="1" t="s">
        <v>113</v>
      </c>
      <c r="G49" s="1" t="s">
        <v>113</v>
      </c>
      <c r="H49" s="1" t="str">
        <f>VLOOKUP(F49,Countries!$A$1:$B$161,2,0)</f>
        <v>United States of America</v>
      </c>
    </row>
    <row r="50" spans="1:8" x14ac:dyDescent="0.3">
      <c r="A50" s="3">
        <v>46265.703310185178</v>
      </c>
      <c r="B50" s="1">
        <v>17</v>
      </c>
      <c r="C50" s="1">
        <v>14.63</v>
      </c>
      <c r="D50" s="1">
        <v>1.02</v>
      </c>
      <c r="E50" s="1" t="s">
        <v>113</v>
      </c>
      <c r="F50" s="1" t="s">
        <v>113</v>
      </c>
      <c r="G50" s="1" t="s">
        <v>113</v>
      </c>
      <c r="H50" s="1" t="str">
        <f>VLOOKUP(F50,Countries!$A$1:$B$161,2,0)</f>
        <v>United States of America</v>
      </c>
    </row>
    <row r="51" spans="1:8" x14ac:dyDescent="0.3">
      <c r="A51" s="3">
        <v>46265.702280092592</v>
      </c>
      <c r="B51" s="1">
        <v>12.97</v>
      </c>
      <c r="C51" s="1">
        <v>11.16</v>
      </c>
      <c r="D51" s="1">
        <v>0.64</v>
      </c>
      <c r="E51" s="1" t="s">
        <v>112</v>
      </c>
      <c r="F51" s="1" t="s">
        <v>112</v>
      </c>
      <c r="G51" s="1" t="s">
        <v>112</v>
      </c>
      <c r="H51" s="1" t="str">
        <f>VLOOKUP(F51,Countries!$A$1:$B$161,2,0)</f>
        <v>Ireland</v>
      </c>
    </row>
    <row r="52" spans="1:8" x14ac:dyDescent="0.3">
      <c r="A52" s="3">
        <v>46265.683749999997</v>
      </c>
      <c r="B52" s="1">
        <v>16</v>
      </c>
      <c r="C52" s="1">
        <v>13.77</v>
      </c>
      <c r="D52" s="1">
        <v>0.74</v>
      </c>
      <c r="E52" s="1" t="s">
        <v>125</v>
      </c>
      <c r="F52" s="1" t="s">
        <v>125</v>
      </c>
      <c r="G52" s="1" t="s">
        <v>125</v>
      </c>
      <c r="H52" s="1" t="str">
        <f>VLOOKUP(F52,Countries!$A$1:$B$161,2,0)</f>
        <v>Norway</v>
      </c>
    </row>
    <row r="53" spans="1:8" x14ac:dyDescent="0.3">
      <c r="A53" s="3">
        <v>46265.683379629627</v>
      </c>
      <c r="B53" s="1">
        <v>12.97</v>
      </c>
      <c r="C53" s="1">
        <v>11.16</v>
      </c>
      <c r="D53" s="1">
        <v>0.64</v>
      </c>
      <c r="E53" s="1" t="s">
        <v>112</v>
      </c>
      <c r="F53" s="1" t="s">
        <v>112</v>
      </c>
      <c r="G53" s="1" t="s">
        <v>112</v>
      </c>
      <c r="H53" s="1" t="str">
        <f>VLOOKUP(F53,Countries!$A$1:$B$161,2,0)</f>
        <v>Ireland</v>
      </c>
    </row>
    <row r="54" spans="1:8" x14ac:dyDescent="0.3">
      <c r="A54" s="3">
        <v>46265.678888888891</v>
      </c>
      <c r="B54" s="1">
        <v>3.78</v>
      </c>
      <c r="C54" s="1">
        <v>3.25</v>
      </c>
      <c r="D54" s="1">
        <v>0.37</v>
      </c>
      <c r="E54" s="1" t="s">
        <v>116</v>
      </c>
      <c r="F54" s="1" t="s">
        <v>116</v>
      </c>
      <c r="G54" s="1" t="s">
        <v>116</v>
      </c>
      <c r="H54" s="1" t="str">
        <f>VLOOKUP(F54,Countries!$A$1:$B$161,2,0)</f>
        <v>Spain</v>
      </c>
    </row>
    <row r="55" spans="1:8" x14ac:dyDescent="0.3">
      <c r="A55" s="3">
        <v>46265.678263888891</v>
      </c>
      <c r="B55" s="1">
        <v>12.97</v>
      </c>
      <c r="C55" s="1">
        <v>11.16</v>
      </c>
      <c r="D55" s="1">
        <v>0.64</v>
      </c>
      <c r="E55" s="1" t="s">
        <v>112</v>
      </c>
      <c r="F55" s="1" t="s">
        <v>112</v>
      </c>
      <c r="G55" s="1" t="s">
        <v>112</v>
      </c>
      <c r="H55" s="1" t="str">
        <f>VLOOKUP(F55,Countries!$A$1:$B$161,2,0)</f>
        <v>Ireland</v>
      </c>
    </row>
    <row r="56" spans="1:8" x14ac:dyDescent="0.3">
      <c r="A56" s="3">
        <v>46265.676145833328</v>
      </c>
      <c r="B56" s="1">
        <v>5.99</v>
      </c>
      <c r="C56" s="1">
        <v>5.16</v>
      </c>
      <c r="D56" s="1">
        <v>0.52</v>
      </c>
      <c r="E56" s="1" t="s">
        <v>113</v>
      </c>
      <c r="F56" s="1" t="s">
        <v>113</v>
      </c>
      <c r="G56" s="1" t="s">
        <v>113</v>
      </c>
      <c r="H56" s="1" t="str">
        <f>VLOOKUP(F56,Countries!$A$1:$B$161,2,0)</f>
        <v>United States of America</v>
      </c>
    </row>
    <row r="57" spans="1:8" x14ac:dyDescent="0.3">
      <c r="A57" s="3">
        <v>46265.670474537037</v>
      </c>
      <c r="B57" s="1">
        <v>10.62</v>
      </c>
      <c r="C57" s="1">
        <v>9.14</v>
      </c>
      <c r="D57" s="1">
        <v>0.73</v>
      </c>
      <c r="E57" s="1" t="s">
        <v>113</v>
      </c>
      <c r="F57" s="1" t="s">
        <v>113</v>
      </c>
      <c r="G57" s="1" t="s">
        <v>113</v>
      </c>
      <c r="H57" s="1" t="str">
        <f>VLOOKUP(F57,Countries!$A$1:$B$161,2,0)</f>
        <v>United States of America</v>
      </c>
    </row>
    <row r="58" spans="1:8" x14ac:dyDescent="0.3">
      <c r="A58" s="3">
        <v>46265.670115740737</v>
      </c>
      <c r="B58" s="1">
        <v>1.99</v>
      </c>
      <c r="C58" s="1">
        <v>1.71</v>
      </c>
      <c r="D58" s="1">
        <v>0.34</v>
      </c>
      <c r="E58" s="1" t="s">
        <v>126</v>
      </c>
      <c r="F58" s="1" t="s">
        <v>126</v>
      </c>
      <c r="G58" s="1" t="s">
        <v>126</v>
      </c>
      <c r="H58" s="1" t="str">
        <f>VLOOKUP(F58,Countries!$A$1:$B$161,2,0)</f>
        <v>Cambodia</v>
      </c>
    </row>
    <row r="59" spans="1:8" x14ac:dyDescent="0.3">
      <c r="A59" s="3">
        <v>46265.66946759259</v>
      </c>
      <c r="B59" s="1">
        <v>12.97</v>
      </c>
      <c r="C59" s="1">
        <v>11.16</v>
      </c>
      <c r="D59" s="1">
        <v>0.64</v>
      </c>
      <c r="E59" s="1" t="s">
        <v>112</v>
      </c>
      <c r="F59" s="1" t="s">
        <v>112</v>
      </c>
      <c r="G59" s="1" t="s">
        <v>112</v>
      </c>
      <c r="H59" s="1" t="str">
        <f>VLOOKUP(F59,Countries!$A$1:$B$161,2,0)</f>
        <v>Ireland</v>
      </c>
    </row>
    <row r="60" spans="1:8" x14ac:dyDescent="0.3">
      <c r="A60" s="3">
        <v>46265.663657407407</v>
      </c>
      <c r="B60" s="1">
        <v>6.37</v>
      </c>
      <c r="C60" s="1">
        <v>5.48</v>
      </c>
      <c r="D60" s="1">
        <v>0.54</v>
      </c>
      <c r="E60" s="1" t="s">
        <v>113</v>
      </c>
      <c r="F60" s="1" t="s">
        <v>113</v>
      </c>
      <c r="G60" s="1" t="s">
        <v>113</v>
      </c>
      <c r="H60" s="1" t="str">
        <f>VLOOKUP(F60,Countries!$A$1:$B$161,2,0)</f>
        <v>United States of America</v>
      </c>
    </row>
    <row r="61" spans="1:8" x14ac:dyDescent="0.3">
      <c r="A61" s="3">
        <v>46265.637731481482</v>
      </c>
      <c r="B61" s="1">
        <v>12.97</v>
      </c>
      <c r="C61" s="1">
        <v>11.17</v>
      </c>
      <c r="D61" s="1">
        <v>0.64</v>
      </c>
      <c r="E61" s="1" t="s">
        <v>112</v>
      </c>
      <c r="F61" s="1" t="s">
        <v>112</v>
      </c>
      <c r="G61" s="1" t="s">
        <v>112</v>
      </c>
      <c r="H61" s="1" t="str">
        <f>VLOOKUP(F61,Countries!$A$1:$B$161,2,0)</f>
        <v>Ireland</v>
      </c>
    </row>
    <row r="62" spans="1:8" x14ac:dyDescent="0.3">
      <c r="A62" s="3">
        <v>46265.627916666657</v>
      </c>
      <c r="B62" s="1">
        <v>12.97</v>
      </c>
      <c r="C62" s="1">
        <v>11.17</v>
      </c>
      <c r="D62" s="1">
        <v>0.64</v>
      </c>
      <c r="E62" s="1" t="s">
        <v>112</v>
      </c>
      <c r="F62" s="1" t="s">
        <v>112</v>
      </c>
      <c r="G62" s="1" t="s">
        <v>112</v>
      </c>
      <c r="H62" s="1" t="str">
        <f>VLOOKUP(F62,Countries!$A$1:$B$161,2,0)</f>
        <v>Ireland</v>
      </c>
    </row>
    <row r="63" spans="1:8" x14ac:dyDescent="0.3">
      <c r="A63" s="3">
        <v>46265.611886574072</v>
      </c>
      <c r="B63" s="1">
        <v>12.97</v>
      </c>
      <c r="C63" s="1">
        <v>11.18</v>
      </c>
      <c r="D63" s="1">
        <v>0.64</v>
      </c>
      <c r="E63" s="1" t="s">
        <v>112</v>
      </c>
      <c r="F63" s="1" t="s">
        <v>112</v>
      </c>
      <c r="G63" s="1" t="s">
        <v>112</v>
      </c>
      <c r="H63" s="1" t="str">
        <f>VLOOKUP(F63,Countries!$A$1:$B$161,2,0)</f>
        <v>Ireland</v>
      </c>
    </row>
    <row r="64" spans="1:8" x14ac:dyDescent="0.3">
      <c r="A64" s="3">
        <v>46265.605856481481</v>
      </c>
      <c r="B64" s="1">
        <v>6.37</v>
      </c>
      <c r="C64" s="1">
        <v>5.49</v>
      </c>
      <c r="D64" s="1">
        <v>0.54</v>
      </c>
      <c r="E64" s="1" t="s">
        <v>113</v>
      </c>
      <c r="F64" s="1" t="s">
        <v>113</v>
      </c>
      <c r="G64" s="1" t="s">
        <v>113</v>
      </c>
      <c r="H64" s="1" t="str">
        <f>VLOOKUP(F64,Countries!$A$1:$B$161,2,0)</f>
        <v>United States of America</v>
      </c>
    </row>
    <row r="65" spans="1:8" x14ac:dyDescent="0.3">
      <c r="A65" s="3">
        <v>46265.601388888892</v>
      </c>
      <c r="B65" s="1">
        <v>14.77</v>
      </c>
      <c r="C65" s="1">
        <v>12.74</v>
      </c>
      <c r="D65" s="1">
        <v>0.91</v>
      </c>
      <c r="E65" s="1" t="s">
        <v>113</v>
      </c>
      <c r="F65" s="1" t="s">
        <v>113</v>
      </c>
      <c r="G65" s="1" t="s">
        <v>113</v>
      </c>
      <c r="H65" s="1" t="str">
        <f>VLOOKUP(F65,Countries!$A$1:$B$161,2,0)</f>
        <v>United States of America</v>
      </c>
    </row>
    <row r="66" spans="1:8" x14ac:dyDescent="0.3">
      <c r="A66" s="3">
        <v>46265.596412037034</v>
      </c>
      <c r="B66" s="1">
        <v>7.99</v>
      </c>
      <c r="C66" s="1">
        <v>6.89</v>
      </c>
      <c r="D66" s="1">
        <v>0.61</v>
      </c>
      <c r="E66" s="1" t="s">
        <v>113</v>
      </c>
      <c r="F66" s="1" t="s">
        <v>113</v>
      </c>
      <c r="G66" s="1" t="s">
        <v>113</v>
      </c>
      <c r="H66" s="1" t="str">
        <f>VLOOKUP(F66,Countries!$A$1:$B$161,2,0)</f>
        <v>United States of America</v>
      </c>
    </row>
    <row r="67" spans="1:8" x14ac:dyDescent="0.3">
      <c r="A67" s="3">
        <v>46265.58935185185</v>
      </c>
      <c r="B67" s="1">
        <v>6.37</v>
      </c>
      <c r="C67" s="1">
        <v>5.49</v>
      </c>
      <c r="D67" s="1">
        <v>0.54</v>
      </c>
      <c r="E67" s="1" t="s">
        <v>113</v>
      </c>
      <c r="F67" s="1" t="s">
        <v>113</v>
      </c>
      <c r="G67" s="1" t="s">
        <v>113</v>
      </c>
      <c r="H67" s="1" t="str">
        <f>VLOOKUP(F67,Countries!$A$1:$B$161,2,0)</f>
        <v>United States of America</v>
      </c>
    </row>
    <row r="68" spans="1:8" x14ac:dyDescent="0.3">
      <c r="A68" s="3">
        <v>46265.574050925927</v>
      </c>
      <c r="B68" s="1">
        <v>1.99</v>
      </c>
      <c r="C68" s="1">
        <v>1.72</v>
      </c>
      <c r="D68" s="1">
        <v>0.34</v>
      </c>
      <c r="E68" s="1" t="s">
        <v>126</v>
      </c>
      <c r="F68" s="1" t="s">
        <v>126</v>
      </c>
      <c r="G68" s="1" t="s">
        <v>126</v>
      </c>
      <c r="H68" s="1" t="str">
        <f>VLOOKUP(F68,Countries!$A$1:$B$161,2,0)</f>
        <v>Cambodia</v>
      </c>
    </row>
    <row r="69" spans="1:8" x14ac:dyDescent="0.3">
      <c r="A69" s="3">
        <v>46265.566423611112</v>
      </c>
      <c r="B69" s="1">
        <v>6.37</v>
      </c>
      <c r="C69" s="1">
        <v>5.49</v>
      </c>
      <c r="D69" s="1">
        <v>0.54</v>
      </c>
      <c r="E69" s="1" t="s">
        <v>113</v>
      </c>
      <c r="F69" s="1" t="s">
        <v>113</v>
      </c>
      <c r="G69" s="1" t="s">
        <v>113</v>
      </c>
      <c r="H69" s="1" t="str">
        <f>VLOOKUP(F69,Countries!$A$1:$B$161,2,0)</f>
        <v>United States of America</v>
      </c>
    </row>
    <row r="70" spans="1:8" x14ac:dyDescent="0.3">
      <c r="A70" s="3">
        <v>46265.554247685177</v>
      </c>
      <c r="B70" s="1">
        <v>2.11</v>
      </c>
      <c r="C70" s="1">
        <v>1.82</v>
      </c>
      <c r="D70" s="1">
        <v>0.35</v>
      </c>
      <c r="E70" s="1" t="s">
        <v>127</v>
      </c>
      <c r="F70" s="1" t="s">
        <v>113</v>
      </c>
      <c r="G70" s="1" t="s">
        <v>113</v>
      </c>
      <c r="H70" s="1" t="str">
        <f>VLOOKUP(F70,Countries!$A$1:$B$161,2,0)</f>
        <v>United States of America</v>
      </c>
    </row>
    <row r="71" spans="1:8" x14ac:dyDescent="0.3">
      <c r="A71" s="3">
        <v>46265.549895833326</v>
      </c>
      <c r="B71" s="1">
        <v>7.04</v>
      </c>
      <c r="C71" s="1">
        <v>6.07</v>
      </c>
      <c r="D71" s="1">
        <v>0.56999999999999995</v>
      </c>
      <c r="E71" s="1" t="s">
        <v>128</v>
      </c>
      <c r="F71" s="1" t="s">
        <v>128</v>
      </c>
      <c r="G71" s="1" t="s">
        <v>128</v>
      </c>
      <c r="H71" s="1" t="str">
        <f>VLOOKUP(F71,Countries!$A$1:$B$161,2,0)</f>
        <v>South Africa</v>
      </c>
    </row>
    <row r="72" spans="1:8" x14ac:dyDescent="0.3">
      <c r="A72" s="3">
        <v>46265.54142361111</v>
      </c>
      <c r="B72" s="1">
        <v>5.99</v>
      </c>
      <c r="C72" s="1">
        <v>5.17</v>
      </c>
      <c r="D72" s="1">
        <v>0.52</v>
      </c>
      <c r="E72" s="1" t="s">
        <v>119</v>
      </c>
      <c r="F72" s="1" t="s">
        <v>129</v>
      </c>
      <c r="G72" s="1" t="s">
        <v>129</v>
      </c>
      <c r="H72" s="1" t="str">
        <f>VLOOKUP(F72,Countries!$A$1:$B$161,2,0)</f>
        <v>Qatar</v>
      </c>
    </row>
    <row r="73" spans="1:8" x14ac:dyDescent="0.3">
      <c r="A73" s="3">
        <v>46265.53398148148</v>
      </c>
      <c r="B73" s="1">
        <v>3.32</v>
      </c>
      <c r="C73" s="1">
        <v>2.86</v>
      </c>
      <c r="D73" s="1">
        <v>0.4</v>
      </c>
      <c r="E73" s="1" t="s">
        <v>130</v>
      </c>
      <c r="F73" s="1" t="s">
        <v>130</v>
      </c>
      <c r="G73" s="1" t="s">
        <v>130</v>
      </c>
      <c r="H73" s="1" t="str">
        <f>VLOOKUP(F73,Countries!$A$1:$B$161,2,0)</f>
        <v>Australia</v>
      </c>
    </row>
    <row r="74" spans="1:8" x14ac:dyDescent="0.3">
      <c r="A74" s="3">
        <v>46265.53020833333</v>
      </c>
      <c r="B74" s="1">
        <v>3.18</v>
      </c>
      <c r="C74" s="1">
        <v>2.74</v>
      </c>
      <c r="D74" s="1">
        <v>0.39</v>
      </c>
      <c r="E74" s="1" t="s">
        <v>113</v>
      </c>
      <c r="F74" s="1" t="s">
        <v>113</v>
      </c>
      <c r="G74" s="1" t="s">
        <v>113</v>
      </c>
      <c r="H74" s="1" t="str">
        <f>VLOOKUP(F74,Countries!$A$1:$B$161,2,0)</f>
        <v>United States of America</v>
      </c>
    </row>
    <row r="75" spans="1:8" x14ac:dyDescent="0.3">
      <c r="A75" s="3">
        <v>46265.524641203701</v>
      </c>
      <c r="B75" s="1">
        <v>7.48</v>
      </c>
      <c r="C75" s="1">
        <v>6.45</v>
      </c>
      <c r="D75" s="1">
        <v>0.59</v>
      </c>
      <c r="E75" s="1" t="s">
        <v>131</v>
      </c>
      <c r="F75" s="1" t="s">
        <v>131</v>
      </c>
      <c r="G75" s="1" t="s">
        <v>131</v>
      </c>
      <c r="H75" s="1" t="str">
        <f>VLOOKUP(F75,Countries!$A$1:$B$161,2,0)</f>
        <v>Ukraine</v>
      </c>
    </row>
    <row r="76" spans="1:8" x14ac:dyDescent="0.3">
      <c r="A76" s="3">
        <v>46265.523206018523</v>
      </c>
      <c r="B76" s="1">
        <v>3.14</v>
      </c>
      <c r="C76" s="1">
        <v>2.71</v>
      </c>
      <c r="D76" s="1">
        <v>0.39</v>
      </c>
      <c r="E76" s="1" t="s">
        <v>132</v>
      </c>
      <c r="F76" s="1" t="s">
        <v>132</v>
      </c>
      <c r="G76" s="1" t="s">
        <v>132</v>
      </c>
      <c r="H76" s="1" t="str">
        <f>VLOOKUP(F76,Countries!$A$1:$B$161,2,0)</f>
        <v>Canada</v>
      </c>
    </row>
    <row r="77" spans="1:8" x14ac:dyDescent="0.3">
      <c r="A77" s="3">
        <v>46265.517789351848</v>
      </c>
      <c r="B77" s="1">
        <v>3.14</v>
      </c>
      <c r="C77" s="1">
        <v>2.71</v>
      </c>
      <c r="D77" s="1">
        <v>0.39</v>
      </c>
      <c r="E77" s="1" t="s">
        <v>132</v>
      </c>
      <c r="F77" s="1" t="s">
        <v>132</v>
      </c>
      <c r="G77" s="1" t="s">
        <v>132</v>
      </c>
      <c r="H77" s="1" t="str">
        <f>VLOOKUP(F77,Countries!$A$1:$B$161,2,0)</f>
        <v>Canada</v>
      </c>
    </row>
    <row r="78" spans="1:8" x14ac:dyDescent="0.3">
      <c r="A78" s="3">
        <v>46265.513599537036</v>
      </c>
      <c r="B78" s="1">
        <v>10.62</v>
      </c>
      <c r="C78" s="1">
        <v>9.16</v>
      </c>
      <c r="D78" s="1">
        <v>0.73</v>
      </c>
      <c r="E78" s="1" t="s">
        <v>113</v>
      </c>
      <c r="F78" s="1" t="s">
        <v>113</v>
      </c>
      <c r="G78" s="1" t="s">
        <v>113</v>
      </c>
      <c r="H78" s="1" t="str">
        <f>VLOOKUP(F78,Countries!$A$1:$B$161,2,0)</f>
        <v>United States of America</v>
      </c>
    </row>
    <row r="79" spans="1:8" x14ac:dyDescent="0.3">
      <c r="A79" s="3">
        <v>46265.51226851852</v>
      </c>
      <c r="B79" s="1">
        <v>9.07</v>
      </c>
      <c r="C79" s="1">
        <v>7.82</v>
      </c>
      <c r="D79" s="1">
        <v>0.66</v>
      </c>
      <c r="E79" s="1" t="s">
        <v>114</v>
      </c>
      <c r="F79" s="1" t="s">
        <v>114</v>
      </c>
      <c r="G79" s="1" t="s">
        <v>114</v>
      </c>
      <c r="H79" s="1" t="str">
        <f>VLOOKUP(F79,Countries!$A$1:$B$161,2,0)</f>
        <v>Philippines</v>
      </c>
    </row>
    <row r="80" spans="1:8" x14ac:dyDescent="0.3">
      <c r="A80" s="3">
        <v>46265.48710648148</v>
      </c>
      <c r="B80" s="1">
        <v>7.98</v>
      </c>
      <c r="C80" s="1">
        <v>6.88</v>
      </c>
      <c r="D80" s="1">
        <v>0.49</v>
      </c>
      <c r="E80" s="1" t="s">
        <v>133</v>
      </c>
      <c r="F80" s="1" t="s">
        <v>133</v>
      </c>
      <c r="G80" s="1" t="s">
        <v>133</v>
      </c>
      <c r="H80" s="1" t="str">
        <f>VLOOKUP(F80,Countries!$A$1:$B$161,2,0)</f>
        <v>Denmark</v>
      </c>
    </row>
    <row r="81" spans="1:8" x14ac:dyDescent="0.3">
      <c r="A81" s="3">
        <v>46265.485636574071</v>
      </c>
      <c r="B81" s="1">
        <v>10.63</v>
      </c>
      <c r="C81" s="1">
        <v>9.17</v>
      </c>
      <c r="D81" s="1">
        <v>0.73</v>
      </c>
      <c r="E81" s="1" t="s">
        <v>113</v>
      </c>
      <c r="F81" s="1" t="s">
        <v>113</v>
      </c>
      <c r="G81" s="1" t="s">
        <v>113</v>
      </c>
      <c r="H81" s="1" t="str">
        <f>VLOOKUP(F81,Countries!$A$1:$B$161,2,0)</f>
        <v>United States of America</v>
      </c>
    </row>
    <row r="82" spans="1:8" x14ac:dyDescent="0.3">
      <c r="A82" s="3">
        <v>46265.482465277782</v>
      </c>
      <c r="B82" s="1">
        <v>44.43</v>
      </c>
      <c r="C82" s="1">
        <v>38.31</v>
      </c>
      <c r="D82" s="1">
        <v>2.27</v>
      </c>
      <c r="E82" s="1" t="s">
        <v>130</v>
      </c>
      <c r="F82" s="1" t="s">
        <v>130</v>
      </c>
      <c r="G82" s="1" t="s">
        <v>130</v>
      </c>
      <c r="H82" s="1" t="str">
        <f>VLOOKUP(F82,Countries!$A$1:$B$161,2,0)</f>
        <v>Australia</v>
      </c>
    </row>
    <row r="83" spans="1:8" x14ac:dyDescent="0.3">
      <c r="A83" s="3">
        <v>46265.479004629633</v>
      </c>
      <c r="B83" s="1">
        <v>14.77</v>
      </c>
      <c r="C83" s="1">
        <v>12.74</v>
      </c>
      <c r="D83" s="1">
        <v>0.91</v>
      </c>
      <c r="E83" s="1" t="s">
        <v>113</v>
      </c>
      <c r="F83" s="1" t="s">
        <v>113</v>
      </c>
      <c r="G83" s="1" t="s">
        <v>113</v>
      </c>
      <c r="H83" s="1" t="str">
        <f>VLOOKUP(F83,Countries!$A$1:$B$161,2,0)</f>
        <v>United States of America</v>
      </c>
    </row>
    <row r="84" spans="1:8" x14ac:dyDescent="0.3">
      <c r="A84" s="3">
        <v>46265.477592592593</v>
      </c>
      <c r="B84" s="1">
        <v>12.97</v>
      </c>
      <c r="C84" s="1">
        <v>11.18</v>
      </c>
      <c r="D84" s="1">
        <v>0.64</v>
      </c>
      <c r="E84" s="1" t="s">
        <v>112</v>
      </c>
      <c r="F84" s="1" t="s">
        <v>112</v>
      </c>
      <c r="G84" s="1" t="s">
        <v>112</v>
      </c>
      <c r="H84" s="1" t="str">
        <f>VLOOKUP(F84,Countries!$A$1:$B$161,2,0)</f>
        <v>Ireland</v>
      </c>
    </row>
    <row r="85" spans="1:8" x14ac:dyDescent="0.3">
      <c r="A85" s="3">
        <v>46265.476967592593</v>
      </c>
      <c r="B85" s="1">
        <v>6.37</v>
      </c>
      <c r="C85" s="1">
        <v>5.49</v>
      </c>
      <c r="D85" s="1">
        <v>0.54</v>
      </c>
      <c r="E85" s="1" t="s">
        <v>113</v>
      </c>
      <c r="F85" s="1" t="s">
        <v>113</v>
      </c>
      <c r="G85" s="1" t="s">
        <v>113</v>
      </c>
      <c r="H85" s="1" t="str">
        <f>VLOOKUP(F85,Countries!$A$1:$B$161,2,0)</f>
        <v>United States of America</v>
      </c>
    </row>
    <row r="86" spans="1:8" x14ac:dyDescent="0.3">
      <c r="A86" s="3">
        <v>46265.476053240738</v>
      </c>
      <c r="B86" s="1">
        <v>6.37</v>
      </c>
      <c r="C86" s="1">
        <v>5.49</v>
      </c>
      <c r="D86" s="1">
        <v>0.54</v>
      </c>
      <c r="E86" s="1" t="s">
        <v>113</v>
      </c>
      <c r="F86" s="1" t="s">
        <v>113</v>
      </c>
      <c r="G86" s="1" t="s">
        <v>113</v>
      </c>
      <c r="H86" s="1" t="str">
        <f>VLOOKUP(F86,Countries!$A$1:$B$161,2,0)</f>
        <v>United States of America</v>
      </c>
    </row>
    <row r="87" spans="1:8" x14ac:dyDescent="0.3">
      <c r="A87" s="3">
        <v>46265.47587962963</v>
      </c>
      <c r="B87" s="1">
        <v>12.97</v>
      </c>
      <c r="C87" s="1">
        <v>11.18</v>
      </c>
      <c r="D87" s="1">
        <v>0.64</v>
      </c>
      <c r="E87" s="1" t="s">
        <v>112</v>
      </c>
      <c r="F87" s="1" t="s">
        <v>112</v>
      </c>
      <c r="G87" s="1" t="s">
        <v>112</v>
      </c>
      <c r="H87" s="1" t="str">
        <f>VLOOKUP(F87,Countries!$A$1:$B$161,2,0)</f>
        <v>Ireland</v>
      </c>
    </row>
    <row r="88" spans="1:8" x14ac:dyDescent="0.3">
      <c r="A88" s="3">
        <v>46265.474791666667</v>
      </c>
      <c r="B88" s="1">
        <v>12.97</v>
      </c>
      <c r="C88" s="1">
        <v>11.18</v>
      </c>
      <c r="D88" s="1">
        <v>0.64</v>
      </c>
      <c r="E88" s="1" t="s">
        <v>112</v>
      </c>
      <c r="F88" s="1" t="s">
        <v>112</v>
      </c>
      <c r="G88" s="1" t="s">
        <v>112</v>
      </c>
      <c r="H88" s="1" t="str">
        <f>VLOOKUP(F88,Countries!$A$1:$B$161,2,0)</f>
        <v>Ireland</v>
      </c>
    </row>
    <row r="89" spans="1:8" x14ac:dyDescent="0.3">
      <c r="A89" s="3">
        <v>46265.472430555557</v>
      </c>
      <c r="B89" s="1">
        <v>4.9800000000000004</v>
      </c>
      <c r="C89" s="1">
        <v>4.29</v>
      </c>
      <c r="D89" s="1">
        <v>0.45</v>
      </c>
      <c r="E89" s="1" t="s">
        <v>119</v>
      </c>
      <c r="F89" s="1" t="s">
        <v>119</v>
      </c>
      <c r="G89" s="1" t="s">
        <v>119</v>
      </c>
      <c r="H89" s="1" t="str">
        <f>VLOOKUP(F89,Countries!$A$1:$B$161,2,0)</f>
        <v>Great Britain (United Kingdom)</v>
      </c>
    </row>
    <row r="90" spans="1:8" x14ac:dyDescent="0.3">
      <c r="A90" s="3">
        <v>46265.469560185193</v>
      </c>
      <c r="B90" s="1">
        <v>10.62</v>
      </c>
      <c r="C90" s="1">
        <v>9.16</v>
      </c>
      <c r="D90" s="1">
        <v>0.73</v>
      </c>
      <c r="E90" s="1" t="s">
        <v>113</v>
      </c>
      <c r="F90" s="1" t="s">
        <v>113</v>
      </c>
      <c r="G90" s="1" t="s">
        <v>113</v>
      </c>
      <c r="H90" s="1" t="str">
        <f>VLOOKUP(F90,Countries!$A$1:$B$161,2,0)</f>
        <v>United States of America</v>
      </c>
    </row>
    <row r="91" spans="1:8" x14ac:dyDescent="0.3">
      <c r="A91" s="3">
        <v>46265.466840277782</v>
      </c>
      <c r="B91" s="1">
        <v>10.62</v>
      </c>
      <c r="C91" s="1">
        <v>9.16</v>
      </c>
      <c r="D91" s="1">
        <v>0.73</v>
      </c>
      <c r="E91" s="1" t="s">
        <v>113</v>
      </c>
      <c r="F91" s="1" t="s">
        <v>113</v>
      </c>
      <c r="G91" s="1" t="s">
        <v>113</v>
      </c>
      <c r="H91" s="1" t="str">
        <f>VLOOKUP(F91,Countries!$A$1:$B$161,2,0)</f>
        <v>United States of America</v>
      </c>
    </row>
    <row r="92" spans="1:8" x14ac:dyDescent="0.3">
      <c r="A92" s="3">
        <v>46265.457789351851</v>
      </c>
      <c r="B92" s="1">
        <v>739.35</v>
      </c>
      <c r="C92" s="1">
        <v>637.41999999999996</v>
      </c>
      <c r="D92" s="1">
        <v>33.72</v>
      </c>
      <c r="E92" s="1" t="s">
        <v>113</v>
      </c>
      <c r="F92" s="1" t="s">
        <v>113</v>
      </c>
      <c r="G92" s="1" t="s">
        <v>113</v>
      </c>
      <c r="H92" s="1" t="str">
        <f>VLOOKUP(F92,Countries!$A$1:$B$161,2,0)</f>
        <v>United States of America</v>
      </c>
    </row>
    <row r="93" spans="1:8" x14ac:dyDescent="0.3">
      <c r="A93" s="3">
        <v>46265.456493055557</v>
      </c>
      <c r="B93" s="1">
        <v>739.35</v>
      </c>
      <c r="C93" s="1">
        <v>637.41999999999996</v>
      </c>
      <c r="D93" s="1">
        <v>33.72</v>
      </c>
      <c r="E93" s="1" t="s">
        <v>113</v>
      </c>
      <c r="F93" s="1" t="s">
        <v>113</v>
      </c>
      <c r="G93" s="1" t="s">
        <v>113</v>
      </c>
      <c r="H93" s="1" t="str">
        <f>VLOOKUP(F93,Countries!$A$1:$B$161,2,0)</f>
        <v>United States of America</v>
      </c>
    </row>
    <row r="94" spans="1:8" x14ac:dyDescent="0.3">
      <c r="A94" s="3">
        <v>46265.452280092592</v>
      </c>
      <c r="B94" s="1">
        <v>14.77</v>
      </c>
      <c r="C94" s="1">
        <v>12.73</v>
      </c>
      <c r="D94" s="1">
        <v>0.91</v>
      </c>
      <c r="E94" s="1" t="s">
        <v>113</v>
      </c>
      <c r="F94" s="1" t="s">
        <v>113</v>
      </c>
      <c r="G94" s="1" t="s">
        <v>113</v>
      </c>
      <c r="H94" s="1" t="str">
        <f>VLOOKUP(F94,Countries!$A$1:$B$161,2,0)</f>
        <v>United States of America</v>
      </c>
    </row>
    <row r="95" spans="1:8" x14ac:dyDescent="0.3">
      <c r="A95" s="3">
        <v>46265.451863425929</v>
      </c>
      <c r="B95" s="1">
        <v>17.010000000000002</v>
      </c>
      <c r="C95" s="1">
        <v>14.66</v>
      </c>
      <c r="D95" s="1">
        <v>1.02</v>
      </c>
      <c r="E95" s="1" t="s">
        <v>113</v>
      </c>
      <c r="F95" s="1" t="s">
        <v>113</v>
      </c>
      <c r="G95" s="1" t="s">
        <v>113</v>
      </c>
      <c r="H95" s="1" t="str">
        <f>VLOOKUP(F95,Countries!$A$1:$B$161,2,0)</f>
        <v>United States of America</v>
      </c>
    </row>
    <row r="96" spans="1:8" x14ac:dyDescent="0.3">
      <c r="A96" s="3">
        <v>46265.449270833327</v>
      </c>
      <c r="B96" s="1">
        <v>81.319999999999993</v>
      </c>
      <c r="C96" s="1">
        <v>70.11</v>
      </c>
      <c r="D96" s="1">
        <v>3.93</v>
      </c>
      <c r="E96" s="1" t="s">
        <v>113</v>
      </c>
      <c r="F96" s="1" t="s">
        <v>113</v>
      </c>
      <c r="G96" s="1" t="s">
        <v>113</v>
      </c>
      <c r="H96" s="1" t="str">
        <f>VLOOKUP(F96,Countries!$A$1:$B$161,2,0)</f>
        <v>United States of America</v>
      </c>
    </row>
    <row r="97" spans="1:8" x14ac:dyDescent="0.3">
      <c r="A97" s="3">
        <v>46265.444675925923</v>
      </c>
      <c r="B97" s="1">
        <v>14.77</v>
      </c>
      <c r="C97" s="1">
        <v>12.73</v>
      </c>
      <c r="D97" s="1">
        <v>0.91</v>
      </c>
      <c r="E97" s="1" t="s">
        <v>113</v>
      </c>
      <c r="F97" s="1" t="s">
        <v>113</v>
      </c>
      <c r="G97" s="1" t="s">
        <v>113</v>
      </c>
      <c r="H97" s="1" t="str">
        <f>VLOOKUP(F97,Countries!$A$1:$B$161,2,0)</f>
        <v>United States of America</v>
      </c>
    </row>
    <row r="98" spans="1:8" x14ac:dyDescent="0.3">
      <c r="A98" s="3">
        <v>46265.443599537037</v>
      </c>
      <c r="B98" s="1">
        <v>38.61</v>
      </c>
      <c r="C98" s="1">
        <v>33.29</v>
      </c>
      <c r="D98" s="1">
        <v>2</v>
      </c>
      <c r="E98" s="1" t="s">
        <v>130</v>
      </c>
      <c r="F98" s="1" t="s">
        <v>130</v>
      </c>
      <c r="G98" s="1" t="s">
        <v>130</v>
      </c>
      <c r="H98" s="1" t="str">
        <f>VLOOKUP(F98,Countries!$A$1:$B$161,2,0)</f>
        <v>Australia</v>
      </c>
    </row>
    <row r="99" spans="1:8" x14ac:dyDescent="0.3">
      <c r="A99" s="3">
        <v>46265.440254629633</v>
      </c>
      <c r="B99" s="1">
        <v>6.37</v>
      </c>
      <c r="C99" s="1">
        <v>5.49</v>
      </c>
      <c r="D99" s="1">
        <v>0.54</v>
      </c>
      <c r="E99" s="1" t="s">
        <v>113</v>
      </c>
      <c r="F99" s="1" t="s">
        <v>113</v>
      </c>
      <c r="G99" s="1" t="s">
        <v>113</v>
      </c>
      <c r="H99" s="1" t="str">
        <f>VLOOKUP(F99,Countries!$A$1:$B$161,2,0)</f>
        <v>United States of America</v>
      </c>
    </row>
    <row r="100" spans="1:8" x14ac:dyDescent="0.3">
      <c r="A100" s="3">
        <v>46265.437118055554</v>
      </c>
      <c r="B100" s="1">
        <v>10.62</v>
      </c>
      <c r="C100" s="1">
        <v>9.16</v>
      </c>
      <c r="D100" s="1">
        <v>0.73</v>
      </c>
      <c r="E100" s="1" t="s">
        <v>134</v>
      </c>
      <c r="F100" s="1" t="s">
        <v>134</v>
      </c>
      <c r="G100" s="1" t="s">
        <v>134</v>
      </c>
      <c r="H100" s="1" t="str">
        <f>VLOOKUP(F100,Countries!$A$1:$B$161,2,0)</f>
        <v>Hong Kong</v>
      </c>
    </row>
    <row r="101" spans="1:8" x14ac:dyDescent="0.3">
      <c r="A101" s="3">
        <v>46265.436736111107</v>
      </c>
      <c r="B101" s="1">
        <v>14.78</v>
      </c>
      <c r="C101" s="1">
        <v>12.74</v>
      </c>
      <c r="D101" s="1">
        <v>0.91</v>
      </c>
      <c r="E101" s="1" t="s">
        <v>113</v>
      </c>
      <c r="F101" s="1" t="s">
        <v>113</v>
      </c>
      <c r="G101" s="1" t="s">
        <v>113</v>
      </c>
      <c r="H101" s="1" t="str">
        <f>VLOOKUP(F101,Countries!$A$1:$B$161,2,0)</f>
        <v>United States of America</v>
      </c>
    </row>
    <row r="102" spans="1:8" x14ac:dyDescent="0.3">
      <c r="A102" s="3">
        <v>46265.431458333333</v>
      </c>
      <c r="B102" s="1">
        <v>14.77</v>
      </c>
      <c r="C102" s="1">
        <v>12.73</v>
      </c>
      <c r="D102" s="1">
        <v>0.91</v>
      </c>
      <c r="E102" s="1" t="s">
        <v>113</v>
      </c>
      <c r="F102" s="1" t="s">
        <v>113</v>
      </c>
      <c r="G102" s="1" t="s">
        <v>113</v>
      </c>
      <c r="H102" s="1" t="str">
        <f>VLOOKUP(F102,Countries!$A$1:$B$161,2,0)</f>
        <v>United States of America</v>
      </c>
    </row>
    <row r="103" spans="1:8" x14ac:dyDescent="0.3">
      <c r="A103" s="3">
        <v>46265.428333333337</v>
      </c>
      <c r="B103" s="1">
        <v>17.36</v>
      </c>
      <c r="C103" s="1">
        <v>14.97</v>
      </c>
      <c r="D103" s="1">
        <v>0.92</v>
      </c>
      <c r="E103" s="1" t="s">
        <v>119</v>
      </c>
      <c r="F103" s="1" t="s">
        <v>119</v>
      </c>
      <c r="G103" s="1" t="s">
        <v>119</v>
      </c>
      <c r="H103" s="1" t="str">
        <f>VLOOKUP(F103,Countries!$A$1:$B$161,2,0)</f>
        <v>Great Britain (United Kingdom)</v>
      </c>
    </row>
    <row r="104" spans="1:8" x14ac:dyDescent="0.3">
      <c r="A104" s="3">
        <v>46265.426782407398</v>
      </c>
      <c r="B104" s="1">
        <v>17</v>
      </c>
      <c r="C104" s="1">
        <v>14.66</v>
      </c>
      <c r="D104" s="1">
        <v>1.02</v>
      </c>
      <c r="E104" s="1" t="s">
        <v>113</v>
      </c>
      <c r="F104" s="1" t="s">
        <v>113</v>
      </c>
      <c r="G104" s="1" t="s">
        <v>113</v>
      </c>
      <c r="H104" s="1" t="str">
        <f>VLOOKUP(F104,Countries!$A$1:$B$161,2,0)</f>
        <v>United States of America</v>
      </c>
    </row>
    <row r="105" spans="1:8" x14ac:dyDescent="0.3">
      <c r="A105" s="3">
        <v>46265.426249999997</v>
      </c>
      <c r="B105" s="1">
        <v>60.81</v>
      </c>
      <c r="C105" s="1">
        <v>52.43</v>
      </c>
      <c r="D105" s="1">
        <v>2.61</v>
      </c>
      <c r="E105" s="1" t="s">
        <v>119</v>
      </c>
      <c r="F105" s="1" t="s">
        <v>119</v>
      </c>
      <c r="G105" s="1" t="s">
        <v>119</v>
      </c>
      <c r="H105" s="1" t="str">
        <f>VLOOKUP(F105,Countries!$A$1:$B$161,2,0)</f>
        <v>Great Britain (United Kingdom)</v>
      </c>
    </row>
    <row r="106" spans="1:8" x14ac:dyDescent="0.3">
      <c r="A106" s="3">
        <v>46265.426018518519</v>
      </c>
      <c r="B106" s="1">
        <v>5.99</v>
      </c>
      <c r="C106" s="1">
        <v>5.16</v>
      </c>
      <c r="D106" s="1">
        <v>0.52</v>
      </c>
      <c r="E106" s="1" t="s">
        <v>135</v>
      </c>
      <c r="F106" s="1" t="s">
        <v>135</v>
      </c>
      <c r="G106" s="1" t="s">
        <v>135</v>
      </c>
      <c r="H106" s="1" t="str">
        <f>VLOOKUP(F106,Countries!$A$1:$B$161,2,0)</f>
        <v>Kuwait</v>
      </c>
    </row>
    <row r="107" spans="1:8" x14ac:dyDescent="0.3">
      <c r="A107" s="3">
        <v>46265.425636574073</v>
      </c>
      <c r="B107" s="1">
        <v>43.43</v>
      </c>
      <c r="C107" s="1">
        <v>37.44</v>
      </c>
      <c r="D107" s="1">
        <v>1.94</v>
      </c>
      <c r="E107" s="1" t="s">
        <v>119</v>
      </c>
      <c r="F107" s="1" t="s">
        <v>119</v>
      </c>
      <c r="G107" s="1" t="s">
        <v>119</v>
      </c>
      <c r="H107" s="1" t="str">
        <f>VLOOKUP(F107,Countries!$A$1:$B$161,2,0)</f>
        <v>Great Britain (United Kingdom)</v>
      </c>
    </row>
    <row r="108" spans="1:8" x14ac:dyDescent="0.3">
      <c r="A108" s="3">
        <v>46265.423981481479</v>
      </c>
      <c r="B108" s="1">
        <v>7.48</v>
      </c>
      <c r="C108" s="1">
        <v>6.45</v>
      </c>
      <c r="D108" s="1">
        <v>0.54</v>
      </c>
      <c r="E108" s="1" t="s">
        <v>119</v>
      </c>
      <c r="F108" s="1" t="s">
        <v>119</v>
      </c>
      <c r="G108" s="1" t="s">
        <v>119</v>
      </c>
      <c r="H108" s="1" t="str">
        <f>VLOOKUP(F108,Countries!$A$1:$B$161,2,0)</f>
        <v>Great Britain (United Kingdom)</v>
      </c>
    </row>
    <row r="109" spans="1:8" x14ac:dyDescent="0.3">
      <c r="A109" s="3">
        <v>46265.421284722222</v>
      </c>
      <c r="B109" s="1">
        <v>17.010000000000002</v>
      </c>
      <c r="C109" s="1">
        <v>14.66</v>
      </c>
      <c r="D109" s="1">
        <v>1.02</v>
      </c>
      <c r="E109" s="1" t="s">
        <v>113</v>
      </c>
      <c r="F109" s="1" t="s">
        <v>113</v>
      </c>
      <c r="G109" s="1" t="s">
        <v>113</v>
      </c>
      <c r="H109" s="1" t="str">
        <f>VLOOKUP(F109,Countries!$A$1:$B$161,2,0)</f>
        <v>United States of America</v>
      </c>
    </row>
    <row r="110" spans="1:8" x14ac:dyDescent="0.3">
      <c r="A110" s="3">
        <v>46265.415879629632</v>
      </c>
      <c r="B110" s="1">
        <v>14.77</v>
      </c>
      <c r="C110" s="1">
        <v>12.74</v>
      </c>
      <c r="D110" s="1">
        <v>0.91</v>
      </c>
      <c r="E110" s="1" t="s">
        <v>113</v>
      </c>
      <c r="F110" s="1" t="s">
        <v>113</v>
      </c>
      <c r="G110" s="1" t="s">
        <v>113</v>
      </c>
      <c r="H110" s="1" t="str">
        <f>VLOOKUP(F110,Countries!$A$1:$B$161,2,0)</f>
        <v>United States of America</v>
      </c>
    </row>
    <row r="111" spans="1:8" x14ac:dyDescent="0.3">
      <c r="A111" s="3">
        <v>46265.402337962973</v>
      </c>
      <c r="B111" s="1">
        <v>19.98</v>
      </c>
      <c r="C111" s="1">
        <v>17.23</v>
      </c>
      <c r="D111" s="1">
        <v>1.02</v>
      </c>
      <c r="E111" s="1" t="s">
        <v>119</v>
      </c>
      <c r="F111" s="1" t="s">
        <v>119</v>
      </c>
      <c r="G111" s="1" t="s">
        <v>119</v>
      </c>
      <c r="H111" s="1" t="str">
        <f>VLOOKUP(F111,Countries!$A$1:$B$161,2,0)</f>
        <v>Great Britain (United Kingdom)</v>
      </c>
    </row>
    <row r="112" spans="1:8" x14ac:dyDescent="0.3">
      <c r="A112" s="3">
        <v>46265.398506944453</v>
      </c>
      <c r="B112" s="1">
        <v>36.96</v>
      </c>
      <c r="C112" s="1">
        <v>31.88</v>
      </c>
      <c r="D112" s="1">
        <v>1.93</v>
      </c>
      <c r="E112" s="1" t="s">
        <v>113</v>
      </c>
      <c r="F112" s="1" t="s">
        <v>113</v>
      </c>
      <c r="G112" s="1" t="s">
        <v>113</v>
      </c>
      <c r="H112" s="1" t="str">
        <f>VLOOKUP(F112,Countries!$A$1:$B$161,2,0)</f>
        <v>United States of America</v>
      </c>
    </row>
    <row r="113" spans="1:8" x14ac:dyDescent="0.3">
      <c r="A113" s="3">
        <v>46265.397337962961</v>
      </c>
      <c r="B113" s="1">
        <v>6.37</v>
      </c>
      <c r="C113" s="1">
        <v>5.49</v>
      </c>
      <c r="D113" s="1">
        <v>0.54</v>
      </c>
      <c r="E113" s="1" t="s">
        <v>113</v>
      </c>
      <c r="F113" s="1" t="s">
        <v>113</v>
      </c>
      <c r="G113" s="1" t="s">
        <v>113</v>
      </c>
      <c r="H113" s="1" t="str">
        <f>VLOOKUP(F113,Countries!$A$1:$B$161,2,0)</f>
        <v>United States of America</v>
      </c>
    </row>
    <row r="114" spans="1:8" x14ac:dyDescent="0.3">
      <c r="A114" s="3">
        <v>46265.396793981483</v>
      </c>
      <c r="B114" s="1">
        <v>14.77</v>
      </c>
      <c r="C114" s="1">
        <v>12.74</v>
      </c>
      <c r="D114" s="1">
        <v>0.91</v>
      </c>
      <c r="E114" s="1" t="s">
        <v>113</v>
      </c>
      <c r="F114" s="1" t="s">
        <v>113</v>
      </c>
      <c r="G114" s="1" t="s">
        <v>113</v>
      </c>
      <c r="H114" s="1" t="str">
        <f>VLOOKUP(F114,Countries!$A$1:$B$161,2,0)</f>
        <v>United States of America</v>
      </c>
    </row>
    <row r="115" spans="1:8" x14ac:dyDescent="0.3">
      <c r="A115" s="3">
        <v>46265.395682870367</v>
      </c>
      <c r="B115" s="1">
        <v>6.37</v>
      </c>
      <c r="C115" s="1">
        <v>5.49</v>
      </c>
      <c r="D115" s="1">
        <v>0.54</v>
      </c>
      <c r="E115" s="1" t="s">
        <v>113</v>
      </c>
      <c r="F115" s="1" t="s">
        <v>113</v>
      </c>
      <c r="G115" s="1" t="s">
        <v>113</v>
      </c>
      <c r="H115" s="1" t="str">
        <f>VLOOKUP(F115,Countries!$A$1:$B$161,2,0)</f>
        <v>United States of America</v>
      </c>
    </row>
    <row r="116" spans="1:8" x14ac:dyDescent="0.3">
      <c r="A116" s="3">
        <v>46265.394120370373</v>
      </c>
      <c r="B116" s="1">
        <v>12.97</v>
      </c>
      <c r="C116" s="1">
        <v>11.19</v>
      </c>
      <c r="D116" s="1">
        <v>0.64</v>
      </c>
      <c r="E116" s="1" t="s">
        <v>112</v>
      </c>
      <c r="F116" s="1" t="s">
        <v>112</v>
      </c>
      <c r="G116" s="1" t="s">
        <v>112</v>
      </c>
      <c r="H116" s="1" t="str">
        <f>VLOOKUP(F116,Countries!$A$1:$B$161,2,0)</f>
        <v>Ireland</v>
      </c>
    </row>
    <row r="117" spans="1:8" x14ac:dyDescent="0.3">
      <c r="A117" s="3">
        <v>46265.384826388887</v>
      </c>
      <c r="B117" s="1">
        <v>6.37</v>
      </c>
      <c r="C117" s="1">
        <v>5.49</v>
      </c>
      <c r="D117" s="1">
        <v>0.54</v>
      </c>
      <c r="E117" s="1" t="s">
        <v>113</v>
      </c>
      <c r="F117" s="1" t="s">
        <v>113</v>
      </c>
      <c r="G117" s="1" t="s">
        <v>113</v>
      </c>
      <c r="H117" s="1" t="str">
        <f>VLOOKUP(F117,Countries!$A$1:$B$161,2,0)</f>
        <v>United States of America</v>
      </c>
    </row>
    <row r="118" spans="1:8" x14ac:dyDescent="0.3">
      <c r="A118" s="3">
        <v>46265.376284722217</v>
      </c>
      <c r="B118" s="1">
        <v>6.37</v>
      </c>
      <c r="C118" s="1">
        <v>5.49</v>
      </c>
      <c r="D118" s="1">
        <v>0.54</v>
      </c>
      <c r="E118" s="1" t="s">
        <v>113</v>
      </c>
      <c r="F118" s="1" t="s">
        <v>113</v>
      </c>
      <c r="G118" s="1" t="s">
        <v>113</v>
      </c>
      <c r="H118" s="1" t="str">
        <f>VLOOKUP(F118,Countries!$A$1:$B$161,2,0)</f>
        <v>United States of America</v>
      </c>
    </row>
    <row r="119" spans="1:8" x14ac:dyDescent="0.3">
      <c r="A119" s="3">
        <v>46265.373379629629</v>
      </c>
      <c r="B119" s="1">
        <v>14.77</v>
      </c>
      <c r="C119" s="1">
        <v>12.73</v>
      </c>
      <c r="D119" s="1">
        <v>0.91</v>
      </c>
      <c r="E119" s="1" t="s">
        <v>113</v>
      </c>
      <c r="F119" s="1" t="s">
        <v>113</v>
      </c>
      <c r="G119" s="1" t="s">
        <v>113</v>
      </c>
      <c r="H119" s="1" t="str">
        <f>VLOOKUP(F119,Countries!$A$1:$B$161,2,0)</f>
        <v>United States of America</v>
      </c>
    </row>
    <row r="120" spans="1:8" x14ac:dyDescent="0.3">
      <c r="A120" s="3">
        <v>46265.363449074073</v>
      </c>
      <c r="B120" s="1">
        <v>14.77</v>
      </c>
      <c r="C120" s="1">
        <v>12.73</v>
      </c>
      <c r="D120" s="1">
        <v>0.91</v>
      </c>
      <c r="E120" s="1" t="s">
        <v>113</v>
      </c>
      <c r="F120" s="1" t="s">
        <v>113</v>
      </c>
      <c r="G120" s="1" t="s">
        <v>113</v>
      </c>
      <c r="H120" s="1" t="str">
        <f>VLOOKUP(F120,Countries!$A$1:$B$161,2,0)</f>
        <v>United States of America</v>
      </c>
    </row>
    <row r="121" spans="1:8" x14ac:dyDescent="0.3">
      <c r="A121" s="3">
        <v>46265.357719907413</v>
      </c>
      <c r="B121" s="1">
        <v>6.37</v>
      </c>
      <c r="C121" s="1">
        <v>5.49</v>
      </c>
      <c r="D121" s="1">
        <v>0.54</v>
      </c>
      <c r="E121" s="1" t="s">
        <v>113</v>
      </c>
      <c r="F121" s="1" t="s">
        <v>113</v>
      </c>
      <c r="G121" s="1" t="s">
        <v>113</v>
      </c>
      <c r="H121" s="1" t="str">
        <f>VLOOKUP(F121,Countries!$A$1:$B$161,2,0)</f>
        <v>United States of America</v>
      </c>
    </row>
    <row r="122" spans="1:8" x14ac:dyDescent="0.3">
      <c r="A122" s="3">
        <v>46265.356377314813</v>
      </c>
      <c r="B122" s="1">
        <v>6.37</v>
      </c>
      <c r="C122" s="1">
        <v>5.49</v>
      </c>
      <c r="D122" s="1">
        <v>0.54</v>
      </c>
      <c r="E122" s="1" t="s">
        <v>113</v>
      </c>
      <c r="F122" s="1" t="s">
        <v>113</v>
      </c>
      <c r="G122" s="1" t="s">
        <v>113</v>
      </c>
      <c r="H122" s="1" t="str">
        <f>VLOOKUP(F122,Countries!$A$1:$B$161,2,0)</f>
        <v>United States of America</v>
      </c>
    </row>
    <row r="123" spans="1:8" x14ac:dyDescent="0.3">
      <c r="A123" s="3">
        <v>46265.353865740741</v>
      </c>
      <c r="B123" s="1">
        <v>7.77</v>
      </c>
      <c r="C123" s="1">
        <v>6.7</v>
      </c>
      <c r="D123" s="1">
        <v>0.48</v>
      </c>
      <c r="E123" s="1" t="s">
        <v>112</v>
      </c>
      <c r="F123" s="1" t="s">
        <v>112</v>
      </c>
      <c r="G123" s="1" t="s">
        <v>112</v>
      </c>
      <c r="H123" s="1" t="str">
        <f>VLOOKUP(F123,Countries!$A$1:$B$161,2,0)</f>
        <v>Ireland</v>
      </c>
    </row>
    <row r="124" spans="1:8" x14ac:dyDescent="0.3">
      <c r="A124" s="3">
        <v>46265.346284722233</v>
      </c>
      <c r="B124" s="1">
        <v>7.99</v>
      </c>
      <c r="C124" s="1">
        <v>6.89</v>
      </c>
      <c r="D124" s="1">
        <v>0.61</v>
      </c>
      <c r="E124" s="1" t="s">
        <v>113</v>
      </c>
      <c r="F124" s="1" t="s">
        <v>113</v>
      </c>
      <c r="G124" s="1" t="s">
        <v>113</v>
      </c>
      <c r="H124" s="1" t="str">
        <f>VLOOKUP(F124,Countries!$A$1:$B$161,2,0)</f>
        <v>United States of America</v>
      </c>
    </row>
    <row r="125" spans="1:8" x14ac:dyDescent="0.3">
      <c r="A125" s="3">
        <v>46265.346203703702</v>
      </c>
      <c r="B125" s="1">
        <v>14.77</v>
      </c>
      <c r="C125" s="1">
        <v>12.73</v>
      </c>
      <c r="D125" s="1">
        <v>0.91</v>
      </c>
      <c r="E125" s="1" t="s">
        <v>113</v>
      </c>
      <c r="F125" s="1" t="s">
        <v>113</v>
      </c>
      <c r="G125" s="1" t="s">
        <v>113</v>
      </c>
      <c r="H125" s="1" t="str">
        <f>VLOOKUP(F125,Countries!$A$1:$B$161,2,0)</f>
        <v>United States of America</v>
      </c>
    </row>
    <row r="126" spans="1:8" x14ac:dyDescent="0.3">
      <c r="A126" s="3">
        <v>46265.344409722216</v>
      </c>
      <c r="B126" s="1">
        <v>15.78</v>
      </c>
      <c r="C126" s="1">
        <v>13.6</v>
      </c>
      <c r="D126" s="1">
        <v>0.96</v>
      </c>
      <c r="E126" s="1" t="s">
        <v>114</v>
      </c>
      <c r="F126" s="1" t="s">
        <v>114</v>
      </c>
      <c r="G126" s="1" t="s">
        <v>114</v>
      </c>
      <c r="H126" s="1" t="str">
        <f>VLOOKUP(F126,Countries!$A$1:$B$161,2,0)</f>
        <v>Philippines</v>
      </c>
    </row>
    <row r="127" spans="1:8" x14ac:dyDescent="0.3">
      <c r="A127" s="3">
        <v>46265.338923611111</v>
      </c>
      <c r="B127" s="1">
        <v>6.37</v>
      </c>
      <c r="C127" s="1">
        <v>5.49</v>
      </c>
      <c r="D127" s="1">
        <v>0.54</v>
      </c>
      <c r="E127" s="1" t="s">
        <v>113</v>
      </c>
      <c r="F127" s="1" t="s">
        <v>113</v>
      </c>
      <c r="G127" s="1" t="s">
        <v>113</v>
      </c>
      <c r="H127" s="1" t="str">
        <f>VLOOKUP(F127,Countries!$A$1:$B$161,2,0)</f>
        <v>United States of America</v>
      </c>
    </row>
    <row r="128" spans="1:8" x14ac:dyDescent="0.3">
      <c r="A128" s="3">
        <v>46265.333252314813</v>
      </c>
      <c r="B128" s="1">
        <v>14.77</v>
      </c>
      <c r="C128" s="1">
        <v>12.75</v>
      </c>
      <c r="D128" s="1">
        <v>0.92</v>
      </c>
      <c r="E128" s="1" t="s">
        <v>113</v>
      </c>
      <c r="F128" s="1" t="s">
        <v>113</v>
      </c>
      <c r="G128" s="1" t="s">
        <v>113</v>
      </c>
      <c r="H128" s="1" t="str">
        <f>VLOOKUP(F128,Countries!$A$1:$B$161,2,0)</f>
        <v>United States of America</v>
      </c>
    </row>
    <row r="129" spans="1:8" x14ac:dyDescent="0.3">
      <c r="A129" s="3">
        <v>46265.330081018517</v>
      </c>
      <c r="B129" s="1">
        <v>7.58</v>
      </c>
      <c r="C129" s="1">
        <v>6.54</v>
      </c>
      <c r="D129" s="1">
        <v>0.48</v>
      </c>
      <c r="E129" s="1" t="s">
        <v>116</v>
      </c>
      <c r="F129" s="1" t="s">
        <v>116</v>
      </c>
      <c r="G129" s="1" t="s">
        <v>116</v>
      </c>
      <c r="H129" s="1" t="str">
        <f>VLOOKUP(F129,Countries!$A$1:$B$161,2,0)</f>
        <v>Spain</v>
      </c>
    </row>
    <row r="130" spans="1:8" x14ac:dyDescent="0.3">
      <c r="A130" s="3">
        <v>46265.324756944443</v>
      </c>
      <c r="B130" s="1">
        <v>6.37</v>
      </c>
      <c r="C130" s="1">
        <v>5.5</v>
      </c>
      <c r="D130" s="1">
        <v>0.54</v>
      </c>
      <c r="E130" s="1" t="s">
        <v>113</v>
      </c>
      <c r="F130" s="1" t="s">
        <v>113</v>
      </c>
      <c r="G130" s="1" t="s">
        <v>113</v>
      </c>
      <c r="H130" s="1" t="str">
        <f>VLOOKUP(F130,Countries!$A$1:$B$161,2,0)</f>
        <v>United States of America</v>
      </c>
    </row>
    <row r="131" spans="1:8" x14ac:dyDescent="0.3">
      <c r="A131" s="3">
        <v>46265.315335648149</v>
      </c>
      <c r="B131" s="1">
        <v>14.77</v>
      </c>
      <c r="C131" s="1">
        <v>12.75</v>
      </c>
      <c r="D131" s="1">
        <v>0.92</v>
      </c>
      <c r="E131" s="1" t="s">
        <v>113</v>
      </c>
      <c r="F131" s="1" t="s">
        <v>113</v>
      </c>
      <c r="G131" s="1" t="s">
        <v>113</v>
      </c>
      <c r="H131" s="1" t="str">
        <f>VLOOKUP(F131,Countries!$A$1:$B$161,2,0)</f>
        <v>United States of America</v>
      </c>
    </row>
    <row r="132" spans="1:8" x14ac:dyDescent="0.3">
      <c r="A132" s="3">
        <v>46265.300555555557</v>
      </c>
      <c r="B132" s="1">
        <v>17.010000000000002</v>
      </c>
      <c r="C132" s="1">
        <v>14.68</v>
      </c>
      <c r="D132" s="1">
        <v>1.02</v>
      </c>
      <c r="E132" s="1" t="s">
        <v>113</v>
      </c>
      <c r="F132" s="1" t="s">
        <v>113</v>
      </c>
      <c r="G132" s="1" t="s">
        <v>113</v>
      </c>
      <c r="H132" s="1" t="str">
        <f>VLOOKUP(F132,Countries!$A$1:$B$161,2,0)</f>
        <v>United States of America</v>
      </c>
    </row>
    <row r="133" spans="1:8" x14ac:dyDescent="0.3">
      <c r="A133" s="3">
        <v>46265.29896990741</v>
      </c>
      <c r="B133" s="1">
        <v>6.37</v>
      </c>
      <c r="C133" s="1">
        <v>5.5</v>
      </c>
      <c r="D133" s="1">
        <v>0.54</v>
      </c>
      <c r="E133" s="1" t="s">
        <v>113</v>
      </c>
      <c r="F133" s="1" t="s">
        <v>113</v>
      </c>
      <c r="G133" s="1" t="s">
        <v>113</v>
      </c>
      <c r="H133" s="1" t="str">
        <f>VLOOKUP(F133,Countries!$A$1:$B$161,2,0)</f>
        <v>United States of America</v>
      </c>
    </row>
    <row r="134" spans="1:8" x14ac:dyDescent="0.3">
      <c r="A134" s="3">
        <v>46265.29859953704</v>
      </c>
      <c r="B134" s="1">
        <v>14.77</v>
      </c>
      <c r="C134" s="1">
        <v>12.75</v>
      </c>
      <c r="D134" s="1">
        <v>0.92</v>
      </c>
      <c r="E134" s="1" t="s">
        <v>113</v>
      </c>
      <c r="F134" s="1" t="s">
        <v>113</v>
      </c>
      <c r="G134" s="1" t="s">
        <v>113</v>
      </c>
      <c r="H134" s="1" t="str">
        <f>VLOOKUP(F134,Countries!$A$1:$B$161,2,0)</f>
        <v>United States of America</v>
      </c>
    </row>
    <row r="135" spans="1:8" x14ac:dyDescent="0.3">
      <c r="A135" s="3">
        <v>46265.293379629627</v>
      </c>
      <c r="B135" s="1">
        <v>61.65</v>
      </c>
      <c r="C135" s="1">
        <v>53.2</v>
      </c>
      <c r="D135" s="1">
        <v>3.04</v>
      </c>
      <c r="E135" s="1" t="s">
        <v>130</v>
      </c>
      <c r="F135" s="1" t="s">
        <v>130</v>
      </c>
      <c r="G135" s="1" t="s">
        <v>130</v>
      </c>
      <c r="H135" s="1" t="str">
        <f>VLOOKUP(F135,Countries!$A$1:$B$161,2,0)</f>
        <v>Australia</v>
      </c>
    </row>
    <row r="136" spans="1:8" x14ac:dyDescent="0.3">
      <c r="A136" s="3">
        <v>46265.290775462963</v>
      </c>
      <c r="B136" s="1">
        <v>7.99</v>
      </c>
      <c r="C136" s="1">
        <v>6.89</v>
      </c>
      <c r="D136" s="1">
        <v>0.61</v>
      </c>
      <c r="E136" s="1" t="s">
        <v>121</v>
      </c>
      <c r="F136" s="1" t="s">
        <v>121</v>
      </c>
      <c r="G136" s="1" t="s">
        <v>121</v>
      </c>
      <c r="H136" s="1" t="str">
        <f>VLOOKUP(F136,Countries!$A$1:$B$161,2,0)</f>
        <v>Japan</v>
      </c>
    </row>
    <row r="137" spans="1:8" x14ac:dyDescent="0.3">
      <c r="A137" s="3">
        <v>46265.283935185187</v>
      </c>
      <c r="B137" s="1">
        <v>12.76</v>
      </c>
      <c r="C137" s="1">
        <v>11.01</v>
      </c>
      <c r="D137" s="1">
        <v>0.83</v>
      </c>
      <c r="E137" s="1" t="s">
        <v>113</v>
      </c>
      <c r="F137" s="1" t="s">
        <v>113</v>
      </c>
      <c r="G137" s="1" t="s">
        <v>113</v>
      </c>
      <c r="H137" s="1" t="str">
        <f>VLOOKUP(F137,Countries!$A$1:$B$161,2,0)</f>
        <v>United States of America</v>
      </c>
    </row>
    <row r="138" spans="1:8" x14ac:dyDescent="0.3">
      <c r="A138" s="3">
        <v>46265.282719907409</v>
      </c>
      <c r="B138" s="1">
        <v>2.11</v>
      </c>
      <c r="C138" s="1">
        <v>1.82</v>
      </c>
      <c r="D138" s="1">
        <v>0.35</v>
      </c>
      <c r="E138" s="1" t="s">
        <v>113</v>
      </c>
      <c r="F138" s="1" t="s">
        <v>113</v>
      </c>
      <c r="G138" s="1" t="s">
        <v>113</v>
      </c>
      <c r="H138" s="1" t="str">
        <f>VLOOKUP(F138,Countries!$A$1:$B$161,2,0)</f>
        <v>United States of America</v>
      </c>
    </row>
    <row r="139" spans="1:8" x14ac:dyDescent="0.3">
      <c r="A139" s="3">
        <v>46265.281365740739</v>
      </c>
      <c r="B139" s="1">
        <v>6.37</v>
      </c>
      <c r="C139" s="1">
        <v>5.5</v>
      </c>
      <c r="D139" s="1">
        <v>0.54</v>
      </c>
      <c r="E139" s="1" t="s">
        <v>113</v>
      </c>
      <c r="F139" s="1" t="s">
        <v>113</v>
      </c>
      <c r="G139" s="1" t="s">
        <v>113</v>
      </c>
      <c r="H139" s="1" t="str">
        <f>VLOOKUP(F139,Countries!$A$1:$B$161,2,0)</f>
        <v>United States of America</v>
      </c>
    </row>
    <row r="140" spans="1:8" x14ac:dyDescent="0.3">
      <c r="A140" s="3">
        <v>46265.279733796298</v>
      </c>
      <c r="B140" s="1">
        <v>14.77</v>
      </c>
      <c r="C140" s="1">
        <v>12.74</v>
      </c>
      <c r="D140" s="1">
        <v>0.91</v>
      </c>
      <c r="E140" s="1" t="s">
        <v>113</v>
      </c>
      <c r="F140" s="1" t="s">
        <v>113</v>
      </c>
      <c r="G140" s="1" t="s">
        <v>113</v>
      </c>
      <c r="H140" s="1" t="str">
        <f>VLOOKUP(F140,Countries!$A$1:$B$161,2,0)</f>
        <v>United States of America</v>
      </c>
    </row>
    <row r="141" spans="1:8" x14ac:dyDescent="0.3">
      <c r="A141" s="3">
        <v>46265.279594907413</v>
      </c>
      <c r="B141" s="1">
        <v>13.82</v>
      </c>
      <c r="C141" s="1">
        <v>11.93</v>
      </c>
      <c r="D141" s="1">
        <v>0.88</v>
      </c>
      <c r="E141" s="1" t="s">
        <v>113</v>
      </c>
      <c r="F141" s="1" t="s">
        <v>113</v>
      </c>
      <c r="G141" s="1" t="s">
        <v>113</v>
      </c>
      <c r="H141" s="1" t="str">
        <f>VLOOKUP(F141,Countries!$A$1:$B$161,2,0)</f>
        <v>United States of America</v>
      </c>
    </row>
    <row r="142" spans="1:8" x14ac:dyDescent="0.3">
      <c r="A142" s="3">
        <v>46265.270312499997</v>
      </c>
      <c r="B142" s="1">
        <v>14.77</v>
      </c>
      <c r="C142" s="1">
        <v>12.74</v>
      </c>
      <c r="D142" s="1">
        <v>0.91</v>
      </c>
      <c r="E142" s="1" t="s">
        <v>113</v>
      </c>
      <c r="F142" s="1" t="s">
        <v>113</v>
      </c>
      <c r="G142" s="1" t="s">
        <v>113</v>
      </c>
      <c r="H142" s="1" t="str">
        <f>VLOOKUP(F142,Countries!$A$1:$B$161,2,0)</f>
        <v>United States of America</v>
      </c>
    </row>
    <row r="143" spans="1:8" x14ac:dyDescent="0.3">
      <c r="A143" s="3">
        <v>46265.265914351847</v>
      </c>
      <c r="B143" s="1">
        <v>6.37</v>
      </c>
      <c r="C143" s="1">
        <v>5.5</v>
      </c>
      <c r="D143" s="1">
        <v>0.54</v>
      </c>
      <c r="E143" s="1" t="s">
        <v>113</v>
      </c>
      <c r="F143" s="1" t="s">
        <v>113</v>
      </c>
      <c r="G143" s="1" t="s">
        <v>113</v>
      </c>
      <c r="H143" s="1" t="str">
        <f>VLOOKUP(F143,Countries!$A$1:$B$161,2,0)</f>
        <v>United States of America</v>
      </c>
    </row>
    <row r="144" spans="1:8" x14ac:dyDescent="0.3">
      <c r="A144" s="3">
        <v>46265.262256944443</v>
      </c>
      <c r="B144" s="1">
        <v>14.77</v>
      </c>
      <c r="C144" s="1">
        <v>12.74</v>
      </c>
      <c r="D144" s="1">
        <v>0.91</v>
      </c>
      <c r="E144" s="1" t="s">
        <v>113</v>
      </c>
      <c r="F144" s="1" t="s">
        <v>113</v>
      </c>
      <c r="G144" s="1" t="s">
        <v>113</v>
      </c>
      <c r="H144" s="1" t="str">
        <f>VLOOKUP(F144,Countries!$A$1:$B$161,2,0)</f>
        <v>United States of America</v>
      </c>
    </row>
    <row r="145" spans="1:8" x14ac:dyDescent="0.3">
      <c r="A145" s="3">
        <v>46265.250555555547</v>
      </c>
      <c r="B145" s="1">
        <v>14.77</v>
      </c>
      <c r="C145" s="1">
        <v>12.74</v>
      </c>
      <c r="D145" s="1">
        <v>0.91</v>
      </c>
      <c r="E145" s="1" t="s">
        <v>113</v>
      </c>
      <c r="F145" s="1" t="s">
        <v>113</v>
      </c>
      <c r="G145" s="1" t="s">
        <v>113</v>
      </c>
      <c r="H145" s="1" t="str">
        <f>VLOOKUP(F145,Countries!$A$1:$B$161,2,0)</f>
        <v>United States of America</v>
      </c>
    </row>
    <row r="146" spans="1:8" x14ac:dyDescent="0.3">
      <c r="A146" s="3">
        <v>46265.245023148149</v>
      </c>
      <c r="B146" s="1">
        <v>12.48</v>
      </c>
      <c r="C146" s="1">
        <v>10.77</v>
      </c>
      <c r="D146" s="1">
        <v>0.74</v>
      </c>
      <c r="E146" s="1" t="s">
        <v>119</v>
      </c>
      <c r="F146" s="1" t="s">
        <v>119</v>
      </c>
      <c r="G146" s="1" t="s">
        <v>119</v>
      </c>
      <c r="H146" s="1" t="str">
        <f>VLOOKUP(F146,Countries!$A$1:$B$161,2,0)</f>
        <v>Great Britain (United Kingdom)</v>
      </c>
    </row>
    <row r="147" spans="1:8" x14ac:dyDescent="0.3">
      <c r="A147" s="3">
        <v>46265.239953703713</v>
      </c>
      <c r="B147" s="1">
        <v>14.77</v>
      </c>
      <c r="C147" s="1">
        <v>12.74</v>
      </c>
      <c r="D147" s="1">
        <v>0.91</v>
      </c>
      <c r="E147" s="1" t="s">
        <v>113</v>
      </c>
      <c r="F147" s="1" t="s">
        <v>113</v>
      </c>
      <c r="G147" s="1" t="s">
        <v>113</v>
      </c>
      <c r="H147" s="1" t="str">
        <f>VLOOKUP(F147,Countries!$A$1:$B$161,2,0)</f>
        <v>United States of America</v>
      </c>
    </row>
    <row r="148" spans="1:8" x14ac:dyDescent="0.3">
      <c r="A148" s="3">
        <v>46265.22729166667</v>
      </c>
      <c r="B148" s="1">
        <v>7.48</v>
      </c>
      <c r="C148" s="1">
        <v>6.45</v>
      </c>
      <c r="D148" s="1">
        <v>0.54</v>
      </c>
      <c r="E148" s="1" t="s">
        <v>119</v>
      </c>
      <c r="F148" s="1" t="s">
        <v>119</v>
      </c>
      <c r="G148" s="1" t="s">
        <v>119</v>
      </c>
      <c r="H148" s="1" t="str">
        <f>VLOOKUP(F148,Countries!$A$1:$B$161,2,0)</f>
        <v>Great Britain (United Kingdom)</v>
      </c>
    </row>
    <row r="149" spans="1:8" x14ac:dyDescent="0.3">
      <c r="A149" s="3">
        <v>46265.219166666669</v>
      </c>
      <c r="B149" s="1">
        <v>6.37</v>
      </c>
      <c r="C149" s="1">
        <v>5.5</v>
      </c>
      <c r="D149" s="1">
        <v>0.54</v>
      </c>
      <c r="E149" s="1" t="s">
        <v>113</v>
      </c>
      <c r="F149" s="1" t="s">
        <v>113</v>
      </c>
      <c r="G149" s="1" t="s">
        <v>113</v>
      </c>
      <c r="H149" s="1" t="str">
        <f>VLOOKUP(F149,Countries!$A$1:$B$161,2,0)</f>
        <v>United States of America</v>
      </c>
    </row>
    <row r="150" spans="1:8" x14ac:dyDescent="0.3">
      <c r="A150" s="3">
        <v>46265.214768518519</v>
      </c>
      <c r="B150" s="1">
        <v>17.010000000000002</v>
      </c>
      <c r="C150" s="1">
        <v>14.68</v>
      </c>
      <c r="D150" s="1">
        <v>1.02</v>
      </c>
      <c r="E150" s="1" t="s">
        <v>113</v>
      </c>
      <c r="F150" s="1" t="s">
        <v>113</v>
      </c>
      <c r="G150" s="1" t="s">
        <v>113</v>
      </c>
      <c r="H150" s="1" t="str">
        <f>VLOOKUP(F150,Countries!$A$1:$B$161,2,0)</f>
        <v>United States of America</v>
      </c>
    </row>
    <row r="151" spans="1:8" x14ac:dyDescent="0.3">
      <c r="A151" s="3">
        <v>46265.20826388889</v>
      </c>
      <c r="B151" s="1">
        <v>6.37</v>
      </c>
      <c r="C151" s="1">
        <v>5.5</v>
      </c>
      <c r="D151" s="1">
        <v>0.54</v>
      </c>
      <c r="E151" s="1" t="s">
        <v>113</v>
      </c>
      <c r="F151" s="1" t="s">
        <v>113</v>
      </c>
      <c r="G151" s="1" t="s">
        <v>113</v>
      </c>
      <c r="H151" s="1" t="str">
        <f>VLOOKUP(F151,Countries!$A$1:$B$161,2,0)</f>
        <v>United States of America</v>
      </c>
    </row>
    <row r="152" spans="1:8" x14ac:dyDescent="0.3">
      <c r="A152" s="3">
        <v>46265.207627314812</v>
      </c>
      <c r="B152" s="1">
        <v>40.880000000000003</v>
      </c>
      <c r="C152" s="1">
        <v>35.270000000000003</v>
      </c>
      <c r="D152" s="1">
        <v>2.11</v>
      </c>
      <c r="E152" s="1" t="s">
        <v>130</v>
      </c>
      <c r="F152" s="1" t="s">
        <v>128</v>
      </c>
      <c r="G152" s="1" t="s">
        <v>128</v>
      </c>
      <c r="H152" s="1" t="str">
        <f>VLOOKUP(F152,Countries!$A$1:$B$161,2,0)</f>
        <v>South Africa</v>
      </c>
    </row>
    <row r="153" spans="1:8" x14ac:dyDescent="0.3">
      <c r="A153" s="3">
        <v>46265.201435185183</v>
      </c>
      <c r="B153" s="1">
        <v>51.75</v>
      </c>
      <c r="C153" s="1">
        <v>44.65</v>
      </c>
      <c r="D153" s="1">
        <v>2.59</v>
      </c>
      <c r="E153" s="1" t="s">
        <v>113</v>
      </c>
      <c r="F153" s="1" t="s">
        <v>113</v>
      </c>
      <c r="G153" s="1" t="s">
        <v>113</v>
      </c>
      <c r="H153" s="1" t="str">
        <f>VLOOKUP(F153,Countries!$A$1:$B$161,2,0)</f>
        <v>United States of America</v>
      </c>
    </row>
    <row r="154" spans="1:8" x14ac:dyDescent="0.3">
      <c r="A154" s="3">
        <v>46265.198576388888</v>
      </c>
      <c r="B154" s="1">
        <v>6.37</v>
      </c>
      <c r="C154" s="1">
        <v>5.5</v>
      </c>
      <c r="D154" s="1">
        <v>0.54</v>
      </c>
      <c r="E154" s="1" t="s">
        <v>113</v>
      </c>
      <c r="F154" s="1" t="s">
        <v>113</v>
      </c>
      <c r="G154" s="1" t="s">
        <v>113</v>
      </c>
      <c r="H154" s="1" t="str">
        <f>VLOOKUP(F154,Countries!$A$1:$B$161,2,0)</f>
        <v>United States of America</v>
      </c>
    </row>
    <row r="155" spans="1:8" x14ac:dyDescent="0.3">
      <c r="A155" s="3">
        <v>46265.192465277767</v>
      </c>
      <c r="B155" s="1">
        <v>37.229999999999997</v>
      </c>
      <c r="C155" s="1">
        <v>32.119999999999997</v>
      </c>
      <c r="D155" s="1">
        <v>1.37</v>
      </c>
      <c r="E155" s="1" t="s">
        <v>124</v>
      </c>
      <c r="F155" s="1" t="s">
        <v>124</v>
      </c>
      <c r="G155" s="1" t="s">
        <v>124</v>
      </c>
      <c r="H155" s="1" t="str">
        <f>VLOOKUP(F155,Countries!$A$1:$B$161,2,0)</f>
        <v>Italy</v>
      </c>
    </row>
    <row r="156" spans="1:8" x14ac:dyDescent="0.3">
      <c r="A156" s="3">
        <v>46265.18959490741</v>
      </c>
      <c r="B156" s="1">
        <v>7.48</v>
      </c>
      <c r="C156" s="1">
        <v>6.45</v>
      </c>
      <c r="D156" s="1">
        <v>0.54</v>
      </c>
      <c r="E156" s="1" t="s">
        <v>119</v>
      </c>
      <c r="F156" s="1" t="s">
        <v>119</v>
      </c>
      <c r="G156" s="1" t="s">
        <v>119</v>
      </c>
      <c r="H156" s="1" t="str">
        <f>VLOOKUP(F156,Countries!$A$1:$B$161,2,0)</f>
        <v>Great Britain (United Kingdom)</v>
      </c>
    </row>
    <row r="157" spans="1:8" x14ac:dyDescent="0.3">
      <c r="A157" s="3">
        <v>46265.185115740736</v>
      </c>
      <c r="B157" s="1">
        <v>6.37</v>
      </c>
      <c r="C157" s="1">
        <v>5.5</v>
      </c>
      <c r="D157" s="1">
        <v>0.54</v>
      </c>
      <c r="E157" s="1" t="s">
        <v>113</v>
      </c>
      <c r="F157" s="1" t="s">
        <v>113</v>
      </c>
      <c r="G157" s="1" t="s">
        <v>113</v>
      </c>
      <c r="H157" s="1" t="str">
        <f>VLOOKUP(F157,Countries!$A$1:$B$161,2,0)</f>
        <v>United States of America</v>
      </c>
    </row>
    <row r="158" spans="1:8" x14ac:dyDescent="0.3">
      <c r="A158" s="3">
        <v>46265.175162037027</v>
      </c>
      <c r="B158" s="1">
        <v>6.37</v>
      </c>
      <c r="C158" s="1">
        <v>5.5</v>
      </c>
      <c r="D158" s="1">
        <v>0.54</v>
      </c>
      <c r="E158" s="1" t="s">
        <v>113</v>
      </c>
      <c r="F158" s="1" t="s">
        <v>113</v>
      </c>
      <c r="G158" s="1" t="s">
        <v>113</v>
      </c>
      <c r="H158" s="1" t="str">
        <f>VLOOKUP(F158,Countries!$A$1:$B$161,2,0)</f>
        <v>United States of America</v>
      </c>
    </row>
    <row r="159" spans="1:8" x14ac:dyDescent="0.3">
      <c r="A159" s="3">
        <v>46265.173090277778</v>
      </c>
      <c r="B159" s="1">
        <v>6.65</v>
      </c>
      <c r="C159" s="1">
        <v>5.74</v>
      </c>
      <c r="D159" s="1">
        <v>0.55000000000000004</v>
      </c>
      <c r="E159" s="1" t="s">
        <v>130</v>
      </c>
      <c r="F159" s="1" t="s">
        <v>130</v>
      </c>
      <c r="G159" s="1" t="s">
        <v>130</v>
      </c>
      <c r="H159" s="1" t="str">
        <f>VLOOKUP(F159,Countries!$A$1:$B$161,2,0)</f>
        <v>Australia</v>
      </c>
    </row>
    <row r="160" spans="1:8" x14ac:dyDescent="0.3">
      <c r="A160" s="3">
        <v>46265.159016203703</v>
      </c>
      <c r="B160" s="1">
        <v>6.37</v>
      </c>
      <c r="C160" s="1">
        <v>5.5</v>
      </c>
      <c r="D160" s="1">
        <v>0.54</v>
      </c>
      <c r="E160" s="1" t="s">
        <v>113</v>
      </c>
      <c r="F160" s="1" t="s">
        <v>113</v>
      </c>
      <c r="G160" s="1" t="s">
        <v>113</v>
      </c>
      <c r="H160" s="1" t="str">
        <f>VLOOKUP(F160,Countries!$A$1:$B$161,2,0)</f>
        <v>United States of America</v>
      </c>
    </row>
    <row r="161" spans="1:8" x14ac:dyDescent="0.3">
      <c r="A161" s="3">
        <v>46265.144085648149</v>
      </c>
      <c r="B161" s="1">
        <v>7.58</v>
      </c>
      <c r="C161" s="1">
        <v>6.54</v>
      </c>
      <c r="D161" s="1">
        <v>0.48</v>
      </c>
      <c r="E161" s="1" t="s">
        <v>120</v>
      </c>
      <c r="F161" s="1" t="s">
        <v>120</v>
      </c>
      <c r="G161" s="1" t="s">
        <v>120</v>
      </c>
      <c r="H161" s="1" t="str">
        <f>VLOOKUP(F161,Countries!$A$1:$B$161,2,0)</f>
        <v>Czech Republic</v>
      </c>
    </row>
    <row r="162" spans="1:8" x14ac:dyDescent="0.3">
      <c r="A162" s="3">
        <v>46265.140960648147</v>
      </c>
      <c r="B162" s="1">
        <v>14.77</v>
      </c>
      <c r="C162" s="1">
        <v>12.74</v>
      </c>
      <c r="D162" s="1">
        <v>0.91</v>
      </c>
      <c r="E162" s="1" t="s">
        <v>113</v>
      </c>
      <c r="F162" s="1" t="s">
        <v>113</v>
      </c>
      <c r="G162" s="1" t="s">
        <v>113</v>
      </c>
      <c r="H162" s="1" t="str">
        <f>VLOOKUP(F162,Countries!$A$1:$B$161,2,0)</f>
        <v>United States of America</v>
      </c>
    </row>
    <row r="163" spans="1:8" x14ac:dyDescent="0.3">
      <c r="A163" s="3">
        <v>46265.127546296288</v>
      </c>
      <c r="B163" s="1">
        <v>6.37</v>
      </c>
      <c r="C163" s="1">
        <v>5.5</v>
      </c>
      <c r="D163" s="1">
        <v>0.54</v>
      </c>
      <c r="E163" s="1" t="s">
        <v>113</v>
      </c>
      <c r="F163" s="1" t="s">
        <v>113</v>
      </c>
      <c r="G163" s="1" t="s">
        <v>113</v>
      </c>
      <c r="H163" s="1" t="str">
        <f>VLOOKUP(F163,Countries!$A$1:$B$161,2,0)</f>
        <v>United States of America</v>
      </c>
    </row>
    <row r="164" spans="1:8" x14ac:dyDescent="0.3">
      <c r="A164" s="3">
        <v>46265.126203703701</v>
      </c>
      <c r="B164" s="1">
        <v>39.99</v>
      </c>
      <c r="C164" s="1">
        <v>34.5</v>
      </c>
      <c r="D164" s="1">
        <v>2.06</v>
      </c>
      <c r="E164" s="1" t="s">
        <v>127</v>
      </c>
      <c r="F164" s="1" t="s">
        <v>113</v>
      </c>
      <c r="G164" s="1" t="s">
        <v>113</v>
      </c>
      <c r="H164" s="1" t="str">
        <f>VLOOKUP(F164,Countries!$A$1:$B$161,2,0)</f>
        <v>United States of America</v>
      </c>
    </row>
    <row r="165" spans="1:8" x14ac:dyDescent="0.3">
      <c r="A165" s="3">
        <v>46265.117754629631</v>
      </c>
      <c r="B165" s="1">
        <v>6.37</v>
      </c>
      <c r="C165" s="1">
        <v>5.5</v>
      </c>
      <c r="D165" s="1">
        <v>0.54</v>
      </c>
      <c r="E165" s="1" t="s">
        <v>113</v>
      </c>
      <c r="F165" s="1" t="s">
        <v>113</v>
      </c>
      <c r="G165" s="1" t="s">
        <v>113</v>
      </c>
      <c r="H165" s="1" t="str">
        <f>VLOOKUP(F165,Countries!$A$1:$B$161,2,0)</f>
        <v>United States of America</v>
      </c>
    </row>
    <row r="166" spans="1:8" x14ac:dyDescent="0.3">
      <c r="A166" s="3">
        <v>46265.116493055553</v>
      </c>
      <c r="B166" s="1">
        <v>2.99</v>
      </c>
      <c r="C166" s="1">
        <v>2.58</v>
      </c>
      <c r="D166" s="1">
        <v>0.38</v>
      </c>
      <c r="E166" s="1" t="s">
        <v>136</v>
      </c>
      <c r="F166" s="1" t="s">
        <v>136</v>
      </c>
      <c r="G166" s="1" t="s">
        <v>136</v>
      </c>
      <c r="H166" s="1" t="str">
        <f>VLOOKUP(F166,Countries!$A$1:$B$161,2,0)</f>
        <v>Turkey</v>
      </c>
    </row>
    <row r="167" spans="1:8" x14ac:dyDescent="0.3">
      <c r="A167" s="3">
        <v>46265.115057870367</v>
      </c>
      <c r="B167" s="1">
        <v>7.04</v>
      </c>
      <c r="C167" s="1">
        <v>6.07</v>
      </c>
      <c r="D167" s="1">
        <v>0.56999999999999995</v>
      </c>
      <c r="E167" s="1" t="s">
        <v>128</v>
      </c>
      <c r="F167" s="1" t="s">
        <v>128</v>
      </c>
      <c r="G167" s="1" t="s">
        <v>128</v>
      </c>
      <c r="H167" s="1" t="str">
        <f>VLOOKUP(F167,Countries!$A$1:$B$161,2,0)</f>
        <v>South Africa</v>
      </c>
    </row>
    <row r="168" spans="1:8" x14ac:dyDescent="0.3">
      <c r="A168" s="3">
        <v>46265.098958333343</v>
      </c>
      <c r="B168" s="1">
        <v>6.37</v>
      </c>
      <c r="C168" s="1">
        <v>5.5</v>
      </c>
      <c r="D168" s="1">
        <v>0.54</v>
      </c>
      <c r="E168" s="1" t="s">
        <v>113</v>
      </c>
      <c r="F168" s="1" t="s">
        <v>113</v>
      </c>
      <c r="G168" s="1" t="s">
        <v>113</v>
      </c>
      <c r="H168" s="1" t="str">
        <f>VLOOKUP(F168,Countries!$A$1:$B$161,2,0)</f>
        <v>United States of America</v>
      </c>
    </row>
    <row r="169" spans="1:8" x14ac:dyDescent="0.3">
      <c r="A169" s="3">
        <v>46265.078368055547</v>
      </c>
      <c r="B169" s="1">
        <v>2.99</v>
      </c>
      <c r="C169" s="1">
        <v>2.58</v>
      </c>
      <c r="D169" s="1">
        <v>0.38</v>
      </c>
      <c r="E169" s="1" t="s">
        <v>129</v>
      </c>
      <c r="F169" s="1" t="s">
        <v>129</v>
      </c>
      <c r="G169" s="1" t="s">
        <v>129</v>
      </c>
      <c r="H169" s="1" t="str">
        <f>VLOOKUP(F169,Countries!$A$1:$B$161,2,0)</f>
        <v>Qatar</v>
      </c>
    </row>
    <row r="170" spans="1:8" x14ac:dyDescent="0.3">
      <c r="A170" s="3">
        <v>46265.073020833333</v>
      </c>
      <c r="B170" s="1">
        <v>26.59</v>
      </c>
      <c r="C170" s="1">
        <v>22.94</v>
      </c>
      <c r="D170" s="1">
        <v>1.46</v>
      </c>
      <c r="E170" s="1" t="s">
        <v>113</v>
      </c>
      <c r="F170" s="1" t="s">
        <v>113</v>
      </c>
      <c r="G170" s="1" t="s">
        <v>113</v>
      </c>
      <c r="H170" s="1" t="str">
        <f>VLOOKUP(F170,Countries!$A$1:$B$161,2,0)</f>
        <v>United States of America</v>
      </c>
    </row>
    <row r="171" spans="1:8" x14ac:dyDescent="0.3">
      <c r="A171" s="3">
        <v>46265.065462962957</v>
      </c>
      <c r="B171" s="1">
        <v>6.37</v>
      </c>
      <c r="C171" s="1">
        <v>5.49</v>
      </c>
      <c r="D171" s="1">
        <v>0.54</v>
      </c>
      <c r="E171" s="1" t="s">
        <v>113</v>
      </c>
      <c r="F171" s="1" t="s">
        <v>113</v>
      </c>
      <c r="G171" s="1" t="s">
        <v>113</v>
      </c>
      <c r="H171" s="1" t="str">
        <f>VLOOKUP(F171,Countries!$A$1:$B$161,2,0)</f>
        <v>United States of America</v>
      </c>
    </row>
    <row r="172" spans="1:8" x14ac:dyDescent="0.3">
      <c r="A172" s="3">
        <v>46265.063402777778</v>
      </c>
      <c r="B172" s="1">
        <v>7.48</v>
      </c>
      <c r="C172" s="1">
        <v>6.45</v>
      </c>
      <c r="D172" s="1">
        <v>0.54</v>
      </c>
      <c r="E172" s="1" t="s">
        <v>119</v>
      </c>
      <c r="F172" s="1" t="s">
        <v>119</v>
      </c>
      <c r="G172" s="1" t="s">
        <v>119</v>
      </c>
      <c r="H172" s="1" t="str">
        <f>VLOOKUP(F172,Countries!$A$1:$B$161,2,0)</f>
        <v>Great Britain (United Kingdom)</v>
      </c>
    </row>
    <row r="173" spans="1:8" x14ac:dyDescent="0.3">
      <c r="A173" s="3">
        <v>46265.0625</v>
      </c>
      <c r="B173" s="1">
        <v>32.700000000000003</v>
      </c>
      <c r="C173" s="1">
        <v>28.21</v>
      </c>
      <c r="D173" s="1">
        <v>1.73</v>
      </c>
      <c r="E173" s="1" t="s">
        <v>130</v>
      </c>
      <c r="F173" s="1" t="s">
        <v>128</v>
      </c>
      <c r="G173" s="1" t="s">
        <v>128</v>
      </c>
      <c r="H173" s="1" t="str">
        <f>VLOOKUP(F173,Countries!$A$1:$B$161,2,0)</f>
        <v>South Africa</v>
      </c>
    </row>
    <row r="174" spans="1:8" x14ac:dyDescent="0.3">
      <c r="A174" s="3">
        <v>46265.0622337963</v>
      </c>
      <c r="B174" s="1">
        <v>3.93</v>
      </c>
      <c r="C174" s="1">
        <v>3.39</v>
      </c>
      <c r="D174" s="1">
        <v>0.37</v>
      </c>
      <c r="E174" s="1" t="s">
        <v>137</v>
      </c>
      <c r="F174" s="1" t="s">
        <v>138</v>
      </c>
      <c r="G174" s="1" t="s">
        <v>138</v>
      </c>
      <c r="H174" s="1" t="str">
        <f>VLOOKUP(F174,Countries!$A$1:$B$161,2,0)</f>
        <v>Iceland</v>
      </c>
    </row>
    <row r="175" spans="1:8" x14ac:dyDescent="0.3">
      <c r="A175" s="3">
        <v>46265.055625000001</v>
      </c>
      <c r="B175" s="1">
        <v>7.48</v>
      </c>
      <c r="C175" s="1">
        <v>6.45</v>
      </c>
      <c r="D175" s="1">
        <v>0.48</v>
      </c>
      <c r="E175" s="1" t="s">
        <v>123</v>
      </c>
      <c r="F175" s="1" t="s">
        <v>123</v>
      </c>
      <c r="G175" s="1" t="s">
        <v>123</v>
      </c>
      <c r="H175" s="1" t="str">
        <f>VLOOKUP(F175,Countries!$A$1:$B$161,2,0)</f>
        <v>France</v>
      </c>
    </row>
    <row r="176" spans="1:8" x14ac:dyDescent="0.3">
      <c r="A176" s="3">
        <v>46265.04965277778</v>
      </c>
      <c r="B176" s="1">
        <v>7.48</v>
      </c>
      <c r="C176" s="1">
        <v>6.45</v>
      </c>
      <c r="D176" s="1">
        <v>0.54</v>
      </c>
      <c r="E176" s="1" t="s">
        <v>119</v>
      </c>
      <c r="F176" s="1" t="s">
        <v>119</v>
      </c>
      <c r="G176" s="1" t="s">
        <v>119</v>
      </c>
      <c r="H176" s="1" t="str">
        <f>VLOOKUP(F176,Countries!$A$1:$B$161,2,0)</f>
        <v>Great Britain (United Kingdom)</v>
      </c>
    </row>
    <row r="177" spans="1:8" x14ac:dyDescent="0.3">
      <c r="A177" s="3">
        <v>46265.049513888887</v>
      </c>
      <c r="B177" s="1">
        <v>17.760000000000002</v>
      </c>
      <c r="C177" s="1">
        <v>15.32</v>
      </c>
      <c r="D177" s="1">
        <v>1.06</v>
      </c>
      <c r="E177" s="1" t="s">
        <v>130</v>
      </c>
      <c r="F177" s="1" t="s">
        <v>128</v>
      </c>
      <c r="G177" s="1" t="s">
        <v>128</v>
      </c>
      <c r="H177" s="1" t="str">
        <f>VLOOKUP(F177,Countries!$A$1:$B$161,2,0)</f>
        <v>South Africa</v>
      </c>
    </row>
    <row r="178" spans="1:8" x14ac:dyDescent="0.3">
      <c r="A178" s="3">
        <v>46265.04859953704</v>
      </c>
      <c r="B178" s="1">
        <v>7.48</v>
      </c>
      <c r="C178" s="1">
        <v>6.45</v>
      </c>
      <c r="D178" s="1">
        <v>0.54</v>
      </c>
      <c r="E178" s="1" t="s">
        <v>119</v>
      </c>
      <c r="F178" s="1" t="s">
        <v>119</v>
      </c>
      <c r="G178" s="1" t="s">
        <v>119</v>
      </c>
      <c r="H178" s="1" t="str">
        <f>VLOOKUP(F178,Countries!$A$1:$B$161,2,0)</f>
        <v>Great Britain (United Kingdom)</v>
      </c>
    </row>
    <row r="179" spans="1:8" x14ac:dyDescent="0.3">
      <c r="A179" s="3">
        <v>46265.046701388892</v>
      </c>
      <c r="B179" s="1">
        <v>3.32</v>
      </c>
      <c r="C179" s="1">
        <v>2.86</v>
      </c>
      <c r="D179" s="1">
        <v>0.4</v>
      </c>
      <c r="E179" s="1" t="s">
        <v>121</v>
      </c>
      <c r="F179" s="1" t="s">
        <v>121</v>
      </c>
      <c r="G179" s="1" t="s">
        <v>121</v>
      </c>
      <c r="H179" s="1" t="str">
        <f>VLOOKUP(F179,Countries!$A$1:$B$161,2,0)</f>
        <v>Japan</v>
      </c>
    </row>
    <row r="180" spans="1:8" x14ac:dyDescent="0.3">
      <c r="A180" s="3">
        <v>46265.042546296303</v>
      </c>
      <c r="B180" s="1">
        <v>7.48</v>
      </c>
      <c r="C180" s="1">
        <v>6.45</v>
      </c>
      <c r="D180" s="1">
        <v>0.54</v>
      </c>
      <c r="E180" s="1" t="s">
        <v>119</v>
      </c>
      <c r="F180" s="1" t="s">
        <v>119</v>
      </c>
      <c r="G180" s="1" t="s">
        <v>119</v>
      </c>
      <c r="H180" s="1" t="str">
        <f>VLOOKUP(F180,Countries!$A$1:$B$161,2,0)</f>
        <v>Great Britain (United Kingdom)</v>
      </c>
    </row>
    <row r="181" spans="1:8" x14ac:dyDescent="0.3">
      <c r="A181" s="3">
        <v>46265.040659722217</v>
      </c>
      <c r="B181" s="1">
        <v>1.99</v>
      </c>
      <c r="C181" s="1">
        <v>1.72</v>
      </c>
      <c r="D181" s="1">
        <v>0.34</v>
      </c>
      <c r="E181" s="1" t="s">
        <v>139</v>
      </c>
      <c r="F181" s="1" t="s">
        <v>139</v>
      </c>
      <c r="G181" s="1" t="s">
        <v>139</v>
      </c>
      <c r="H181" s="1" t="str">
        <f>VLOOKUP(F181,Countries!$A$1:$B$161,2,0)</f>
        <v>Nigeria</v>
      </c>
    </row>
    <row r="182" spans="1:8" x14ac:dyDescent="0.3">
      <c r="A182" s="3">
        <v>46265.040601851862</v>
      </c>
      <c r="B182" s="1">
        <v>17.36</v>
      </c>
      <c r="C182" s="1">
        <v>14.98</v>
      </c>
      <c r="D182" s="1">
        <v>0.92</v>
      </c>
      <c r="E182" s="1" t="s">
        <v>119</v>
      </c>
      <c r="F182" s="1" t="s">
        <v>119</v>
      </c>
      <c r="G182" s="1" t="s">
        <v>119</v>
      </c>
      <c r="H182" s="1" t="str">
        <f>VLOOKUP(F182,Countries!$A$1:$B$161,2,0)</f>
        <v>Great Britain (United Kingdom)</v>
      </c>
    </row>
    <row r="183" spans="1:8" x14ac:dyDescent="0.3">
      <c r="A183" s="3">
        <v>46265.035243055558</v>
      </c>
      <c r="B183" s="1">
        <v>17.36</v>
      </c>
      <c r="C183" s="1">
        <v>14.98</v>
      </c>
      <c r="D183" s="1">
        <v>0.92</v>
      </c>
      <c r="E183" s="1" t="s">
        <v>119</v>
      </c>
      <c r="F183" s="1" t="s">
        <v>119</v>
      </c>
      <c r="G183" s="1" t="s">
        <v>119</v>
      </c>
      <c r="H183" s="1" t="str">
        <f>VLOOKUP(F183,Countries!$A$1:$B$161,2,0)</f>
        <v>Great Britain (United Kingdom)</v>
      </c>
    </row>
    <row r="184" spans="1:8" x14ac:dyDescent="0.3">
      <c r="A184" s="3">
        <v>46265.034722222219</v>
      </c>
      <c r="B184" s="1">
        <v>1.99</v>
      </c>
      <c r="C184" s="1">
        <v>1.72</v>
      </c>
      <c r="D184" s="1">
        <v>0.34</v>
      </c>
      <c r="E184" s="1" t="s">
        <v>140</v>
      </c>
      <c r="F184" s="1" t="s">
        <v>140</v>
      </c>
      <c r="G184" s="1" t="s">
        <v>140</v>
      </c>
      <c r="H184" s="1" t="str">
        <f>VLOOKUP(F184,Countries!$A$1:$B$161,2,0)</f>
        <v>Colombia</v>
      </c>
    </row>
    <row r="185" spans="1:8" x14ac:dyDescent="0.3">
      <c r="A185" s="3">
        <v>46265.027361111112</v>
      </c>
      <c r="B185" s="1">
        <v>21.62</v>
      </c>
      <c r="C185" s="1">
        <v>18.649999999999999</v>
      </c>
      <c r="D185" s="1">
        <v>1.23</v>
      </c>
      <c r="E185" s="1" t="s">
        <v>130</v>
      </c>
      <c r="F185" s="1" t="s">
        <v>130</v>
      </c>
      <c r="G185" s="1" t="s">
        <v>130</v>
      </c>
      <c r="H185" s="1" t="str">
        <f>VLOOKUP(F185,Countries!$A$1:$B$161,2,0)</f>
        <v>Australia</v>
      </c>
    </row>
    <row r="186" spans="1:8" x14ac:dyDescent="0.3">
      <c r="A186" s="3">
        <v>46265.022673611107</v>
      </c>
      <c r="B186" s="1">
        <v>6.37</v>
      </c>
      <c r="C186" s="1">
        <v>5.5</v>
      </c>
      <c r="D186" s="1">
        <v>0.54</v>
      </c>
      <c r="E186" s="1" t="s">
        <v>113</v>
      </c>
      <c r="F186" s="1" t="s">
        <v>113</v>
      </c>
      <c r="G186" s="1" t="s">
        <v>113</v>
      </c>
      <c r="H186" s="1" t="str">
        <f>VLOOKUP(F186,Countries!$A$1:$B$161,2,0)</f>
        <v>United States of America</v>
      </c>
    </row>
    <row r="187" spans="1:8" x14ac:dyDescent="0.3">
      <c r="A187" s="3">
        <v>46265.013391203713</v>
      </c>
      <c r="B187" s="1">
        <v>6.37</v>
      </c>
      <c r="C187" s="1">
        <v>5.5</v>
      </c>
      <c r="D187" s="1">
        <v>0.54</v>
      </c>
      <c r="E187" s="1" t="s">
        <v>113</v>
      </c>
      <c r="F187" s="1" t="s">
        <v>113</v>
      </c>
      <c r="G187" s="1" t="s">
        <v>113</v>
      </c>
      <c r="H187" s="1" t="str">
        <f>VLOOKUP(F187,Countries!$A$1:$B$161,2,0)</f>
        <v>United States of America</v>
      </c>
    </row>
    <row r="188" spans="1:8" x14ac:dyDescent="0.3">
      <c r="A188" s="3">
        <v>46265.012928240743</v>
      </c>
      <c r="B188" s="1">
        <v>7.48</v>
      </c>
      <c r="C188" s="1">
        <v>6.45</v>
      </c>
      <c r="D188" s="1">
        <v>0.54</v>
      </c>
      <c r="E188" s="1" t="s">
        <v>119</v>
      </c>
      <c r="F188" s="1" t="s">
        <v>119</v>
      </c>
      <c r="G188" s="1" t="s">
        <v>119</v>
      </c>
      <c r="H188" s="1" t="str">
        <f>VLOOKUP(F188,Countries!$A$1:$B$161,2,0)</f>
        <v>Great Britain (United Kingdom)</v>
      </c>
    </row>
    <row r="189" spans="1:8" x14ac:dyDescent="0.3">
      <c r="A189" s="3">
        <v>46265.011701388888</v>
      </c>
      <c r="B189" s="1">
        <v>2.11</v>
      </c>
      <c r="C189" s="1">
        <v>1.82</v>
      </c>
      <c r="D189" s="1">
        <v>0.35</v>
      </c>
      <c r="E189" s="1" t="s">
        <v>113</v>
      </c>
      <c r="F189" s="1" t="s">
        <v>113</v>
      </c>
      <c r="G189" s="1" t="s">
        <v>113</v>
      </c>
      <c r="H189" s="1" t="str">
        <f>VLOOKUP(F189,Countries!$A$1:$B$161,2,0)</f>
        <v>United States of America</v>
      </c>
    </row>
    <row r="190" spans="1:8" x14ac:dyDescent="0.3">
      <c r="A190" s="3">
        <v>46265.002766203703</v>
      </c>
      <c r="B190" s="1">
        <v>6.37</v>
      </c>
      <c r="C190" s="1">
        <v>5.5</v>
      </c>
      <c r="D190" s="1">
        <v>0.54</v>
      </c>
      <c r="E190" s="1" t="s">
        <v>113</v>
      </c>
      <c r="F190" s="1" t="s">
        <v>113</v>
      </c>
      <c r="G190" s="1" t="s">
        <v>113</v>
      </c>
      <c r="H190" s="1" t="str">
        <f>VLOOKUP(F190,Countries!$A$1:$B$161,2,0)</f>
        <v>United States of America</v>
      </c>
    </row>
    <row r="191" spans="1:8" x14ac:dyDescent="0.3">
      <c r="A191" s="3">
        <v>46264.998703703714</v>
      </c>
      <c r="B191" s="1">
        <v>6.3</v>
      </c>
      <c r="C191" s="1">
        <v>5.44</v>
      </c>
      <c r="D191" s="1">
        <v>0.54</v>
      </c>
      <c r="E191" s="1" t="s">
        <v>132</v>
      </c>
      <c r="F191" s="1" t="s">
        <v>132</v>
      </c>
      <c r="G191" s="1" t="s">
        <v>132</v>
      </c>
      <c r="H191" s="1" t="str">
        <f>VLOOKUP(F191,Countries!$A$1:$B$161,2,0)</f>
        <v>Canada</v>
      </c>
    </row>
    <row r="192" spans="1:8" x14ac:dyDescent="0.3">
      <c r="A192" s="3">
        <v>46264.99832175926</v>
      </c>
      <c r="B192" s="1">
        <v>6.37</v>
      </c>
      <c r="C192" s="1">
        <v>5.5</v>
      </c>
      <c r="D192" s="1">
        <v>0.54</v>
      </c>
      <c r="E192" s="1" t="s">
        <v>113</v>
      </c>
      <c r="F192" s="1" t="s">
        <v>113</v>
      </c>
      <c r="G192" s="1" t="s">
        <v>113</v>
      </c>
      <c r="H192" s="1" t="str">
        <f>VLOOKUP(F192,Countries!$A$1:$B$161,2,0)</f>
        <v>United States of America</v>
      </c>
    </row>
    <row r="193" spans="1:8" x14ac:dyDescent="0.3">
      <c r="A193" s="3">
        <v>46264.995347222219</v>
      </c>
      <c r="B193" s="1">
        <v>34.75</v>
      </c>
      <c r="C193" s="1">
        <v>30</v>
      </c>
      <c r="D193" s="1">
        <v>1.6</v>
      </c>
      <c r="E193" s="1" t="s">
        <v>119</v>
      </c>
      <c r="F193" s="1" t="s">
        <v>119</v>
      </c>
      <c r="G193" s="1" t="s">
        <v>119</v>
      </c>
      <c r="H193" s="1" t="str">
        <f>VLOOKUP(F193,Countries!$A$1:$B$161,2,0)</f>
        <v>Great Britain (United Kingdom)</v>
      </c>
    </row>
    <row r="194" spans="1:8" x14ac:dyDescent="0.3">
      <c r="A194" s="3">
        <v>46264.994583333333</v>
      </c>
      <c r="B194" s="1">
        <v>7.48</v>
      </c>
      <c r="C194" s="1">
        <v>6.46</v>
      </c>
      <c r="D194" s="1">
        <v>0.54</v>
      </c>
      <c r="E194" s="1" t="s">
        <v>119</v>
      </c>
      <c r="F194" s="1" t="s">
        <v>119</v>
      </c>
      <c r="G194" s="1" t="s">
        <v>119</v>
      </c>
      <c r="H194" s="1" t="str">
        <f>VLOOKUP(F194,Countries!$A$1:$B$161,2,0)</f>
        <v>Great Britain (United Kingdom)</v>
      </c>
    </row>
    <row r="195" spans="1:8" x14ac:dyDescent="0.3">
      <c r="A195" s="3">
        <v>46264.988298611112</v>
      </c>
      <c r="B195" s="1">
        <v>59.03</v>
      </c>
      <c r="C195" s="1">
        <v>50.96</v>
      </c>
      <c r="D195" s="1">
        <v>2.93</v>
      </c>
      <c r="E195" s="1" t="s">
        <v>113</v>
      </c>
      <c r="F195" s="1" t="s">
        <v>113</v>
      </c>
      <c r="G195" s="1" t="s">
        <v>113</v>
      </c>
      <c r="H195" s="1" t="str">
        <f>VLOOKUP(F195,Countries!$A$1:$B$161,2,0)</f>
        <v>United States of America</v>
      </c>
    </row>
    <row r="196" spans="1:8" x14ac:dyDescent="0.3">
      <c r="A196" s="3">
        <v>46264.977129629631</v>
      </c>
      <c r="B196" s="1">
        <v>6.37</v>
      </c>
      <c r="C196" s="1">
        <v>5.5</v>
      </c>
      <c r="D196" s="1">
        <v>0.54</v>
      </c>
      <c r="E196" s="1" t="s">
        <v>113</v>
      </c>
      <c r="F196" s="1" t="s">
        <v>113</v>
      </c>
      <c r="G196" s="1" t="s">
        <v>113</v>
      </c>
      <c r="H196" s="1" t="str">
        <f>VLOOKUP(F196,Countries!$A$1:$B$161,2,0)</f>
        <v>United States of America</v>
      </c>
    </row>
    <row r="197" spans="1:8" x14ac:dyDescent="0.3">
      <c r="A197" s="3">
        <v>46264.961493055547</v>
      </c>
      <c r="B197" s="1">
        <v>6.37</v>
      </c>
      <c r="C197" s="1">
        <v>5.5</v>
      </c>
      <c r="D197" s="1">
        <v>0.54</v>
      </c>
      <c r="E197" s="1" t="s">
        <v>113</v>
      </c>
      <c r="F197" s="1" t="s">
        <v>113</v>
      </c>
      <c r="G197" s="1" t="s">
        <v>113</v>
      </c>
      <c r="H197" s="1" t="str">
        <f>VLOOKUP(F197,Countries!$A$1:$B$161,2,0)</f>
        <v>United States of America</v>
      </c>
    </row>
    <row r="198" spans="1:8" x14ac:dyDescent="0.3">
      <c r="A198" s="3">
        <v>46264.936006944437</v>
      </c>
      <c r="B198" s="1">
        <v>5.99</v>
      </c>
      <c r="C198" s="1">
        <v>5.17</v>
      </c>
      <c r="D198" s="1">
        <v>0.52</v>
      </c>
      <c r="E198" s="1" t="s">
        <v>113</v>
      </c>
      <c r="F198" s="1" t="s">
        <v>113</v>
      </c>
      <c r="G198" s="1" t="s">
        <v>113</v>
      </c>
      <c r="H198" s="1" t="str">
        <f>VLOOKUP(F198,Countries!$A$1:$B$161,2,0)</f>
        <v>United States of America</v>
      </c>
    </row>
    <row r="199" spans="1:8" x14ac:dyDescent="0.3">
      <c r="A199" s="3">
        <v>46264.922835648147</v>
      </c>
      <c r="B199" s="1">
        <v>10.62</v>
      </c>
      <c r="C199" s="1">
        <v>9.17</v>
      </c>
      <c r="D199" s="1">
        <v>0.73</v>
      </c>
      <c r="E199" s="1" t="s">
        <v>113</v>
      </c>
      <c r="F199" s="1" t="s">
        <v>113</v>
      </c>
      <c r="G199" s="1" t="s">
        <v>113</v>
      </c>
      <c r="H199" s="1" t="str">
        <f>VLOOKUP(F199,Countries!$A$1:$B$161,2,0)</f>
        <v>United States of America</v>
      </c>
    </row>
    <row r="200" spans="1:8" x14ac:dyDescent="0.3">
      <c r="A200" s="3">
        <v>46264.917037037027</v>
      </c>
      <c r="B200" s="1">
        <v>6.37</v>
      </c>
      <c r="C200" s="1">
        <v>5.5</v>
      </c>
      <c r="D200" s="1">
        <v>0.54</v>
      </c>
      <c r="E200" s="1" t="s">
        <v>113</v>
      </c>
      <c r="F200" s="1" t="s">
        <v>113</v>
      </c>
      <c r="G200" s="1" t="s">
        <v>113</v>
      </c>
      <c r="H200" s="1" t="str">
        <f>VLOOKUP(F200,Countries!$A$1:$B$161,2,0)</f>
        <v>United States of America</v>
      </c>
    </row>
    <row r="201" spans="1:8" x14ac:dyDescent="0.3">
      <c r="A201" s="3">
        <v>46264.914340277777</v>
      </c>
      <c r="B201" s="1">
        <v>7.58</v>
      </c>
      <c r="C201" s="1">
        <v>6.55</v>
      </c>
      <c r="D201" s="1">
        <v>0.48</v>
      </c>
      <c r="E201" s="1" t="s">
        <v>116</v>
      </c>
      <c r="F201" s="1" t="s">
        <v>116</v>
      </c>
      <c r="G201" s="1" t="s">
        <v>116</v>
      </c>
      <c r="H201" s="1" t="str">
        <f>VLOOKUP(F201,Countries!$A$1:$B$161,2,0)</f>
        <v>Spain</v>
      </c>
    </row>
    <row r="202" spans="1:8" x14ac:dyDescent="0.3">
      <c r="A202" s="3">
        <v>46264.898182870369</v>
      </c>
      <c r="B202" s="1">
        <v>10.85</v>
      </c>
      <c r="C202" s="1">
        <v>9.3699999999999992</v>
      </c>
      <c r="D202" s="1">
        <v>0.74</v>
      </c>
      <c r="E202" s="1" t="s">
        <v>115</v>
      </c>
      <c r="F202" s="1" t="s">
        <v>115</v>
      </c>
      <c r="G202" s="1" t="s">
        <v>115</v>
      </c>
      <c r="H202" s="1" t="str">
        <f>VLOOKUP(F202,Countries!$A$1:$B$161,2,0)</f>
        <v>Switzerland</v>
      </c>
    </row>
    <row r="203" spans="1:8" x14ac:dyDescent="0.3">
      <c r="A203" s="3">
        <v>46264.879074074073</v>
      </c>
      <c r="B203" s="1">
        <v>10.85</v>
      </c>
      <c r="C203" s="1">
        <v>9.3699999999999992</v>
      </c>
      <c r="D203" s="1">
        <v>0.74</v>
      </c>
      <c r="E203" s="1" t="s">
        <v>115</v>
      </c>
      <c r="F203" s="1" t="s">
        <v>115</v>
      </c>
      <c r="G203" s="1" t="s">
        <v>115</v>
      </c>
      <c r="H203" s="1" t="str">
        <f>VLOOKUP(F203,Countries!$A$1:$B$161,2,0)</f>
        <v>Switzerland</v>
      </c>
    </row>
    <row r="204" spans="1:8" x14ac:dyDescent="0.3">
      <c r="A204" s="3">
        <v>46264.873252314806</v>
      </c>
      <c r="B204" s="1">
        <v>6.37</v>
      </c>
      <c r="C204" s="1">
        <v>5.5</v>
      </c>
      <c r="D204" s="1">
        <v>0.54</v>
      </c>
      <c r="E204" s="1" t="s">
        <v>113</v>
      </c>
      <c r="F204" s="1" t="s">
        <v>113</v>
      </c>
      <c r="G204" s="1" t="s">
        <v>113</v>
      </c>
      <c r="H204" s="1" t="str">
        <f>VLOOKUP(F204,Countries!$A$1:$B$161,2,0)</f>
        <v>United States of America</v>
      </c>
    </row>
    <row r="205" spans="1:8" x14ac:dyDescent="0.3">
      <c r="A205" s="3">
        <v>46264.865219907413</v>
      </c>
      <c r="B205" s="1">
        <v>10.85</v>
      </c>
      <c r="C205" s="1">
        <v>9.3699999999999992</v>
      </c>
      <c r="D205" s="1">
        <v>0.74</v>
      </c>
      <c r="E205" s="1" t="s">
        <v>115</v>
      </c>
      <c r="F205" s="1" t="s">
        <v>115</v>
      </c>
      <c r="G205" s="1" t="s">
        <v>115</v>
      </c>
      <c r="H205" s="1" t="str">
        <f>VLOOKUP(F205,Countries!$A$1:$B$161,2,0)</f>
        <v>Switzerland</v>
      </c>
    </row>
    <row r="206" spans="1:8" x14ac:dyDescent="0.3">
      <c r="A206" s="3">
        <v>46264.862326388888</v>
      </c>
      <c r="B206" s="1">
        <v>15.43</v>
      </c>
      <c r="C206" s="1">
        <v>13.32</v>
      </c>
      <c r="D206" s="1">
        <v>0.95</v>
      </c>
      <c r="E206" s="1" t="s">
        <v>130</v>
      </c>
      <c r="F206" s="1" t="s">
        <v>130</v>
      </c>
      <c r="G206" s="1" t="s">
        <v>130</v>
      </c>
      <c r="H206" s="1" t="str">
        <f>VLOOKUP(F206,Countries!$A$1:$B$161,2,0)</f>
        <v>Australia</v>
      </c>
    </row>
    <row r="207" spans="1:8" x14ac:dyDescent="0.3">
      <c r="A207" s="3">
        <v>46264.853912037041</v>
      </c>
      <c r="B207" s="1">
        <v>2.99</v>
      </c>
      <c r="C207" s="1">
        <v>2.58</v>
      </c>
      <c r="D207" s="1">
        <v>0.38</v>
      </c>
      <c r="E207" s="1" t="s">
        <v>135</v>
      </c>
      <c r="F207" s="1" t="s">
        <v>135</v>
      </c>
      <c r="G207" s="1" t="s">
        <v>135</v>
      </c>
      <c r="H207" s="1" t="str">
        <f>VLOOKUP(F207,Countries!$A$1:$B$161,2,0)</f>
        <v>Kuwait</v>
      </c>
    </row>
    <row r="208" spans="1:8" x14ac:dyDescent="0.3">
      <c r="A208" s="3">
        <v>46264.852754629632</v>
      </c>
      <c r="B208" s="1">
        <v>10.85</v>
      </c>
      <c r="C208" s="1">
        <v>9.3699999999999992</v>
      </c>
      <c r="D208" s="1">
        <v>0.74</v>
      </c>
      <c r="E208" s="1" t="s">
        <v>115</v>
      </c>
      <c r="F208" s="1" t="s">
        <v>115</v>
      </c>
      <c r="G208" s="1" t="s">
        <v>115</v>
      </c>
      <c r="H208" s="1" t="str">
        <f>VLOOKUP(F208,Countries!$A$1:$B$161,2,0)</f>
        <v>Switzerland</v>
      </c>
    </row>
    <row r="209" spans="1:8" x14ac:dyDescent="0.3">
      <c r="A209" s="3">
        <v>46264.848032407397</v>
      </c>
      <c r="B209" s="1">
        <v>17.760000000000002</v>
      </c>
      <c r="C209" s="1">
        <v>15.33</v>
      </c>
      <c r="D209" s="1">
        <v>1.06</v>
      </c>
      <c r="E209" s="1" t="s">
        <v>130</v>
      </c>
      <c r="F209" s="1" t="s">
        <v>130</v>
      </c>
      <c r="G209" s="1" t="s">
        <v>130</v>
      </c>
      <c r="H209" s="1" t="str">
        <f>VLOOKUP(F209,Countries!$A$1:$B$161,2,0)</f>
        <v>Australia</v>
      </c>
    </row>
    <row r="210" spans="1:8" x14ac:dyDescent="0.3">
      <c r="A210" s="3">
        <v>46264.84715277778</v>
      </c>
      <c r="B210" s="1">
        <v>6.37</v>
      </c>
      <c r="C210" s="1">
        <v>5.5</v>
      </c>
      <c r="D210" s="1">
        <v>0.54</v>
      </c>
      <c r="E210" s="1" t="s">
        <v>113</v>
      </c>
      <c r="F210" s="1" t="s">
        <v>113</v>
      </c>
      <c r="G210" s="1" t="s">
        <v>113</v>
      </c>
      <c r="H210" s="1" t="str">
        <f>VLOOKUP(F210,Countries!$A$1:$B$161,2,0)</f>
        <v>United States of America</v>
      </c>
    </row>
    <row r="211" spans="1:8" x14ac:dyDescent="0.3">
      <c r="A211" s="3">
        <v>46264.845590277779</v>
      </c>
      <c r="B211" s="1">
        <v>6.37</v>
      </c>
      <c r="C211" s="1">
        <v>5.5</v>
      </c>
      <c r="D211" s="1">
        <v>0.54</v>
      </c>
      <c r="E211" s="1" t="s">
        <v>113</v>
      </c>
      <c r="F211" s="1" t="s">
        <v>113</v>
      </c>
      <c r="G211" s="1" t="s">
        <v>113</v>
      </c>
      <c r="H211" s="1" t="str">
        <f>VLOOKUP(F211,Countries!$A$1:$B$161,2,0)</f>
        <v>United States of America</v>
      </c>
    </row>
    <row r="212" spans="1:8" x14ac:dyDescent="0.3">
      <c r="A212" s="3">
        <v>46264.842592592591</v>
      </c>
      <c r="B212" s="1">
        <v>10.85</v>
      </c>
      <c r="C212" s="1">
        <v>9.3699999999999992</v>
      </c>
      <c r="D212" s="1">
        <v>0.74</v>
      </c>
      <c r="E212" s="1" t="s">
        <v>115</v>
      </c>
      <c r="F212" s="1" t="s">
        <v>115</v>
      </c>
      <c r="G212" s="1" t="s">
        <v>115</v>
      </c>
      <c r="H212" s="1" t="str">
        <f>VLOOKUP(F212,Countries!$A$1:$B$161,2,0)</f>
        <v>Switzerland</v>
      </c>
    </row>
    <row r="213" spans="1:8" x14ac:dyDescent="0.3">
      <c r="A213" s="3">
        <v>46264.840567129628</v>
      </c>
      <c r="B213" s="1">
        <v>7.48</v>
      </c>
      <c r="C213" s="1">
        <v>6.46</v>
      </c>
      <c r="D213" s="1">
        <v>0.59</v>
      </c>
      <c r="E213" s="1" t="s">
        <v>123</v>
      </c>
      <c r="F213" s="1" t="s">
        <v>141</v>
      </c>
      <c r="G213" s="1" t="s">
        <v>141</v>
      </c>
      <c r="H213" s="1" t="str">
        <f>VLOOKUP(F213,Countries!$A$1:$B$161,2,0)</f>
        <v>Senegal</v>
      </c>
    </row>
    <row r="214" spans="1:8" x14ac:dyDescent="0.3">
      <c r="A214" s="3">
        <v>46264.823136574072</v>
      </c>
      <c r="B214" s="1">
        <v>2.99</v>
      </c>
      <c r="C214" s="1">
        <v>2.58</v>
      </c>
      <c r="D214" s="1">
        <v>0.38</v>
      </c>
      <c r="E214" s="1" t="s">
        <v>142</v>
      </c>
      <c r="F214" s="1" t="s">
        <v>142</v>
      </c>
      <c r="G214" s="1" t="s">
        <v>142</v>
      </c>
      <c r="H214" s="1" t="str">
        <f>VLOOKUP(F214,Countries!$A$1:$B$161,2,0)</f>
        <v>India</v>
      </c>
    </row>
    <row r="215" spans="1:8" x14ac:dyDescent="0.3">
      <c r="A215" s="3">
        <v>46264.813819444447</v>
      </c>
      <c r="B215" s="1">
        <v>3.99</v>
      </c>
      <c r="C215" s="1">
        <v>3.44</v>
      </c>
      <c r="D215" s="1">
        <v>0.43</v>
      </c>
      <c r="E215" s="1" t="s">
        <v>121</v>
      </c>
      <c r="F215" s="1" t="s">
        <v>121</v>
      </c>
      <c r="G215" s="1" t="s">
        <v>121</v>
      </c>
      <c r="H215" s="1" t="str">
        <f>VLOOKUP(F215,Countries!$A$1:$B$161,2,0)</f>
        <v>Japan</v>
      </c>
    </row>
    <row r="216" spans="1:8" x14ac:dyDescent="0.3">
      <c r="A216" s="3">
        <v>46264.804282407407</v>
      </c>
      <c r="B216" s="1">
        <v>42.09</v>
      </c>
      <c r="C216" s="1">
        <v>36.33</v>
      </c>
      <c r="D216" s="1">
        <v>2.16</v>
      </c>
      <c r="E216" s="1" t="s">
        <v>143</v>
      </c>
      <c r="F216" s="1" t="s">
        <v>143</v>
      </c>
      <c r="G216" s="1" t="s">
        <v>143</v>
      </c>
      <c r="H216" s="1" t="str">
        <f>VLOOKUP(F216,Countries!$A$1:$B$161,2,0)</f>
        <v>United Arab Emirates</v>
      </c>
    </row>
    <row r="217" spans="1:8" x14ac:dyDescent="0.3">
      <c r="A217" s="3">
        <v>46264.801678240743</v>
      </c>
      <c r="B217" s="1">
        <v>10.51</v>
      </c>
      <c r="C217" s="1">
        <v>9.07</v>
      </c>
      <c r="D217" s="1">
        <v>0.72</v>
      </c>
      <c r="E217" s="1" t="s">
        <v>132</v>
      </c>
      <c r="F217" s="1" t="s">
        <v>132</v>
      </c>
      <c r="G217" s="1" t="s">
        <v>132</v>
      </c>
      <c r="H217" s="1" t="str">
        <f>VLOOKUP(F217,Countries!$A$1:$B$161,2,0)</f>
        <v>Canada</v>
      </c>
    </row>
    <row r="218" spans="1:8" x14ac:dyDescent="0.3">
      <c r="A218" s="3">
        <v>46264.799942129634</v>
      </c>
      <c r="B218" s="1">
        <v>14.77</v>
      </c>
      <c r="C218" s="1">
        <v>12.75</v>
      </c>
      <c r="D218" s="1">
        <v>0.92</v>
      </c>
      <c r="E218" s="1" t="s">
        <v>113</v>
      </c>
      <c r="F218" s="1" t="s">
        <v>113</v>
      </c>
      <c r="G218" s="1" t="s">
        <v>113</v>
      </c>
      <c r="H218" s="1" t="str">
        <f>VLOOKUP(F218,Countries!$A$1:$B$161,2,0)</f>
        <v>United States of America</v>
      </c>
    </row>
    <row r="219" spans="1:8" x14ac:dyDescent="0.3">
      <c r="A219" s="3">
        <v>46264.799340277779</v>
      </c>
      <c r="B219" s="1">
        <v>10.62</v>
      </c>
      <c r="C219" s="1">
        <v>9.17</v>
      </c>
      <c r="D219" s="1">
        <v>0.73</v>
      </c>
      <c r="E219" s="1" t="s">
        <v>113</v>
      </c>
      <c r="F219" s="1" t="s">
        <v>113</v>
      </c>
      <c r="G219" s="1" t="s">
        <v>113</v>
      </c>
      <c r="H219" s="1" t="str">
        <f>VLOOKUP(F219,Countries!$A$1:$B$161,2,0)</f>
        <v>United States of America</v>
      </c>
    </row>
    <row r="220" spans="1:8" x14ac:dyDescent="0.3">
      <c r="A220" s="3">
        <v>46264.78738425926</v>
      </c>
      <c r="B220" s="1">
        <v>6.37</v>
      </c>
      <c r="C220" s="1">
        <v>5.5</v>
      </c>
      <c r="D220" s="1">
        <v>0.54</v>
      </c>
      <c r="E220" s="1" t="s">
        <v>113</v>
      </c>
      <c r="F220" s="1" t="s">
        <v>113</v>
      </c>
      <c r="G220" s="1" t="s">
        <v>113</v>
      </c>
      <c r="H220" s="1" t="str">
        <f>VLOOKUP(F220,Countries!$A$1:$B$161,2,0)</f>
        <v>United States of America</v>
      </c>
    </row>
    <row r="221" spans="1:8" x14ac:dyDescent="0.3">
      <c r="A221" s="3">
        <v>46264.769791666673</v>
      </c>
      <c r="B221" s="1">
        <v>3.39</v>
      </c>
      <c r="C221" s="1">
        <v>2.93</v>
      </c>
      <c r="D221" s="1">
        <v>0.41</v>
      </c>
      <c r="E221" s="1" t="s">
        <v>114</v>
      </c>
      <c r="F221" s="1" t="s">
        <v>114</v>
      </c>
      <c r="G221" s="1" t="s">
        <v>114</v>
      </c>
      <c r="H221" s="1" t="str">
        <f>VLOOKUP(F221,Countries!$A$1:$B$161,2,0)</f>
        <v>Philippines</v>
      </c>
    </row>
    <row r="222" spans="1:8" x14ac:dyDescent="0.3">
      <c r="A222" s="3">
        <v>46264.753310185188</v>
      </c>
      <c r="B222" s="1">
        <v>7.58</v>
      </c>
      <c r="C222" s="1">
        <v>6.54</v>
      </c>
      <c r="D222" s="1">
        <v>0.48</v>
      </c>
      <c r="E222" s="1" t="s">
        <v>116</v>
      </c>
      <c r="F222" s="1" t="s">
        <v>116</v>
      </c>
      <c r="G222" s="1" t="s">
        <v>116</v>
      </c>
      <c r="H222" s="1" t="str">
        <f>VLOOKUP(F222,Countries!$A$1:$B$161,2,0)</f>
        <v>Spain</v>
      </c>
    </row>
    <row r="223" spans="1:8" x14ac:dyDescent="0.3">
      <c r="A223" s="3">
        <v>46264.747800925928</v>
      </c>
      <c r="B223" s="1">
        <v>7.48</v>
      </c>
      <c r="C223" s="1">
        <v>6.46</v>
      </c>
      <c r="D223" s="1">
        <v>0.48</v>
      </c>
      <c r="E223" s="1" t="s">
        <v>123</v>
      </c>
      <c r="F223" s="1" t="s">
        <v>123</v>
      </c>
      <c r="G223" s="1" t="s">
        <v>123</v>
      </c>
      <c r="H223" s="1" t="str">
        <f>VLOOKUP(F223,Countries!$A$1:$B$161,2,0)</f>
        <v>France</v>
      </c>
    </row>
    <row r="224" spans="1:8" x14ac:dyDescent="0.3">
      <c r="A224" s="3">
        <v>46264.743923611109</v>
      </c>
      <c r="B224" s="1">
        <v>2.99</v>
      </c>
      <c r="C224" s="1">
        <v>2.58</v>
      </c>
      <c r="D224" s="1">
        <v>0.38</v>
      </c>
      <c r="E224" s="1" t="s">
        <v>144</v>
      </c>
      <c r="F224" s="1" t="s">
        <v>144</v>
      </c>
      <c r="G224" s="1" t="s">
        <v>144</v>
      </c>
      <c r="H224" s="1" t="str">
        <f>VLOOKUP(F224,Countries!$A$1:$B$161,2,0)</f>
        <v>Uruguay</v>
      </c>
    </row>
    <row r="225" spans="1:8" x14ac:dyDescent="0.3">
      <c r="A225" s="3">
        <v>46264.72724537037</v>
      </c>
      <c r="B225" s="1">
        <v>2.99</v>
      </c>
      <c r="C225" s="1">
        <v>2.58</v>
      </c>
      <c r="D225" s="1">
        <v>0.38</v>
      </c>
      <c r="E225" s="1" t="s">
        <v>145</v>
      </c>
      <c r="F225" s="1" t="s">
        <v>145</v>
      </c>
      <c r="G225" s="1" t="s">
        <v>145</v>
      </c>
      <c r="H225" s="1" t="str">
        <f>VLOOKUP(F225,Countries!$A$1:$B$161,2,0)</f>
        <v>Thailand</v>
      </c>
    </row>
    <row r="226" spans="1:8" x14ac:dyDescent="0.3">
      <c r="A226" s="3">
        <v>46264.721215277779</v>
      </c>
      <c r="B226" s="1">
        <v>4.24</v>
      </c>
      <c r="C226" s="1">
        <v>3.66</v>
      </c>
      <c r="D226" s="1">
        <v>0.44</v>
      </c>
      <c r="E226" s="1" t="s">
        <v>113</v>
      </c>
      <c r="F226" s="1" t="s">
        <v>113</v>
      </c>
      <c r="G226" s="1" t="s">
        <v>113</v>
      </c>
      <c r="H226" s="1" t="str">
        <f>VLOOKUP(F226,Countries!$A$1:$B$161,2,0)</f>
        <v>United States of America</v>
      </c>
    </row>
    <row r="227" spans="1:8" x14ac:dyDescent="0.3">
      <c r="A227" s="3">
        <v>46264.716666666667</v>
      </c>
      <c r="B227" s="1">
        <v>84.2</v>
      </c>
      <c r="C227" s="1">
        <v>72.7</v>
      </c>
      <c r="D227" s="1">
        <v>4.0599999999999996</v>
      </c>
      <c r="E227" s="1" t="s">
        <v>143</v>
      </c>
      <c r="F227" s="1" t="s">
        <v>143</v>
      </c>
      <c r="G227" s="1" t="s">
        <v>143</v>
      </c>
      <c r="H227" s="1" t="str">
        <f>VLOOKUP(F227,Countries!$A$1:$B$161,2,0)</f>
        <v>United Arab Emirates</v>
      </c>
    </row>
    <row r="228" spans="1:8" x14ac:dyDescent="0.3">
      <c r="A228" s="3">
        <v>46264.716249999998</v>
      </c>
      <c r="B228" s="1">
        <v>10.85</v>
      </c>
      <c r="C228" s="1">
        <v>9.3699999999999992</v>
      </c>
      <c r="D228" s="1">
        <v>0.74</v>
      </c>
      <c r="E228" s="1" t="s">
        <v>115</v>
      </c>
      <c r="F228" s="1" t="s">
        <v>115</v>
      </c>
      <c r="G228" s="1" t="s">
        <v>115</v>
      </c>
      <c r="H228" s="1" t="str">
        <f>VLOOKUP(F228,Countries!$A$1:$B$161,2,0)</f>
        <v>Switzerland</v>
      </c>
    </row>
    <row r="229" spans="1:8" x14ac:dyDescent="0.3">
      <c r="A229" s="3">
        <v>46264.70553240741</v>
      </c>
      <c r="B229" s="1">
        <v>43.43</v>
      </c>
      <c r="C229" s="1">
        <v>37.5</v>
      </c>
      <c r="D229" s="1">
        <v>1.56</v>
      </c>
      <c r="E229" s="1" t="s">
        <v>146</v>
      </c>
      <c r="F229" s="1" t="s">
        <v>123</v>
      </c>
      <c r="G229" s="1" t="s">
        <v>123</v>
      </c>
      <c r="H229" s="1" t="str">
        <f>VLOOKUP(F229,Countries!$A$1:$B$161,2,0)</f>
        <v>France</v>
      </c>
    </row>
    <row r="230" spans="1:8" x14ac:dyDescent="0.3">
      <c r="A230" s="3">
        <v>46264.701967592591</v>
      </c>
      <c r="B230" s="1">
        <v>7.48</v>
      </c>
      <c r="C230" s="1">
        <v>6.46</v>
      </c>
      <c r="D230" s="1">
        <v>0.54</v>
      </c>
      <c r="E230" s="1" t="s">
        <v>119</v>
      </c>
      <c r="F230" s="1" t="s">
        <v>119</v>
      </c>
      <c r="G230" s="1" t="s">
        <v>119</v>
      </c>
      <c r="H230" s="1" t="str">
        <f>VLOOKUP(F230,Countries!$A$1:$B$161,2,0)</f>
        <v>Great Britain (United Kingdom)</v>
      </c>
    </row>
    <row r="231" spans="1:8" x14ac:dyDescent="0.3">
      <c r="A231" s="3">
        <v>46264.692627314813</v>
      </c>
      <c r="B231" s="1">
        <v>12.48</v>
      </c>
      <c r="C231" s="1">
        <v>10.77</v>
      </c>
      <c r="D231" s="1">
        <v>0.63</v>
      </c>
      <c r="E231" s="1" t="s">
        <v>146</v>
      </c>
      <c r="F231" s="1" t="s">
        <v>123</v>
      </c>
      <c r="G231" s="1" t="s">
        <v>123</v>
      </c>
      <c r="H231" s="1" t="str">
        <f>VLOOKUP(F231,Countries!$A$1:$B$161,2,0)</f>
        <v>France</v>
      </c>
    </row>
    <row r="232" spans="1:8" x14ac:dyDescent="0.3">
      <c r="A232" s="3">
        <v>46264.69195601852</v>
      </c>
      <c r="B232" s="1">
        <v>29.57</v>
      </c>
      <c r="C232" s="1">
        <v>25.53</v>
      </c>
      <c r="D232" s="1">
        <v>1.59</v>
      </c>
      <c r="E232" s="1" t="s">
        <v>113</v>
      </c>
      <c r="F232" s="1" t="s">
        <v>113</v>
      </c>
      <c r="G232" s="1" t="s">
        <v>113</v>
      </c>
      <c r="H232" s="1" t="str">
        <f>VLOOKUP(F232,Countries!$A$1:$B$161,2,0)</f>
        <v>United States of America</v>
      </c>
    </row>
    <row r="233" spans="1:8" x14ac:dyDescent="0.3">
      <c r="A233" s="3">
        <v>46264.689085648148</v>
      </c>
      <c r="B233" s="1">
        <v>10.85</v>
      </c>
      <c r="C233" s="1">
        <v>9.3699999999999992</v>
      </c>
      <c r="D233" s="1">
        <v>0.74</v>
      </c>
      <c r="E233" s="1" t="s">
        <v>115</v>
      </c>
      <c r="F233" s="1" t="s">
        <v>115</v>
      </c>
      <c r="G233" s="1" t="s">
        <v>115</v>
      </c>
      <c r="H233" s="1" t="str">
        <f>VLOOKUP(F233,Countries!$A$1:$B$161,2,0)</f>
        <v>Switzerland</v>
      </c>
    </row>
    <row r="234" spans="1:8" x14ac:dyDescent="0.3">
      <c r="A234" s="3">
        <v>46264.685300925928</v>
      </c>
      <c r="B234" s="1">
        <v>157.88</v>
      </c>
      <c r="C234" s="1">
        <v>136.31</v>
      </c>
      <c r="D234" s="1">
        <v>7.41</v>
      </c>
      <c r="E234" s="1" t="s">
        <v>143</v>
      </c>
      <c r="F234" s="1" t="s">
        <v>143</v>
      </c>
      <c r="G234" s="1" t="s">
        <v>143</v>
      </c>
      <c r="H234" s="1" t="str">
        <f>VLOOKUP(F234,Countries!$A$1:$B$161,2,0)</f>
        <v>United Arab Emirates</v>
      </c>
    </row>
    <row r="235" spans="1:8" x14ac:dyDescent="0.3">
      <c r="A235" s="3">
        <v>46264.682511574072</v>
      </c>
      <c r="B235" s="1">
        <v>10.85</v>
      </c>
      <c r="C235" s="1">
        <v>9.3699999999999992</v>
      </c>
      <c r="D235" s="1">
        <v>0.74</v>
      </c>
      <c r="E235" s="1" t="s">
        <v>115</v>
      </c>
      <c r="F235" s="1" t="s">
        <v>115</v>
      </c>
      <c r="G235" s="1" t="s">
        <v>115</v>
      </c>
      <c r="H235" s="1" t="str">
        <f>VLOOKUP(F235,Countries!$A$1:$B$161,2,0)</f>
        <v>Switzerland</v>
      </c>
    </row>
    <row r="236" spans="1:8" x14ac:dyDescent="0.3">
      <c r="A236" s="3">
        <v>46264.679652777777</v>
      </c>
      <c r="B236" s="1">
        <v>6.37</v>
      </c>
      <c r="C236" s="1">
        <v>5.5</v>
      </c>
      <c r="D236" s="1">
        <v>0.54</v>
      </c>
      <c r="E236" s="1" t="s">
        <v>113</v>
      </c>
      <c r="F236" s="1" t="s">
        <v>113</v>
      </c>
      <c r="G236" s="1" t="s">
        <v>113</v>
      </c>
      <c r="H236" s="1" t="str">
        <f>VLOOKUP(F236,Countries!$A$1:$B$161,2,0)</f>
        <v>United States of America</v>
      </c>
    </row>
    <row r="237" spans="1:8" x14ac:dyDescent="0.3">
      <c r="A237" s="3">
        <v>46264.674456018518</v>
      </c>
      <c r="B237" s="1">
        <v>14.77</v>
      </c>
      <c r="C237" s="1">
        <v>12.75</v>
      </c>
      <c r="D237" s="1">
        <v>0.92</v>
      </c>
      <c r="E237" s="1" t="s">
        <v>113</v>
      </c>
      <c r="F237" s="1" t="s">
        <v>113</v>
      </c>
      <c r="G237" s="1" t="s">
        <v>113</v>
      </c>
      <c r="H237" s="1" t="str">
        <f>VLOOKUP(F237,Countries!$A$1:$B$161,2,0)</f>
        <v>United States of America</v>
      </c>
    </row>
    <row r="238" spans="1:8" x14ac:dyDescent="0.3">
      <c r="A238" s="3">
        <v>46264.673622685194</v>
      </c>
      <c r="B238" s="1">
        <v>3.73</v>
      </c>
      <c r="C238" s="1">
        <v>3.22</v>
      </c>
      <c r="D238" s="1">
        <v>0.39</v>
      </c>
      <c r="E238" s="1" t="s">
        <v>119</v>
      </c>
      <c r="F238" s="1" t="s">
        <v>119</v>
      </c>
      <c r="G238" s="1" t="s">
        <v>119</v>
      </c>
      <c r="H238" s="1" t="str">
        <f>VLOOKUP(F238,Countries!$A$1:$B$161,2,0)</f>
        <v>Great Britain (United Kingdom)</v>
      </c>
    </row>
    <row r="239" spans="1:8" x14ac:dyDescent="0.3">
      <c r="A239" s="3">
        <v>46264.671342592592</v>
      </c>
      <c r="B239" s="1">
        <v>10.62</v>
      </c>
      <c r="C239" s="1">
        <v>9.17</v>
      </c>
      <c r="D239" s="1">
        <v>0.73</v>
      </c>
      <c r="E239" s="1" t="s">
        <v>113</v>
      </c>
      <c r="F239" s="1" t="s">
        <v>113</v>
      </c>
      <c r="G239" s="1" t="s">
        <v>113</v>
      </c>
      <c r="H239" s="1" t="str">
        <f>VLOOKUP(F239,Countries!$A$1:$B$161,2,0)</f>
        <v>United States of America</v>
      </c>
    </row>
    <row r="240" spans="1:8" x14ac:dyDescent="0.3">
      <c r="A240" s="3">
        <v>46264.667407407411</v>
      </c>
      <c r="B240" s="1">
        <v>10.85</v>
      </c>
      <c r="C240" s="1">
        <v>9.3699999999999992</v>
      </c>
      <c r="D240" s="1">
        <v>0.74</v>
      </c>
      <c r="E240" s="1" t="s">
        <v>115</v>
      </c>
      <c r="F240" s="1" t="s">
        <v>115</v>
      </c>
      <c r="G240" s="1" t="s">
        <v>115</v>
      </c>
      <c r="H240" s="1" t="str">
        <f>VLOOKUP(F240,Countries!$A$1:$B$161,2,0)</f>
        <v>Switzerland</v>
      </c>
    </row>
    <row r="241" spans="1:8" x14ac:dyDescent="0.3">
      <c r="A241" s="3">
        <v>46264.662881944438</v>
      </c>
      <c r="B241" s="1">
        <v>10.85</v>
      </c>
      <c r="C241" s="1">
        <v>9.3699999999999992</v>
      </c>
      <c r="D241" s="1">
        <v>0.74</v>
      </c>
      <c r="E241" s="1" t="s">
        <v>115</v>
      </c>
      <c r="F241" s="1" t="s">
        <v>115</v>
      </c>
      <c r="G241" s="1" t="s">
        <v>115</v>
      </c>
      <c r="H241" s="1" t="str">
        <f>VLOOKUP(F241,Countries!$A$1:$B$161,2,0)</f>
        <v>Switzerland</v>
      </c>
    </row>
    <row r="242" spans="1:8" x14ac:dyDescent="0.3">
      <c r="A242" s="3">
        <v>46264.65934027778</v>
      </c>
      <c r="B242" s="1">
        <v>2.99</v>
      </c>
      <c r="C242" s="1">
        <v>2.58</v>
      </c>
      <c r="D242" s="1">
        <v>0.38</v>
      </c>
      <c r="E242" s="1" t="s">
        <v>113</v>
      </c>
      <c r="F242" s="1" t="s">
        <v>113</v>
      </c>
      <c r="G242" s="1" t="s">
        <v>113</v>
      </c>
      <c r="H242" s="1" t="str">
        <f>VLOOKUP(F242,Countries!$A$1:$B$161,2,0)</f>
        <v>United States of America</v>
      </c>
    </row>
    <row r="243" spans="1:8" x14ac:dyDescent="0.3">
      <c r="A243" s="3">
        <v>46264.658194444448</v>
      </c>
      <c r="B243" s="1">
        <v>6.37</v>
      </c>
      <c r="C243" s="1">
        <v>5.5</v>
      </c>
      <c r="D243" s="1">
        <v>0.54</v>
      </c>
      <c r="E243" s="1" t="s">
        <v>113</v>
      </c>
      <c r="F243" s="1" t="s">
        <v>113</v>
      </c>
      <c r="G243" s="1" t="s">
        <v>113</v>
      </c>
      <c r="H243" s="1" t="str">
        <f>VLOOKUP(F243,Countries!$A$1:$B$161,2,0)</f>
        <v>United States of America</v>
      </c>
    </row>
    <row r="244" spans="1:8" x14ac:dyDescent="0.3">
      <c r="A244" s="3">
        <v>46264.653356481482</v>
      </c>
      <c r="B244" s="1">
        <v>10.85</v>
      </c>
      <c r="C244" s="1">
        <v>9.3699999999999992</v>
      </c>
      <c r="D244" s="1">
        <v>0.74</v>
      </c>
      <c r="E244" s="1" t="s">
        <v>115</v>
      </c>
      <c r="F244" s="1" t="s">
        <v>115</v>
      </c>
      <c r="G244" s="1" t="s">
        <v>115</v>
      </c>
      <c r="H244" s="1" t="str">
        <f>VLOOKUP(F244,Countries!$A$1:$B$161,2,0)</f>
        <v>Switzerland</v>
      </c>
    </row>
    <row r="245" spans="1:8" x14ac:dyDescent="0.3">
      <c r="A245" s="3">
        <v>46264.649687500001</v>
      </c>
      <c r="B245" s="1">
        <v>6.3</v>
      </c>
      <c r="C245" s="1">
        <v>5.44</v>
      </c>
      <c r="D245" s="1">
        <v>0.54</v>
      </c>
      <c r="E245" s="1" t="s">
        <v>132</v>
      </c>
      <c r="F245" s="1" t="s">
        <v>132</v>
      </c>
      <c r="G245" s="1" t="s">
        <v>132</v>
      </c>
      <c r="H245" s="1" t="str">
        <f>VLOOKUP(F245,Countries!$A$1:$B$161,2,0)</f>
        <v>Canada</v>
      </c>
    </row>
    <row r="246" spans="1:8" x14ac:dyDescent="0.3">
      <c r="A246" s="3">
        <v>46264.645868055559</v>
      </c>
      <c r="B246" s="1">
        <v>7.58</v>
      </c>
      <c r="C246" s="1">
        <v>6.54</v>
      </c>
      <c r="D246" s="1">
        <v>0.48</v>
      </c>
      <c r="E246" s="1" t="s">
        <v>116</v>
      </c>
      <c r="F246" s="1" t="s">
        <v>116</v>
      </c>
      <c r="G246" s="1" t="s">
        <v>116</v>
      </c>
      <c r="H246" s="1" t="str">
        <f>VLOOKUP(F246,Countries!$A$1:$B$161,2,0)</f>
        <v>Spain</v>
      </c>
    </row>
    <row r="247" spans="1:8" x14ac:dyDescent="0.3">
      <c r="A247" s="3">
        <v>46264.64166666667</v>
      </c>
      <c r="B247" s="1">
        <v>10.85</v>
      </c>
      <c r="C247" s="1">
        <v>9.3699999999999992</v>
      </c>
      <c r="D247" s="1">
        <v>0.74</v>
      </c>
      <c r="E247" s="1" t="s">
        <v>115</v>
      </c>
      <c r="F247" s="1" t="s">
        <v>115</v>
      </c>
      <c r="G247" s="1" t="s">
        <v>115</v>
      </c>
      <c r="H247" s="1" t="str">
        <f>VLOOKUP(F247,Countries!$A$1:$B$161,2,0)</f>
        <v>Switzerland</v>
      </c>
    </row>
    <row r="248" spans="1:8" x14ac:dyDescent="0.3">
      <c r="A248" s="3">
        <v>46264.640347222223</v>
      </c>
      <c r="B248" s="1">
        <v>3.78</v>
      </c>
      <c r="C248" s="1">
        <v>3.26</v>
      </c>
      <c r="D248" s="1">
        <v>0.37</v>
      </c>
      <c r="E248" s="1" t="s">
        <v>116</v>
      </c>
      <c r="F248" s="1" t="s">
        <v>116</v>
      </c>
      <c r="G248" s="1" t="s">
        <v>116</v>
      </c>
      <c r="H248" s="1" t="str">
        <f>VLOOKUP(F248,Countries!$A$1:$B$161,2,0)</f>
        <v>Spain</v>
      </c>
    </row>
    <row r="249" spans="1:8" x14ac:dyDescent="0.3">
      <c r="A249" s="3">
        <v>46264.639756944453</v>
      </c>
      <c r="B249" s="1">
        <v>84.2</v>
      </c>
      <c r="C249" s="1">
        <v>72.69</v>
      </c>
      <c r="D249" s="1">
        <v>4.0599999999999996</v>
      </c>
      <c r="E249" s="1" t="s">
        <v>143</v>
      </c>
      <c r="F249" s="1" t="s">
        <v>143</v>
      </c>
      <c r="G249" s="1" t="s">
        <v>143</v>
      </c>
      <c r="H249" s="1" t="str">
        <f>VLOOKUP(F249,Countries!$A$1:$B$161,2,0)</f>
        <v>United Arab Emirates</v>
      </c>
    </row>
    <row r="250" spans="1:8" x14ac:dyDescent="0.3">
      <c r="A250" s="3">
        <v>46264.632511574076</v>
      </c>
      <c r="B250" s="1">
        <v>7.48</v>
      </c>
      <c r="C250" s="1">
        <v>6.46</v>
      </c>
      <c r="D250" s="1">
        <v>0.54</v>
      </c>
      <c r="E250" s="1" t="s">
        <v>119</v>
      </c>
      <c r="F250" s="1" t="s">
        <v>119</v>
      </c>
      <c r="G250" s="1" t="s">
        <v>119</v>
      </c>
      <c r="H250" s="1" t="str">
        <f>VLOOKUP(F250,Countries!$A$1:$B$161,2,0)</f>
        <v>Great Britain (United Kingdom)</v>
      </c>
    </row>
    <row r="251" spans="1:8" x14ac:dyDescent="0.3">
      <c r="A251" s="3">
        <v>46264.625543981478</v>
      </c>
      <c r="B251" s="1">
        <v>10.85</v>
      </c>
      <c r="C251" s="1">
        <v>9.3699999999999992</v>
      </c>
      <c r="D251" s="1">
        <v>0.74</v>
      </c>
      <c r="E251" s="1" t="s">
        <v>115</v>
      </c>
      <c r="F251" s="1" t="s">
        <v>115</v>
      </c>
      <c r="G251" s="1" t="s">
        <v>115</v>
      </c>
      <c r="H251" s="1" t="str">
        <f>VLOOKUP(F251,Countries!$A$1:$B$161,2,0)</f>
        <v>Switzerland</v>
      </c>
    </row>
    <row r="252" spans="1:8" x14ac:dyDescent="0.3">
      <c r="A252" s="3">
        <v>46264.61141203704</v>
      </c>
      <c r="B252" s="1">
        <v>12.97</v>
      </c>
      <c r="C252" s="1">
        <v>11.2</v>
      </c>
      <c r="D252" s="1">
        <v>0.64</v>
      </c>
      <c r="E252" s="1" t="s">
        <v>112</v>
      </c>
      <c r="F252" s="1" t="s">
        <v>112</v>
      </c>
      <c r="G252" s="1" t="s">
        <v>112</v>
      </c>
      <c r="H252" s="1" t="str">
        <f>VLOOKUP(F252,Countries!$A$1:$B$161,2,0)</f>
        <v>Ireland</v>
      </c>
    </row>
    <row r="253" spans="1:8" x14ac:dyDescent="0.3">
      <c r="A253" s="3">
        <v>46264.61</v>
      </c>
      <c r="B253" s="1">
        <v>10.85</v>
      </c>
      <c r="C253" s="1">
        <v>9.3699999999999992</v>
      </c>
      <c r="D253" s="1">
        <v>0.74</v>
      </c>
      <c r="E253" s="1" t="s">
        <v>115</v>
      </c>
      <c r="F253" s="1" t="s">
        <v>115</v>
      </c>
      <c r="G253" s="1" t="s">
        <v>115</v>
      </c>
      <c r="H253" s="1" t="str">
        <f>VLOOKUP(F253,Countries!$A$1:$B$161,2,0)</f>
        <v>Switzerland</v>
      </c>
    </row>
    <row r="254" spans="1:8" x14ac:dyDescent="0.3">
      <c r="A254" s="3">
        <v>46264.609224537038</v>
      </c>
      <c r="B254" s="1">
        <v>59.03</v>
      </c>
      <c r="C254" s="1">
        <v>50.96</v>
      </c>
      <c r="D254" s="1">
        <v>2.93</v>
      </c>
      <c r="E254" s="1" t="s">
        <v>113</v>
      </c>
      <c r="F254" s="1" t="s">
        <v>113</v>
      </c>
      <c r="G254" s="1" t="s">
        <v>113</v>
      </c>
      <c r="H254" s="1" t="str">
        <f>VLOOKUP(F254,Countries!$A$1:$B$161,2,0)</f>
        <v>United States of America</v>
      </c>
    </row>
    <row r="255" spans="1:8" x14ac:dyDescent="0.3">
      <c r="A255" s="3">
        <v>46264.607118055559</v>
      </c>
      <c r="B255" s="1">
        <v>17</v>
      </c>
      <c r="C255" s="1">
        <v>14.68</v>
      </c>
      <c r="D255" s="1">
        <v>1.02</v>
      </c>
      <c r="E255" s="1" t="s">
        <v>113</v>
      </c>
      <c r="F255" s="1" t="s">
        <v>113</v>
      </c>
      <c r="G255" s="1" t="s">
        <v>113</v>
      </c>
      <c r="H255" s="1" t="str">
        <f>VLOOKUP(F255,Countries!$A$1:$B$161,2,0)</f>
        <v>United States of America</v>
      </c>
    </row>
    <row r="256" spans="1:8" x14ac:dyDescent="0.3">
      <c r="A256" s="3">
        <v>46264.607025462959</v>
      </c>
      <c r="B256" s="1">
        <v>12.97</v>
      </c>
      <c r="C256" s="1">
        <v>11.2</v>
      </c>
      <c r="D256" s="1">
        <v>0.64</v>
      </c>
      <c r="E256" s="1" t="s">
        <v>112</v>
      </c>
      <c r="F256" s="1" t="s">
        <v>112</v>
      </c>
      <c r="G256" s="1" t="s">
        <v>112</v>
      </c>
      <c r="H256" s="1" t="str">
        <f>VLOOKUP(F256,Countries!$A$1:$B$161,2,0)</f>
        <v>Ireland</v>
      </c>
    </row>
    <row r="257" spans="1:8" x14ac:dyDescent="0.3">
      <c r="A257" s="3">
        <v>46264.598287037043</v>
      </c>
      <c r="B257" s="1">
        <v>2.11</v>
      </c>
      <c r="C257" s="1">
        <v>1.82</v>
      </c>
      <c r="D257" s="1">
        <v>0.35</v>
      </c>
      <c r="E257" s="1" t="s">
        <v>113</v>
      </c>
      <c r="F257" s="1" t="s">
        <v>113</v>
      </c>
      <c r="G257" s="1" t="s">
        <v>113</v>
      </c>
      <c r="H257" s="1" t="str">
        <f>VLOOKUP(F257,Countries!$A$1:$B$161,2,0)</f>
        <v>United States of America</v>
      </c>
    </row>
    <row r="258" spans="1:8" x14ac:dyDescent="0.3">
      <c r="A258" s="3">
        <v>46264.597453703696</v>
      </c>
      <c r="B258" s="1">
        <v>10.85</v>
      </c>
      <c r="C258" s="1">
        <v>9.3699999999999992</v>
      </c>
      <c r="D258" s="1">
        <v>0.74</v>
      </c>
      <c r="E258" s="1" t="s">
        <v>115</v>
      </c>
      <c r="F258" s="1" t="s">
        <v>115</v>
      </c>
      <c r="G258" s="1" t="s">
        <v>115</v>
      </c>
      <c r="H258" s="1" t="str">
        <f>VLOOKUP(F258,Countries!$A$1:$B$161,2,0)</f>
        <v>Switzerland</v>
      </c>
    </row>
    <row r="259" spans="1:8" x14ac:dyDescent="0.3">
      <c r="A259" s="3">
        <v>46264.571493055562</v>
      </c>
      <c r="B259" s="1">
        <v>38.61</v>
      </c>
      <c r="C259" s="1">
        <v>33.33</v>
      </c>
      <c r="D259" s="1">
        <v>2</v>
      </c>
      <c r="E259" s="1" t="s">
        <v>121</v>
      </c>
      <c r="F259" s="1" t="s">
        <v>121</v>
      </c>
      <c r="G259" s="1" t="s">
        <v>121</v>
      </c>
      <c r="H259" s="1" t="str">
        <f>VLOOKUP(F259,Countries!$A$1:$B$161,2,0)</f>
        <v>Japan</v>
      </c>
    </row>
    <row r="260" spans="1:8" x14ac:dyDescent="0.3">
      <c r="A260" s="3">
        <v>46264.569907407407</v>
      </c>
      <c r="B260" s="1">
        <v>30.88</v>
      </c>
      <c r="C260" s="1">
        <v>26.66</v>
      </c>
      <c r="D260" s="1">
        <v>1.65</v>
      </c>
      <c r="E260" s="1" t="s">
        <v>121</v>
      </c>
      <c r="F260" s="1" t="s">
        <v>121</v>
      </c>
      <c r="G260" s="1" t="s">
        <v>121</v>
      </c>
      <c r="H260" s="1" t="str">
        <f>VLOOKUP(F260,Countries!$A$1:$B$161,2,0)</f>
        <v>Japan</v>
      </c>
    </row>
    <row r="261" spans="1:8" x14ac:dyDescent="0.3">
      <c r="A261" s="3">
        <v>46264.56759259259</v>
      </c>
      <c r="B261" s="1">
        <v>6.65</v>
      </c>
      <c r="C261" s="1">
        <v>5.74</v>
      </c>
      <c r="D261" s="1">
        <v>0.55000000000000004</v>
      </c>
      <c r="E261" s="1" t="s">
        <v>121</v>
      </c>
      <c r="F261" s="1" t="s">
        <v>121</v>
      </c>
      <c r="G261" s="1" t="s">
        <v>121</v>
      </c>
      <c r="H261" s="1" t="str">
        <f>VLOOKUP(F261,Countries!$A$1:$B$161,2,0)</f>
        <v>Japan</v>
      </c>
    </row>
    <row r="262" spans="1:8" x14ac:dyDescent="0.3">
      <c r="A262" s="3">
        <v>46264.559930555559</v>
      </c>
      <c r="B262" s="1">
        <v>12.97</v>
      </c>
      <c r="C262" s="1">
        <v>11.2</v>
      </c>
      <c r="D262" s="1">
        <v>0.64</v>
      </c>
      <c r="E262" s="1" t="s">
        <v>112</v>
      </c>
      <c r="F262" s="1" t="s">
        <v>112</v>
      </c>
      <c r="G262" s="1" t="s">
        <v>112</v>
      </c>
      <c r="H262" s="1" t="str">
        <f>VLOOKUP(F262,Countries!$A$1:$B$161,2,0)</f>
        <v>Ireland</v>
      </c>
    </row>
    <row r="263" spans="1:8" x14ac:dyDescent="0.3">
      <c r="A263" s="3">
        <v>46264.559548611112</v>
      </c>
      <c r="B263" s="1">
        <v>12.97</v>
      </c>
      <c r="C263" s="1">
        <v>11.2</v>
      </c>
      <c r="D263" s="1">
        <v>0.64</v>
      </c>
      <c r="E263" s="1" t="s">
        <v>112</v>
      </c>
      <c r="F263" s="1" t="s">
        <v>112</v>
      </c>
      <c r="G263" s="1" t="s">
        <v>112</v>
      </c>
      <c r="H263" s="1" t="str">
        <f>VLOOKUP(F263,Countries!$A$1:$B$161,2,0)</f>
        <v>Ireland</v>
      </c>
    </row>
    <row r="264" spans="1:8" x14ac:dyDescent="0.3">
      <c r="A264" s="3">
        <v>46264.558287037027</v>
      </c>
      <c r="B264" s="1">
        <v>12.97</v>
      </c>
      <c r="C264" s="1">
        <v>11.2</v>
      </c>
      <c r="D264" s="1">
        <v>0.64</v>
      </c>
      <c r="E264" s="1" t="s">
        <v>112</v>
      </c>
      <c r="F264" s="1" t="s">
        <v>112</v>
      </c>
      <c r="G264" s="1" t="s">
        <v>112</v>
      </c>
      <c r="H264" s="1" t="str">
        <f>VLOOKUP(F264,Countries!$A$1:$B$161,2,0)</f>
        <v>Ireland</v>
      </c>
    </row>
    <row r="265" spans="1:8" x14ac:dyDescent="0.3">
      <c r="A265" s="3">
        <v>46264.55809027778</v>
      </c>
      <c r="B265" s="1">
        <v>51.93</v>
      </c>
      <c r="C265" s="1">
        <v>44.83</v>
      </c>
      <c r="D265" s="1">
        <v>1.82</v>
      </c>
      <c r="E265" s="1" t="s">
        <v>113</v>
      </c>
      <c r="F265" s="1" t="s">
        <v>113</v>
      </c>
      <c r="G265" s="1" t="s">
        <v>113</v>
      </c>
      <c r="H265" s="1" t="str">
        <f>VLOOKUP(F265,Countries!$A$1:$B$161,2,0)</f>
        <v>United States of America</v>
      </c>
    </row>
    <row r="266" spans="1:8" x14ac:dyDescent="0.3">
      <c r="A266" s="3">
        <v>46264.546388888892</v>
      </c>
      <c r="B266" s="1">
        <v>6.37</v>
      </c>
      <c r="C266" s="1">
        <v>5.5</v>
      </c>
      <c r="D266" s="1">
        <v>0.54</v>
      </c>
      <c r="E266" s="1" t="s">
        <v>113</v>
      </c>
      <c r="F266" s="1" t="s">
        <v>113</v>
      </c>
      <c r="G266" s="1" t="s">
        <v>113</v>
      </c>
      <c r="H266" s="1" t="str">
        <f>VLOOKUP(F266,Countries!$A$1:$B$161,2,0)</f>
        <v>United States of America</v>
      </c>
    </row>
    <row r="267" spans="1:8" x14ac:dyDescent="0.3">
      <c r="A267" s="3">
        <v>46264.542210648149</v>
      </c>
      <c r="B267" s="1">
        <v>103.88</v>
      </c>
      <c r="C267" s="1">
        <v>89.68</v>
      </c>
      <c r="D267" s="1">
        <v>3.39</v>
      </c>
      <c r="E267" s="1" t="s">
        <v>113</v>
      </c>
      <c r="F267" s="1" t="s">
        <v>113</v>
      </c>
      <c r="G267" s="1" t="s">
        <v>113</v>
      </c>
      <c r="H267" s="1" t="str">
        <f>VLOOKUP(F267,Countries!$A$1:$B$161,2,0)</f>
        <v>United States of America</v>
      </c>
    </row>
    <row r="268" spans="1:8" x14ac:dyDescent="0.3">
      <c r="A268" s="3">
        <v>46264.533888888887</v>
      </c>
      <c r="B268" s="1">
        <v>10.85</v>
      </c>
      <c r="C268" s="1">
        <v>9.3699999999999992</v>
      </c>
      <c r="D268" s="1">
        <v>0.74</v>
      </c>
      <c r="E268" s="1" t="s">
        <v>115</v>
      </c>
      <c r="F268" s="1" t="s">
        <v>115</v>
      </c>
      <c r="G268" s="1" t="s">
        <v>115</v>
      </c>
      <c r="H268" s="1" t="str">
        <f>VLOOKUP(F268,Countries!$A$1:$B$161,2,0)</f>
        <v>Switzerland</v>
      </c>
    </row>
    <row r="269" spans="1:8" x14ac:dyDescent="0.3">
      <c r="A269" s="3">
        <v>46264.530740740738</v>
      </c>
      <c r="B269" s="1">
        <v>29.57</v>
      </c>
      <c r="C269" s="1">
        <v>25.53</v>
      </c>
      <c r="D269" s="1">
        <v>1.59</v>
      </c>
      <c r="E269" s="1" t="s">
        <v>113</v>
      </c>
      <c r="F269" s="1" t="s">
        <v>113</v>
      </c>
      <c r="G269" s="1" t="s">
        <v>113</v>
      </c>
      <c r="H269" s="1" t="str">
        <f>VLOOKUP(F269,Countries!$A$1:$B$161,2,0)</f>
        <v>United States of America</v>
      </c>
    </row>
    <row r="270" spans="1:8" x14ac:dyDescent="0.3">
      <c r="A270" s="3">
        <v>46264.530393518522</v>
      </c>
      <c r="B270" s="1">
        <v>103.88</v>
      </c>
      <c r="C270" s="1">
        <v>89.68</v>
      </c>
      <c r="D270" s="1">
        <v>3.39</v>
      </c>
      <c r="E270" s="1" t="s">
        <v>113</v>
      </c>
      <c r="F270" s="1" t="s">
        <v>113</v>
      </c>
      <c r="G270" s="1" t="s">
        <v>113</v>
      </c>
      <c r="H270" s="1" t="str">
        <f>VLOOKUP(F270,Countries!$A$1:$B$161,2,0)</f>
        <v>United States of America</v>
      </c>
    </row>
    <row r="271" spans="1:8" x14ac:dyDescent="0.3">
      <c r="A271" s="3">
        <v>46264.53025462963</v>
      </c>
      <c r="B271" s="1">
        <v>15.43</v>
      </c>
      <c r="C271" s="1">
        <v>13.32</v>
      </c>
      <c r="D271" s="1">
        <v>0.95</v>
      </c>
      <c r="E271" s="1" t="s">
        <v>130</v>
      </c>
      <c r="F271" s="1" t="s">
        <v>130</v>
      </c>
      <c r="G271" s="1" t="s">
        <v>130</v>
      </c>
      <c r="H271" s="1" t="str">
        <f>VLOOKUP(F271,Countries!$A$1:$B$161,2,0)</f>
        <v>Australia</v>
      </c>
    </row>
    <row r="272" spans="1:8" x14ac:dyDescent="0.3">
      <c r="A272" s="3">
        <v>46264.529293981483</v>
      </c>
      <c r="B272" s="1">
        <v>59.03</v>
      </c>
      <c r="C272" s="1">
        <v>50.96</v>
      </c>
      <c r="D272" s="1">
        <v>2.93</v>
      </c>
      <c r="E272" s="1" t="s">
        <v>113</v>
      </c>
      <c r="F272" s="1" t="s">
        <v>113</v>
      </c>
      <c r="G272" s="1" t="s">
        <v>113</v>
      </c>
      <c r="H272" s="1" t="str">
        <f>VLOOKUP(F272,Countries!$A$1:$B$161,2,0)</f>
        <v>United States of America</v>
      </c>
    </row>
    <row r="273" spans="1:8" x14ac:dyDescent="0.3">
      <c r="A273" s="3">
        <v>46264.528368055559</v>
      </c>
      <c r="B273" s="1">
        <v>12.97</v>
      </c>
      <c r="C273" s="1">
        <v>11.2</v>
      </c>
      <c r="D273" s="1">
        <v>0.64</v>
      </c>
      <c r="E273" s="1" t="s">
        <v>113</v>
      </c>
      <c r="F273" s="1" t="s">
        <v>113</v>
      </c>
      <c r="G273" s="1" t="s">
        <v>113</v>
      </c>
      <c r="H273" s="1" t="str">
        <f>VLOOKUP(F273,Countries!$A$1:$B$161,2,0)</f>
        <v>United States of America</v>
      </c>
    </row>
    <row r="274" spans="1:8" x14ac:dyDescent="0.3">
      <c r="A274" s="3">
        <v>46264.52652777778</v>
      </c>
      <c r="B274" s="1">
        <v>12.97</v>
      </c>
      <c r="C274" s="1">
        <v>11.2</v>
      </c>
      <c r="D274" s="1">
        <v>0.64</v>
      </c>
      <c r="E274" s="1" t="s">
        <v>113</v>
      </c>
      <c r="F274" s="1" t="s">
        <v>113</v>
      </c>
      <c r="G274" s="1" t="s">
        <v>113</v>
      </c>
      <c r="H274" s="1" t="str">
        <f>VLOOKUP(F274,Countries!$A$1:$B$161,2,0)</f>
        <v>United States of America</v>
      </c>
    </row>
    <row r="275" spans="1:8" x14ac:dyDescent="0.3">
      <c r="A275" s="3">
        <v>46264.521111111113</v>
      </c>
      <c r="B275" s="1">
        <v>14.77</v>
      </c>
      <c r="C275" s="1">
        <v>12.75</v>
      </c>
      <c r="D275" s="1">
        <v>0.92</v>
      </c>
      <c r="E275" s="1" t="s">
        <v>113</v>
      </c>
      <c r="F275" s="1" t="s">
        <v>113</v>
      </c>
      <c r="G275" s="1" t="s">
        <v>113</v>
      </c>
      <c r="H275" s="1" t="str">
        <f>VLOOKUP(F275,Countries!$A$1:$B$161,2,0)</f>
        <v>United States of America</v>
      </c>
    </row>
    <row r="276" spans="1:8" x14ac:dyDescent="0.3">
      <c r="A276" s="3">
        <v>46264.517812500002</v>
      </c>
      <c r="B276" s="1">
        <v>14.77</v>
      </c>
      <c r="C276" s="1">
        <v>12.75</v>
      </c>
      <c r="D276" s="1">
        <v>0.92</v>
      </c>
      <c r="E276" s="1" t="s">
        <v>113</v>
      </c>
      <c r="F276" s="1" t="s">
        <v>113</v>
      </c>
      <c r="G276" s="1" t="s">
        <v>113</v>
      </c>
      <c r="H276" s="1" t="str">
        <f>VLOOKUP(F276,Countries!$A$1:$B$161,2,0)</f>
        <v>United States of America</v>
      </c>
    </row>
    <row r="277" spans="1:8" x14ac:dyDescent="0.3">
      <c r="A277" s="3">
        <v>46264.515219907407</v>
      </c>
      <c r="B277" s="1">
        <v>14.77</v>
      </c>
      <c r="C277" s="1">
        <v>12.75</v>
      </c>
      <c r="D277" s="1">
        <v>0.92</v>
      </c>
      <c r="E277" s="1" t="s">
        <v>113</v>
      </c>
      <c r="F277" s="1" t="s">
        <v>113</v>
      </c>
      <c r="G277" s="1" t="s">
        <v>113</v>
      </c>
      <c r="H277" s="1" t="str">
        <f>VLOOKUP(F277,Countries!$A$1:$B$161,2,0)</f>
        <v>United States of America</v>
      </c>
    </row>
    <row r="278" spans="1:8" x14ac:dyDescent="0.3">
      <c r="A278" s="3">
        <v>46264.512569444443</v>
      </c>
      <c r="B278" s="1">
        <v>17.010000000000002</v>
      </c>
      <c r="C278" s="1">
        <v>14.68</v>
      </c>
      <c r="D278" s="1">
        <v>1.02</v>
      </c>
      <c r="E278" s="1" t="s">
        <v>113</v>
      </c>
      <c r="F278" s="1" t="s">
        <v>113</v>
      </c>
      <c r="G278" s="1" t="s">
        <v>113</v>
      </c>
      <c r="H278" s="1" t="str">
        <f>VLOOKUP(F278,Countries!$A$1:$B$161,2,0)</f>
        <v>United States of America</v>
      </c>
    </row>
    <row r="279" spans="1:8" x14ac:dyDescent="0.3">
      <c r="A279" s="3">
        <v>46264.511724537027</v>
      </c>
      <c r="B279" s="1">
        <v>103.88</v>
      </c>
      <c r="C279" s="1">
        <v>89.68</v>
      </c>
      <c r="D279" s="1">
        <v>3.39</v>
      </c>
      <c r="E279" s="1" t="s">
        <v>113</v>
      </c>
      <c r="F279" s="1" t="s">
        <v>113</v>
      </c>
      <c r="G279" s="1" t="s">
        <v>113</v>
      </c>
      <c r="H279" s="1" t="str">
        <f>VLOOKUP(F279,Countries!$A$1:$B$161,2,0)</f>
        <v>United States of America</v>
      </c>
    </row>
    <row r="280" spans="1:8" x14ac:dyDescent="0.3">
      <c r="A280" s="3">
        <v>46264.507824074077</v>
      </c>
      <c r="B280" s="1">
        <v>2.99</v>
      </c>
      <c r="C280" s="1">
        <v>2.58</v>
      </c>
      <c r="D280" s="1">
        <v>0.38</v>
      </c>
      <c r="E280" s="1" t="s">
        <v>113</v>
      </c>
      <c r="F280" s="1" t="s">
        <v>113</v>
      </c>
      <c r="G280" s="1" t="s">
        <v>113</v>
      </c>
      <c r="H280" s="1" t="str">
        <f>VLOOKUP(F280,Countries!$A$1:$B$161,2,0)</f>
        <v>United States of America</v>
      </c>
    </row>
    <row r="281" spans="1:8" x14ac:dyDescent="0.3">
      <c r="A281" s="3">
        <v>46264.500868055547</v>
      </c>
      <c r="B281" s="1">
        <v>51.93</v>
      </c>
      <c r="C281" s="1">
        <v>44.83</v>
      </c>
      <c r="D281" s="1">
        <v>1.82</v>
      </c>
      <c r="E281" s="1" t="s">
        <v>113</v>
      </c>
      <c r="F281" s="1" t="s">
        <v>113</v>
      </c>
      <c r="G281" s="1" t="s">
        <v>113</v>
      </c>
      <c r="H281" s="1" t="str">
        <f>VLOOKUP(F281,Countries!$A$1:$B$161,2,0)</f>
        <v>United States of America</v>
      </c>
    </row>
    <row r="282" spans="1:8" x14ac:dyDescent="0.3">
      <c r="A282" s="3">
        <v>46264.494328703702</v>
      </c>
      <c r="B282" s="1">
        <v>2.4500000000000002</v>
      </c>
      <c r="C282" s="1">
        <v>2.12</v>
      </c>
      <c r="D282" s="1">
        <v>0.32</v>
      </c>
      <c r="E282" s="1" t="s">
        <v>147</v>
      </c>
      <c r="F282" s="1" t="s">
        <v>147</v>
      </c>
      <c r="G282" s="1" t="s">
        <v>147</v>
      </c>
      <c r="H282" s="1" t="str">
        <f>VLOOKUP(F282,Countries!$A$1:$B$161,2,0)</f>
        <v>Germany</v>
      </c>
    </row>
    <row r="283" spans="1:8" x14ac:dyDescent="0.3">
      <c r="A283" s="3">
        <v>46264.491620370369</v>
      </c>
      <c r="B283" s="1">
        <v>15.43</v>
      </c>
      <c r="C283" s="1">
        <v>13.32</v>
      </c>
      <c r="D283" s="1">
        <v>0.95</v>
      </c>
      <c r="E283" s="1" t="s">
        <v>130</v>
      </c>
      <c r="F283" s="1" t="s">
        <v>130</v>
      </c>
      <c r="G283" s="1" t="s">
        <v>130</v>
      </c>
      <c r="H283" s="1" t="str">
        <f>VLOOKUP(F283,Countries!$A$1:$B$161,2,0)</f>
        <v>Australia</v>
      </c>
    </row>
    <row r="284" spans="1:8" x14ac:dyDescent="0.3">
      <c r="A284" s="3">
        <v>46264.488217592603</v>
      </c>
      <c r="B284" s="1">
        <v>10.85</v>
      </c>
      <c r="C284" s="1">
        <v>9.3699999999999992</v>
      </c>
      <c r="D284" s="1">
        <v>0.74</v>
      </c>
      <c r="E284" s="1" t="s">
        <v>115</v>
      </c>
      <c r="F284" s="1" t="s">
        <v>115</v>
      </c>
      <c r="G284" s="1" t="s">
        <v>115</v>
      </c>
      <c r="H284" s="1" t="str">
        <f>VLOOKUP(F284,Countries!$A$1:$B$161,2,0)</f>
        <v>Switzerland</v>
      </c>
    </row>
    <row r="285" spans="1:8" x14ac:dyDescent="0.3">
      <c r="A285" s="3">
        <v>46264.479745370372</v>
      </c>
      <c r="B285" s="1">
        <v>12.97</v>
      </c>
      <c r="C285" s="1">
        <v>11.2</v>
      </c>
      <c r="D285" s="1">
        <v>0.64</v>
      </c>
      <c r="E285" s="1" t="s">
        <v>112</v>
      </c>
      <c r="F285" s="1" t="s">
        <v>112</v>
      </c>
      <c r="G285" s="1" t="s">
        <v>112</v>
      </c>
      <c r="H285" s="1" t="str">
        <f>VLOOKUP(F285,Countries!$A$1:$B$161,2,0)</f>
        <v>Ireland</v>
      </c>
    </row>
    <row r="286" spans="1:8" x14ac:dyDescent="0.3">
      <c r="A286" s="3">
        <v>46264.473298611112</v>
      </c>
      <c r="B286" s="1">
        <v>6.37</v>
      </c>
      <c r="C286" s="1">
        <v>5.5</v>
      </c>
      <c r="D286" s="1">
        <v>0.54</v>
      </c>
      <c r="E286" s="1" t="s">
        <v>113</v>
      </c>
      <c r="F286" s="1" t="s">
        <v>113</v>
      </c>
      <c r="G286" s="1" t="s">
        <v>113</v>
      </c>
      <c r="H286" s="1" t="str">
        <f>VLOOKUP(F286,Countries!$A$1:$B$161,2,0)</f>
        <v>United States of America</v>
      </c>
    </row>
    <row r="287" spans="1:8" x14ac:dyDescent="0.3">
      <c r="A287" s="3">
        <v>46264.47284722222</v>
      </c>
      <c r="B287" s="1">
        <v>12.97</v>
      </c>
      <c r="C287" s="1">
        <v>11.2</v>
      </c>
      <c r="D287" s="1">
        <v>0.64</v>
      </c>
      <c r="E287" s="1" t="s">
        <v>112</v>
      </c>
      <c r="F287" s="1" t="s">
        <v>112</v>
      </c>
      <c r="G287" s="1" t="s">
        <v>112</v>
      </c>
      <c r="H287" s="1" t="str">
        <f>VLOOKUP(F287,Countries!$A$1:$B$161,2,0)</f>
        <v>Ireland</v>
      </c>
    </row>
    <row r="288" spans="1:8" x14ac:dyDescent="0.3">
      <c r="A288" s="3">
        <v>46264.465011574073</v>
      </c>
      <c r="B288" s="1">
        <v>6.37</v>
      </c>
      <c r="C288" s="1">
        <v>5.5</v>
      </c>
      <c r="D288" s="1">
        <v>0.54</v>
      </c>
      <c r="E288" s="1" t="s">
        <v>113</v>
      </c>
      <c r="F288" s="1" t="s">
        <v>113</v>
      </c>
      <c r="G288" s="1" t="s">
        <v>113</v>
      </c>
      <c r="H288" s="1" t="str">
        <f>VLOOKUP(F288,Countries!$A$1:$B$161,2,0)</f>
        <v>United States of America</v>
      </c>
    </row>
    <row r="289" spans="1:8" x14ac:dyDescent="0.3">
      <c r="A289" s="3">
        <v>46264.46230324074</v>
      </c>
      <c r="B289" s="1">
        <v>12.97</v>
      </c>
      <c r="C289" s="1">
        <v>11.2</v>
      </c>
      <c r="D289" s="1">
        <v>0.64</v>
      </c>
      <c r="E289" s="1" t="s">
        <v>112</v>
      </c>
      <c r="F289" s="1" t="s">
        <v>112</v>
      </c>
      <c r="G289" s="1" t="s">
        <v>112</v>
      </c>
      <c r="H289" s="1" t="str">
        <f>VLOOKUP(F289,Countries!$A$1:$B$161,2,0)</f>
        <v>Ireland</v>
      </c>
    </row>
    <row r="290" spans="1:8" x14ac:dyDescent="0.3">
      <c r="A290" s="3">
        <v>46264.461273148147</v>
      </c>
      <c r="B290" s="1">
        <v>7.77</v>
      </c>
      <c r="C290" s="1">
        <v>6.71</v>
      </c>
      <c r="D290" s="1">
        <v>0.48</v>
      </c>
      <c r="E290" s="1" t="s">
        <v>112</v>
      </c>
      <c r="F290" s="1" t="s">
        <v>112</v>
      </c>
      <c r="G290" s="1" t="s">
        <v>112</v>
      </c>
      <c r="H290" s="1" t="str">
        <f>VLOOKUP(F290,Countries!$A$1:$B$161,2,0)</f>
        <v>Ireland</v>
      </c>
    </row>
    <row r="291" spans="1:8" x14ac:dyDescent="0.3">
      <c r="A291" s="3">
        <v>46264.459918981483</v>
      </c>
      <c r="B291" s="1">
        <v>6.37</v>
      </c>
      <c r="C291" s="1">
        <v>5.5</v>
      </c>
      <c r="D291" s="1">
        <v>0.54</v>
      </c>
      <c r="E291" s="1" t="s">
        <v>113</v>
      </c>
      <c r="F291" s="1" t="s">
        <v>113</v>
      </c>
      <c r="G291" s="1" t="s">
        <v>113</v>
      </c>
      <c r="H291" s="1" t="str">
        <f>VLOOKUP(F291,Countries!$A$1:$B$161,2,0)</f>
        <v>United States of America</v>
      </c>
    </row>
    <row r="292" spans="1:8" x14ac:dyDescent="0.3">
      <c r="A292" s="3">
        <v>46264.456354166658</v>
      </c>
      <c r="B292" s="1">
        <v>29.57</v>
      </c>
      <c r="C292" s="1">
        <v>25.53</v>
      </c>
      <c r="D292" s="1">
        <v>1.59</v>
      </c>
      <c r="E292" s="1" t="s">
        <v>113</v>
      </c>
      <c r="F292" s="1" t="s">
        <v>113</v>
      </c>
      <c r="G292" s="1" t="s">
        <v>113</v>
      </c>
      <c r="H292" s="1" t="str">
        <f>VLOOKUP(F292,Countries!$A$1:$B$161,2,0)</f>
        <v>United States of America</v>
      </c>
    </row>
    <row r="293" spans="1:8" x14ac:dyDescent="0.3">
      <c r="A293" s="3">
        <v>46264.446516203701</v>
      </c>
      <c r="B293" s="1">
        <v>17.010000000000002</v>
      </c>
      <c r="C293" s="1">
        <v>14.68</v>
      </c>
      <c r="D293" s="1">
        <v>1.02</v>
      </c>
      <c r="E293" s="1" t="s">
        <v>113</v>
      </c>
      <c r="F293" s="1" t="s">
        <v>113</v>
      </c>
      <c r="G293" s="1" t="s">
        <v>113</v>
      </c>
      <c r="H293" s="1" t="str">
        <f>VLOOKUP(F293,Countries!$A$1:$B$161,2,0)</f>
        <v>United States of America</v>
      </c>
    </row>
    <row r="294" spans="1:8" x14ac:dyDescent="0.3">
      <c r="A294" s="3">
        <v>46264.44427083333</v>
      </c>
      <c r="B294" s="1">
        <v>7.44</v>
      </c>
      <c r="C294" s="1">
        <v>6.42</v>
      </c>
      <c r="D294" s="1">
        <v>0.59</v>
      </c>
      <c r="E294" s="1" t="s">
        <v>113</v>
      </c>
      <c r="F294" s="1" t="s">
        <v>113</v>
      </c>
      <c r="G294" s="1" t="s">
        <v>113</v>
      </c>
      <c r="H294" s="1" t="str">
        <f>VLOOKUP(F294,Countries!$A$1:$B$161,2,0)</f>
        <v>United States of America</v>
      </c>
    </row>
    <row r="295" spans="1:8" x14ac:dyDescent="0.3">
      <c r="A295" s="3">
        <v>46264.444085648152</v>
      </c>
      <c r="B295" s="1">
        <v>12.97</v>
      </c>
      <c r="C295" s="1">
        <v>11.2</v>
      </c>
      <c r="D295" s="1">
        <v>0.64</v>
      </c>
      <c r="E295" s="1" t="s">
        <v>112</v>
      </c>
      <c r="F295" s="1" t="s">
        <v>112</v>
      </c>
      <c r="G295" s="1" t="s">
        <v>112</v>
      </c>
      <c r="H295" s="1" t="str">
        <f>VLOOKUP(F295,Countries!$A$1:$B$161,2,0)</f>
        <v>Ireland</v>
      </c>
    </row>
    <row r="296" spans="1:8" x14ac:dyDescent="0.3">
      <c r="A296" s="3">
        <v>46264.433437500003</v>
      </c>
      <c r="B296" s="1">
        <v>14.77</v>
      </c>
      <c r="C296" s="1">
        <v>12.75</v>
      </c>
      <c r="D296" s="1">
        <v>0.92</v>
      </c>
      <c r="E296" s="1" t="s">
        <v>113</v>
      </c>
      <c r="F296" s="1" t="s">
        <v>113</v>
      </c>
      <c r="G296" s="1" t="s">
        <v>113</v>
      </c>
      <c r="H296" s="1" t="str">
        <f>VLOOKUP(F296,Countries!$A$1:$B$161,2,0)</f>
        <v>United States of America</v>
      </c>
    </row>
    <row r="297" spans="1:8" x14ac:dyDescent="0.3">
      <c r="A297" s="3">
        <v>46264.430995370371</v>
      </c>
      <c r="B297" s="1">
        <v>12.97</v>
      </c>
      <c r="C297" s="1">
        <v>11.2</v>
      </c>
      <c r="D297" s="1">
        <v>0.64</v>
      </c>
      <c r="E297" s="1" t="s">
        <v>112</v>
      </c>
      <c r="F297" s="1" t="s">
        <v>112</v>
      </c>
      <c r="G297" s="1" t="s">
        <v>112</v>
      </c>
      <c r="H297" s="1" t="str">
        <f>VLOOKUP(F297,Countries!$A$1:$B$161,2,0)</f>
        <v>Ireland</v>
      </c>
    </row>
    <row r="298" spans="1:8" x14ac:dyDescent="0.3">
      <c r="A298" s="3">
        <v>46264.430648148147</v>
      </c>
      <c r="B298" s="1">
        <v>7.44</v>
      </c>
      <c r="C298" s="1">
        <v>6.42</v>
      </c>
      <c r="D298" s="1">
        <v>0.59</v>
      </c>
      <c r="E298" s="1" t="s">
        <v>113</v>
      </c>
      <c r="F298" s="1" t="s">
        <v>113</v>
      </c>
      <c r="G298" s="1" t="s">
        <v>113</v>
      </c>
      <c r="H298" s="1" t="str">
        <f>VLOOKUP(F298,Countries!$A$1:$B$161,2,0)</f>
        <v>United States of America</v>
      </c>
    </row>
    <row r="299" spans="1:8" x14ac:dyDescent="0.3">
      <c r="A299" s="3">
        <v>46264.424571759257</v>
      </c>
      <c r="B299" s="1">
        <v>14.77</v>
      </c>
      <c r="C299" s="1">
        <v>12.75</v>
      </c>
      <c r="D299" s="1">
        <v>0.92</v>
      </c>
      <c r="E299" s="1" t="s">
        <v>113</v>
      </c>
      <c r="F299" s="1" t="s">
        <v>113</v>
      </c>
      <c r="G299" s="1" t="s">
        <v>113</v>
      </c>
      <c r="H299" s="1" t="str">
        <f>VLOOKUP(F299,Countries!$A$1:$B$161,2,0)</f>
        <v>United States of America</v>
      </c>
    </row>
    <row r="300" spans="1:8" x14ac:dyDescent="0.3">
      <c r="A300" s="3">
        <v>46264.420856481483</v>
      </c>
      <c r="B300" s="1">
        <v>12.97</v>
      </c>
      <c r="C300" s="1">
        <v>11.2</v>
      </c>
      <c r="D300" s="1">
        <v>0.64</v>
      </c>
      <c r="E300" s="1" t="s">
        <v>112</v>
      </c>
      <c r="F300" s="1" t="s">
        <v>112</v>
      </c>
      <c r="G300" s="1" t="s">
        <v>112</v>
      </c>
      <c r="H300" s="1" t="str">
        <f>VLOOKUP(F300,Countries!$A$1:$B$161,2,0)</f>
        <v>Ireland</v>
      </c>
    </row>
    <row r="301" spans="1:8" x14ac:dyDescent="0.3">
      <c r="A301" s="3">
        <v>46264.417453703703</v>
      </c>
      <c r="B301" s="1">
        <v>14.77</v>
      </c>
      <c r="C301" s="1">
        <v>12.75</v>
      </c>
      <c r="D301" s="1">
        <v>0.92</v>
      </c>
      <c r="E301" s="1" t="s">
        <v>113</v>
      </c>
      <c r="F301" s="1" t="s">
        <v>113</v>
      </c>
      <c r="G301" s="1" t="s">
        <v>113</v>
      </c>
      <c r="H301" s="1" t="str">
        <f>VLOOKUP(F301,Countries!$A$1:$B$161,2,0)</f>
        <v>United States of America</v>
      </c>
    </row>
    <row r="302" spans="1:8" x14ac:dyDescent="0.3">
      <c r="A302" s="3">
        <v>46264.416875000003</v>
      </c>
      <c r="B302" s="1">
        <v>10.63</v>
      </c>
      <c r="C302" s="1">
        <v>9.18</v>
      </c>
      <c r="D302" s="1">
        <v>0.73</v>
      </c>
      <c r="E302" s="1" t="s">
        <v>113</v>
      </c>
      <c r="F302" s="1" t="s">
        <v>113</v>
      </c>
      <c r="G302" s="1" t="s">
        <v>113</v>
      </c>
      <c r="H302" s="1" t="str">
        <f>VLOOKUP(F302,Countries!$A$1:$B$161,2,0)</f>
        <v>United States of America</v>
      </c>
    </row>
    <row r="303" spans="1:8" x14ac:dyDescent="0.3">
      <c r="A303" s="3">
        <v>46264.413935185177</v>
      </c>
      <c r="B303" s="1">
        <v>12.97</v>
      </c>
      <c r="C303" s="1">
        <v>11.2</v>
      </c>
      <c r="D303" s="1">
        <v>0.64</v>
      </c>
      <c r="E303" s="1" t="s">
        <v>112</v>
      </c>
      <c r="F303" s="1" t="s">
        <v>112</v>
      </c>
      <c r="G303" s="1" t="s">
        <v>112</v>
      </c>
      <c r="H303" s="1" t="str">
        <f>VLOOKUP(F303,Countries!$A$1:$B$161,2,0)</f>
        <v>Ireland</v>
      </c>
    </row>
    <row r="304" spans="1:8" x14ac:dyDescent="0.3">
      <c r="A304" s="3">
        <v>46264.409120370372</v>
      </c>
      <c r="B304" s="1">
        <v>6.37</v>
      </c>
      <c r="C304" s="1">
        <v>5.5</v>
      </c>
      <c r="D304" s="1">
        <v>0.54</v>
      </c>
      <c r="E304" s="1" t="s">
        <v>113</v>
      </c>
      <c r="F304" s="1" t="s">
        <v>113</v>
      </c>
      <c r="G304" s="1" t="s">
        <v>113</v>
      </c>
      <c r="H304" s="1" t="str">
        <f>VLOOKUP(F304,Countries!$A$1:$B$161,2,0)</f>
        <v>United States of America</v>
      </c>
    </row>
    <row r="305" spans="1:8" x14ac:dyDescent="0.3">
      <c r="A305" s="3">
        <v>46264.409004629633</v>
      </c>
      <c r="B305" s="1">
        <v>14.77</v>
      </c>
      <c r="C305" s="1">
        <v>12.75</v>
      </c>
      <c r="D305" s="1">
        <v>0.92</v>
      </c>
      <c r="E305" s="1" t="s">
        <v>113</v>
      </c>
      <c r="F305" s="1" t="s">
        <v>113</v>
      </c>
      <c r="G305" s="1" t="s">
        <v>113</v>
      </c>
      <c r="H305" s="1" t="str">
        <f>VLOOKUP(F305,Countries!$A$1:$B$161,2,0)</f>
        <v>United States of America</v>
      </c>
    </row>
    <row r="306" spans="1:8" x14ac:dyDescent="0.3">
      <c r="A306" s="3">
        <v>46264.406400462962</v>
      </c>
      <c r="B306" s="1">
        <v>36.1</v>
      </c>
      <c r="C306" s="1">
        <v>31.17</v>
      </c>
      <c r="D306" s="1">
        <v>1.34</v>
      </c>
      <c r="E306" s="1" t="s">
        <v>147</v>
      </c>
      <c r="F306" s="1" t="s">
        <v>137</v>
      </c>
      <c r="G306" s="1" t="s">
        <v>137</v>
      </c>
      <c r="H306" s="1" t="str">
        <f>VLOOKUP(F306,Countries!$A$1:$B$161,2,0)</f>
        <v>Poland</v>
      </c>
    </row>
    <row r="307" spans="1:8" x14ac:dyDescent="0.3">
      <c r="A307" s="3">
        <v>46264.405682870369</v>
      </c>
      <c r="B307" s="1">
        <v>45.12</v>
      </c>
      <c r="C307" s="1">
        <v>38.950000000000003</v>
      </c>
      <c r="D307" s="1">
        <v>1.61</v>
      </c>
      <c r="E307" s="1" t="s">
        <v>147</v>
      </c>
      <c r="F307" s="1" t="s">
        <v>137</v>
      </c>
      <c r="G307" s="1" t="s">
        <v>137</v>
      </c>
      <c r="H307" s="1" t="str">
        <f>VLOOKUP(F307,Countries!$A$1:$B$161,2,0)</f>
        <v>Poland</v>
      </c>
    </row>
    <row r="308" spans="1:8" x14ac:dyDescent="0.3">
      <c r="A308" s="3">
        <v>46264.405613425923</v>
      </c>
      <c r="B308" s="1">
        <v>10.62</v>
      </c>
      <c r="C308" s="1">
        <v>9.17</v>
      </c>
      <c r="D308" s="1">
        <v>0.73</v>
      </c>
      <c r="E308" s="1" t="s">
        <v>113</v>
      </c>
      <c r="F308" s="1" t="s">
        <v>113</v>
      </c>
      <c r="G308" s="1" t="s">
        <v>113</v>
      </c>
      <c r="H308" s="1" t="str">
        <f>VLOOKUP(F308,Countries!$A$1:$B$161,2,0)</f>
        <v>United States of America</v>
      </c>
    </row>
    <row r="309" spans="1:8" x14ac:dyDescent="0.3">
      <c r="A309" s="3">
        <v>46264.40420138889</v>
      </c>
      <c r="B309" s="1">
        <v>6.37</v>
      </c>
      <c r="C309" s="1">
        <v>5.5</v>
      </c>
      <c r="D309" s="1">
        <v>0.54</v>
      </c>
      <c r="E309" s="1" t="s">
        <v>113</v>
      </c>
      <c r="F309" s="1" t="s">
        <v>113</v>
      </c>
      <c r="G309" s="1" t="s">
        <v>113</v>
      </c>
      <c r="H309" s="1" t="str">
        <f>VLOOKUP(F309,Countries!$A$1:$B$161,2,0)</f>
        <v>United States of America</v>
      </c>
    </row>
    <row r="310" spans="1:8" x14ac:dyDescent="0.3">
      <c r="A310" s="3">
        <v>46264.403657407413</v>
      </c>
      <c r="B310" s="1">
        <v>36.1</v>
      </c>
      <c r="C310" s="1">
        <v>31.17</v>
      </c>
      <c r="D310" s="1">
        <v>1.34</v>
      </c>
      <c r="E310" s="1" t="s">
        <v>147</v>
      </c>
      <c r="F310" s="1" t="s">
        <v>137</v>
      </c>
      <c r="G310" s="1" t="s">
        <v>137</v>
      </c>
      <c r="H310" s="1" t="str">
        <f>VLOOKUP(F310,Countries!$A$1:$B$161,2,0)</f>
        <v>Poland</v>
      </c>
    </row>
    <row r="311" spans="1:8" x14ac:dyDescent="0.3">
      <c r="A311" s="3">
        <v>46264.402777777781</v>
      </c>
      <c r="B311" s="1">
        <v>7.39</v>
      </c>
      <c r="C311" s="1">
        <v>6.38</v>
      </c>
      <c r="D311" s="1">
        <v>0.48</v>
      </c>
      <c r="E311" s="1" t="s">
        <v>147</v>
      </c>
      <c r="F311" s="1" t="s">
        <v>137</v>
      </c>
      <c r="G311" s="1" t="s">
        <v>137</v>
      </c>
      <c r="H311" s="1" t="str">
        <f>VLOOKUP(F311,Countries!$A$1:$B$161,2,0)</f>
        <v>Poland</v>
      </c>
    </row>
    <row r="312" spans="1:8" x14ac:dyDescent="0.3">
      <c r="A312" s="3">
        <v>46264.402071759258</v>
      </c>
      <c r="B312" s="1">
        <v>12.97</v>
      </c>
      <c r="C312" s="1">
        <v>11.2</v>
      </c>
      <c r="D312" s="1">
        <v>0.64</v>
      </c>
      <c r="E312" s="1" t="s">
        <v>112</v>
      </c>
      <c r="F312" s="1" t="s">
        <v>112</v>
      </c>
      <c r="G312" s="1" t="s">
        <v>112</v>
      </c>
      <c r="H312" s="1" t="str">
        <f>VLOOKUP(F312,Countries!$A$1:$B$161,2,0)</f>
        <v>Ireland</v>
      </c>
    </row>
    <row r="313" spans="1:8" x14ac:dyDescent="0.3">
      <c r="A313" s="3">
        <v>46264.396736111114</v>
      </c>
      <c r="B313" s="1">
        <v>14.77</v>
      </c>
      <c r="C313" s="1">
        <v>12.75</v>
      </c>
      <c r="D313" s="1">
        <v>0.92</v>
      </c>
      <c r="E313" s="1" t="s">
        <v>113</v>
      </c>
      <c r="F313" s="1" t="s">
        <v>113</v>
      </c>
      <c r="G313" s="1" t="s">
        <v>113</v>
      </c>
      <c r="H313" s="1" t="str">
        <f>VLOOKUP(F313,Countries!$A$1:$B$161,2,0)</f>
        <v>United States of America</v>
      </c>
    </row>
    <row r="314" spans="1:8" x14ac:dyDescent="0.3">
      <c r="A314" s="3">
        <v>46264.395694444444</v>
      </c>
      <c r="B314" s="1">
        <v>6.37</v>
      </c>
      <c r="C314" s="1">
        <v>5.5</v>
      </c>
      <c r="D314" s="1">
        <v>0.54</v>
      </c>
      <c r="E314" s="1" t="s">
        <v>113</v>
      </c>
      <c r="F314" s="1" t="s">
        <v>113</v>
      </c>
      <c r="G314" s="1" t="s">
        <v>113</v>
      </c>
      <c r="H314" s="1" t="str">
        <f>VLOOKUP(F314,Countries!$A$1:$B$161,2,0)</f>
        <v>United States of America</v>
      </c>
    </row>
    <row r="315" spans="1:8" x14ac:dyDescent="0.3">
      <c r="A315" s="3">
        <v>46264.389409722222</v>
      </c>
      <c r="B315" s="1">
        <v>14.77</v>
      </c>
      <c r="C315" s="1">
        <v>12.75</v>
      </c>
      <c r="D315" s="1">
        <v>0.92</v>
      </c>
      <c r="E315" s="1" t="s">
        <v>113</v>
      </c>
      <c r="F315" s="1" t="s">
        <v>113</v>
      </c>
      <c r="G315" s="1" t="s">
        <v>113</v>
      </c>
      <c r="H315" s="1" t="str">
        <f>VLOOKUP(F315,Countries!$A$1:$B$161,2,0)</f>
        <v>United States of America</v>
      </c>
    </row>
    <row r="316" spans="1:8" x14ac:dyDescent="0.3">
      <c r="A316" s="3">
        <v>46264.385752314818</v>
      </c>
      <c r="B316" s="1">
        <v>12.97</v>
      </c>
      <c r="C316" s="1">
        <v>11.2</v>
      </c>
      <c r="D316" s="1">
        <v>0.64</v>
      </c>
      <c r="E316" s="1" t="s">
        <v>112</v>
      </c>
      <c r="F316" s="1" t="s">
        <v>112</v>
      </c>
      <c r="G316" s="1" t="s">
        <v>112</v>
      </c>
      <c r="H316" s="1" t="str">
        <f>VLOOKUP(F316,Countries!$A$1:$B$161,2,0)</f>
        <v>Ireland</v>
      </c>
    </row>
    <row r="317" spans="1:8" x14ac:dyDescent="0.3">
      <c r="A317" s="3">
        <v>46264.384895833333</v>
      </c>
      <c r="B317" s="1">
        <v>7.77</v>
      </c>
      <c r="C317" s="1">
        <v>6.71</v>
      </c>
      <c r="D317" s="1">
        <v>0.48</v>
      </c>
      <c r="E317" s="1" t="s">
        <v>112</v>
      </c>
      <c r="F317" s="1" t="s">
        <v>112</v>
      </c>
      <c r="G317" s="1" t="s">
        <v>112</v>
      </c>
      <c r="H317" s="1" t="str">
        <f>VLOOKUP(F317,Countries!$A$1:$B$161,2,0)</f>
        <v>Ireland</v>
      </c>
    </row>
    <row r="318" spans="1:8" x14ac:dyDescent="0.3">
      <c r="A318" s="3">
        <v>46264.384189814817</v>
      </c>
      <c r="B318" s="1">
        <v>12.97</v>
      </c>
      <c r="C318" s="1">
        <v>11.2</v>
      </c>
      <c r="D318" s="1">
        <v>0.64</v>
      </c>
      <c r="E318" s="1" t="s">
        <v>112</v>
      </c>
      <c r="F318" s="1" t="s">
        <v>112</v>
      </c>
      <c r="G318" s="1" t="s">
        <v>112</v>
      </c>
      <c r="H318" s="1" t="str">
        <f>VLOOKUP(F318,Countries!$A$1:$B$161,2,0)</f>
        <v>Ireland</v>
      </c>
    </row>
    <row r="319" spans="1:8" x14ac:dyDescent="0.3">
      <c r="A319" s="3">
        <v>46264.377337962957</v>
      </c>
      <c r="B319" s="1">
        <v>1.99</v>
      </c>
      <c r="C319" s="1">
        <v>1.72</v>
      </c>
      <c r="D319" s="1">
        <v>0.34</v>
      </c>
      <c r="E319" s="1" t="s">
        <v>148</v>
      </c>
      <c r="F319" s="1" t="s">
        <v>148</v>
      </c>
      <c r="G319" s="1" t="s">
        <v>148</v>
      </c>
      <c r="H319" s="1" t="str">
        <f>VLOOKUP(F319,Countries!$A$1:$B$161,2,0)</f>
        <v>Honduras</v>
      </c>
    </row>
    <row r="320" spans="1:8" x14ac:dyDescent="0.3">
      <c r="A320" s="3">
        <v>46264.376608796287</v>
      </c>
      <c r="B320" s="1">
        <v>3.18</v>
      </c>
      <c r="C320" s="1">
        <v>2.75</v>
      </c>
      <c r="D320" s="1">
        <v>0.4</v>
      </c>
      <c r="E320" s="1" t="s">
        <v>113</v>
      </c>
      <c r="F320" s="1" t="s">
        <v>113</v>
      </c>
      <c r="G320" s="1" t="s">
        <v>113</v>
      </c>
      <c r="H320" s="1" t="str">
        <f>VLOOKUP(F320,Countries!$A$1:$B$161,2,0)</f>
        <v>United States of America</v>
      </c>
    </row>
    <row r="321" spans="1:8" x14ac:dyDescent="0.3">
      <c r="A321" s="3">
        <v>46264.367372685178</v>
      </c>
      <c r="B321" s="1">
        <v>14.77</v>
      </c>
      <c r="C321" s="1">
        <v>12.75</v>
      </c>
      <c r="D321" s="1">
        <v>0.92</v>
      </c>
      <c r="E321" s="1" t="s">
        <v>113</v>
      </c>
      <c r="F321" s="1" t="s">
        <v>113</v>
      </c>
      <c r="G321" s="1" t="s">
        <v>113</v>
      </c>
      <c r="H321" s="1" t="str">
        <f>VLOOKUP(F321,Countries!$A$1:$B$161,2,0)</f>
        <v>United States of America</v>
      </c>
    </row>
    <row r="322" spans="1:8" x14ac:dyDescent="0.3">
      <c r="A322" s="3">
        <v>46264.360497685193</v>
      </c>
      <c r="B322" s="1">
        <v>6.65</v>
      </c>
      <c r="C322" s="1">
        <v>5.74</v>
      </c>
      <c r="D322" s="1">
        <v>0.55000000000000004</v>
      </c>
      <c r="E322" s="1" t="s">
        <v>130</v>
      </c>
      <c r="F322" s="1" t="s">
        <v>130</v>
      </c>
      <c r="G322" s="1" t="s">
        <v>130</v>
      </c>
      <c r="H322" s="1" t="str">
        <f>VLOOKUP(F322,Countries!$A$1:$B$161,2,0)</f>
        <v>Australia</v>
      </c>
    </row>
    <row r="323" spans="1:8" x14ac:dyDescent="0.3">
      <c r="A323" s="3">
        <v>46264.358831018522</v>
      </c>
      <c r="B323" s="1">
        <v>10.62</v>
      </c>
      <c r="C323" s="1">
        <v>9.17</v>
      </c>
      <c r="D323" s="1">
        <v>0.73</v>
      </c>
      <c r="E323" s="1" t="s">
        <v>113</v>
      </c>
      <c r="F323" s="1" t="s">
        <v>113</v>
      </c>
      <c r="G323" s="1" t="s">
        <v>113</v>
      </c>
      <c r="H323" s="1" t="str">
        <f>VLOOKUP(F323,Countries!$A$1:$B$161,2,0)</f>
        <v>United States of America</v>
      </c>
    </row>
    <row r="324" spans="1:8" x14ac:dyDescent="0.3">
      <c r="A324" s="3">
        <v>46264.358425925922</v>
      </c>
      <c r="B324" s="1">
        <v>14.77</v>
      </c>
      <c r="C324" s="1">
        <v>12.75</v>
      </c>
      <c r="D324" s="1">
        <v>0.92</v>
      </c>
      <c r="E324" s="1" t="s">
        <v>113</v>
      </c>
      <c r="F324" s="1" t="s">
        <v>113</v>
      </c>
      <c r="G324" s="1" t="s">
        <v>113</v>
      </c>
      <c r="H324" s="1" t="str">
        <f>VLOOKUP(F324,Countries!$A$1:$B$161,2,0)</f>
        <v>United States of America</v>
      </c>
    </row>
    <row r="325" spans="1:8" x14ac:dyDescent="0.3">
      <c r="A325" s="3">
        <v>46264.35670138889</v>
      </c>
      <c r="B325" s="1">
        <v>36.96</v>
      </c>
      <c r="C325" s="1">
        <v>31.91</v>
      </c>
      <c r="D325" s="1">
        <v>1.93</v>
      </c>
      <c r="E325" s="1" t="s">
        <v>113</v>
      </c>
      <c r="F325" s="1" t="s">
        <v>113</v>
      </c>
      <c r="G325" s="1" t="s">
        <v>113</v>
      </c>
      <c r="H325" s="1" t="str">
        <f>VLOOKUP(F325,Countries!$A$1:$B$161,2,0)</f>
        <v>United States of America</v>
      </c>
    </row>
    <row r="326" spans="1:8" x14ac:dyDescent="0.3">
      <c r="A326" s="3">
        <v>46264.355138888888</v>
      </c>
      <c r="B326" s="1">
        <v>15.6</v>
      </c>
      <c r="C326" s="1">
        <v>13.47</v>
      </c>
      <c r="D326" s="1">
        <v>0.96</v>
      </c>
      <c r="E326" s="1" t="s">
        <v>149</v>
      </c>
      <c r="F326" s="1" t="s">
        <v>149</v>
      </c>
      <c r="G326" s="1" t="s">
        <v>149</v>
      </c>
      <c r="H326" s="1" t="str">
        <f>VLOOKUP(F326,Countries!$A$1:$B$161,2,0)</f>
        <v>Indonesia</v>
      </c>
    </row>
    <row r="327" spans="1:8" x14ac:dyDescent="0.3">
      <c r="A327" s="3">
        <v>46264.352789351848</v>
      </c>
      <c r="B327" s="1">
        <v>10.62</v>
      </c>
      <c r="C327" s="1">
        <v>9.17</v>
      </c>
      <c r="D327" s="1">
        <v>0.73</v>
      </c>
      <c r="E327" s="1" t="s">
        <v>113</v>
      </c>
      <c r="F327" s="1" t="s">
        <v>113</v>
      </c>
      <c r="G327" s="1" t="s">
        <v>113</v>
      </c>
      <c r="H327" s="1" t="str">
        <f>VLOOKUP(F327,Countries!$A$1:$B$161,2,0)</f>
        <v>United States of America</v>
      </c>
    </row>
    <row r="328" spans="1:8" x14ac:dyDescent="0.3">
      <c r="A328" s="3">
        <v>46264.351030092592</v>
      </c>
      <c r="B328" s="1">
        <v>36.96</v>
      </c>
      <c r="C328" s="1">
        <v>31.91</v>
      </c>
      <c r="D328" s="1">
        <v>1.93</v>
      </c>
      <c r="E328" s="1" t="s">
        <v>113</v>
      </c>
      <c r="F328" s="1" t="s">
        <v>113</v>
      </c>
      <c r="G328" s="1" t="s">
        <v>113</v>
      </c>
      <c r="H328" s="1" t="str">
        <f>VLOOKUP(F328,Countries!$A$1:$B$161,2,0)</f>
        <v>United States of America</v>
      </c>
    </row>
    <row r="329" spans="1:8" x14ac:dyDescent="0.3">
      <c r="A329" s="3">
        <v>46264.349780092591</v>
      </c>
      <c r="B329" s="1">
        <v>5.99</v>
      </c>
      <c r="C329" s="1">
        <v>5.17</v>
      </c>
      <c r="D329" s="1">
        <v>0.52</v>
      </c>
      <c r="E329" s="1" t="s">
        <v>113</v>
      </c>
      <c r="F329" s="1" t="s">
        <v>113</v>
      </c>
      <c r="G329" s="1" t="s">
        <v>113</v>
      </c>
      <c r="H329" s="1" t="str">
        <f>VLOOKUP(F329,Countries!$A$1:$B$161,2,0)</f>
        <v>United States of America</v>
      </c>
    </row>
    <row r="330" spans="1:8" x14ac:dyDescent="0.3">
      <c r="A330" s="3">
        <v>46264.345104166663</v>
      </c>
      <c r="B330" s="1">
        <v>10.62</v>
      </c>
      <c r="C330" s="1">
        <v>9.17</v>
      </c>
      <c r="D330" s="1">
        <v>0.73</v>
      </c>
      <c r="E330" s="1" t="s">
        <v>113</v>
      </c>
      <c r="F330" s="1" t="s">
        <v>113</v>
      </c>
      <c r="G330" s="1" t="s">
        <v>113</v>
      </c>
      <c r="H330" s="1" t="str">
        <f>VLOOKUP(F330,Countries!$A$1:$B$161,2,0)</f>
        <v>United States of America</v>
      </c>
    </row>
    <row r="331" spans="1:8" x14ac:dyDescent="0.3">
      <c r="A331" s="3">
        <v>46264.344641203701</v>
      </c>
      <c r="B331" s="1">
        <v>14.78</v>
      </c>
      <c r="C331" s="1">
        <v>12.76</v>
      </c>
      <c r="D331" s="1">
        <v>0.92</v>
      </c>
      <c r="E331" s="1" t="s">
        <v>113</v>
      </c>
      <c r="F331" s="1" t="s">
        <v>113</v>
      </c>
      <c r="G331" s="1" t="s">
        <v>113</v>
      </c>
      <c r="H331" s="1" t="str">
        <f>VLOOKUP(F331,Countries!$A$1:$B$161,2,0)</f>
        <v>United States of America</v>
      </c>
    </row>
    <row r="332" spans="1:8" x14ac:dyDescent="0.3">
      <c r="A332" s="3">
        <v>46264.343738425923</v>
      </c>
      <c r="B332" s="1">
        <v>14.77</v>
      </c>
      <c r="C332" s="1">
        <v>12.75</v>
      </c>
      <c r="D332" s="1">
        <v>0.92</v>
      </c>
      <c r="E332" s="1" t="s">
        <v>113</v>
      </c>
      <c r="F332" s="1" t="s">
        <v>113</v>
      </c>
      <c r="G332" s="1" t="s">
        <v>113</v>
      </c>
      <c r="H332" s="1" t="str">
        <f>VLOOKUP(F332,Countries!$A$1:$B$161,2,0)</f>
        <v>United States of America</v>
      </c>
    </row>
    <row r="333" spans="1:8" x14ac:dyDescent="0.3">
      <c r="A333" s="3">
        <v>46264.338310185187</v>
      </c>
      <c r="B333" s="1">
        <v>6.37</v>
      </c>
      <c r="C333" s="1">
        <v>5.5</v>
      </c>
      <c r="D333" s="1">
        <v>0.54</v>
      </c>
      <c r="E333" s="1" t="s">
        <v>113</v>
      </c>
      <c r="F333" s="1" t="s">
        <v>113</v>
      </c>
      <c r="G333" s="1" t="s">
        <v>113</v>
      </c>
      <c r="H333" s="1" t="str">
        <f>VLOOKUP(F333,Countries!$A$1:$B$161,2,0)</f>
        <v>United States of America</v>
      </c>
    </row>
    <row r="334" spans="1:8" x14ac:dyDescent="0.3">
      <c r="A334" s="3">
        <v>46264.335590277777</v>
      </c>
      <c r="B334" s="1">
        <v>14.77</v>
      </c>
      <c r="C334" s="1">
        <v>12.75</v>
      </c>
      <c r="D334" s="1">
        <v>0.92</v>
      </c>
      <c r="E334" s="1" t="s">
        <v>113</v>
      </c>
      <c r="F334" s="1" t="s">
        <v>113</v>
      </c>
      <c r="G334" s="1" t="s">
        <v>113</v>
      </c>
      <c r="H334" s="1" t="str">
        <f>VLOOKUP(F334,Countries!$A$1:$B$161,2,0)</f>
        <v>United States of America</v>
      </c>
    </row>
    <row r="335" spans="1:8" x14ac:dyDescent="0.3">
      <c r="A335" s="3">
        <v>46264.334189814806</v>
      </c>
      <c r="B335" s="1">
        <v>10.62</v>
      </c>
      <c r="C335" s="1">
        <v>9.17</v>
      </c>
      <c r="D335" s="1">
        <v>0.73</v>
      </c>
      <c r="E335" s="1" t="s">
        <v>113</v>
      </c>
      <c r="F335" s="1" t="s">
        <v>113</v>
      </c>
      <c r="G335" s="1" t="s">
        <v>113</v>
      </c>
      <c r="H335" s="1" t="str">
        <f>VLOOKUP(F335,Countries!$A$1:$B$161,2,0)</f>
        <v>United States of America</v>
      </c>
    </row>
    <row r="336" spans="1:8" x14ac:dyDescent="0.3">
      <c r="A336" s="3">
        <v>46264.334108796298</v>
      </c>
      <c r="B336" s="1">
        <v>42.88</v>
      </c>
      <c r="C336" s="1">
        <v>37.020000000000003</v>
      </c>
      <c r="D336" s="1">
        <v>2.19</v>
      </c>
      <c r="E336" s="1" t="s">
        <v>113</v>
      </c>
      <c r="F336" s="1" t="s">
        <v>113</v>
      </c>
      <c r="G336" s="1" t="s">
        <v>113</v>
      </c>
      <c r="H336" s="1" t="str">
        <f>VLOOKUP(F336,Countries!$A$1:$B$161,2,0)</f>
        <v>United States of America</v>
      </c>
    </row>
    <row r="337" spans="1:8" x14ac:dyDescent="0.3">
      <c r="A337" s="3">
        <v>46264.324131944442</v>
      </c>
      <c r="B337" s="1">
        <v>6.37</v>
      </c>
      <c r="C337" s="1">
        <v>5.5</v>
      </c>
      <c r="D337" s="1">
        <v>0.54</v>
      </c>
      <c r="E337" s="1" t="s">
        <v>113</v>
      </c>
      <c r="F337" s="1" t="s">
        <v>113</v>
      </c>
      <c r="G337" s="1" t="s">
        <v>113</v>
      </c>
      <c r="H337" s="1" t="str">
        <f>VLOOKUP(F337,Countries!$A$1:$B$161,2,0)</f>
        <v>United States of America</v>
      </c>
    </row>
    <row r="338" spans="1:8" x14ac:dyDescent="0.3">
      <c r="A338" s="3">
        <v>46264.319120370368</v>
      </c>
      <c r="B338" s="1">
        <v>10.62</v>
      </c>
      <c r="C338" s="1">
        <v>9.17</v>
      </c>
      <c r="D338" s="1">
        <v>0.73</v>
      </c>
      <c r="E338" s="1" t="s">
        <v>113</v>
      </c>
      <c r="F338" s="1" t="s">
        <v>113</v>
      </c>
      <c r="G338" s="1" t="s">
        <v>113</v>
      </c>
      <c r="H338" s="1" t="str">
        <f>VLOOKUP(F338,Countries!$A$1:$B$161,2,0)</f>
        <v>United States of America</v>
      </c>
    </row>
    <row r="339" spans="1:8" x14ac:dyDescent="0.3">
      <c r="A339" s="3">
        <v>46264.311307870368</v>
      </c>
      <c r="B339" s="1">
        <v>6.37</v>
      </c>
      <c r="C339" s="1">
        <v>5.5</v>
      </c>
      <c r="D339" s="1">
        <v>0.54</v>
      </c>
      <c r="E339" s="1" t="s">
        <v>113</v>
      </c>
      <c r="F339" s="1" t="s">
        <v>113</v>
      </c>
      <c r="G339" s="1" t="s">
        <v>113</v>
      </c>
      <c r="H339" s="1" t="str">
        <f>VLOOKUP(F339,Countries!$A$1:$B$161,2,0)</f>
        <v>United States of America</v>
      </c>
    </row>
    <row r="340" spans="1:8" x14ac:dyDescent="0.3">
      <c r="A340" s="3">
        <v>46264.303807870368</v>
      </c>
      <c r="B340" s="1">
        <v>2.09</v>
      </c>
      <c r="C340" s="1">
        <v>1.8</v>
      </c>
      <c r="D340" s="1">
        <v>0.35</v>
      </c>
      <c r="E340" s="1" t="s">
        <v>132</v>
      </c>
      <c r="F340" s="1" t="s">
        <v>132</v>
      </c>
      <c r="G340" s="1" t="s">
        <v>132</v>
      </c>
      <c r="H340" s="1" t="str">
        <f>VLOOKUP(F340,Countries!$A$1:$B$161,2,0)</f>
        <v>Canada</v>
      </c>
    </row>
    <row r="341" spans="1:8" x14ac:dyDescent="0.3">
      <c r="A341" s="3">
        <v>46264.302870370368</v>
      </c>
      <c r="B341" s="1">
        <v>15.43</v>
      </c>
      <c r="C341" s="1">
        <v>13.32</v>
      </c>
      <c r="D341" s="1">
        <v>0.95</v>
      </c>
      <c r="E341" s="1" t="s">
        <v>130</v>
      </c>
      <c r="F341" s="1" t="s">
        <v>130</v>
      </c>
      <c r="G341" s="1" t="s">
        <v>130</v>
      </c>
      <c r="H341" s="1" t="str">
        <f>VLOOKUP(F341,Countries!$A$1:$B$161,2,0)</f>
        <v>Australia</v>
      </c>
    </row>
    <row r="342" spans="1:8" x14ac:dyDescent="0.3">
      <c r="A342" s="3">
        <v>46264.292256944442</v>
      </c>
      <c r="B342" s="1">
        <v>6.37</v>
      </c>
      <c r="C342" s="1">
        <v>5.5</v>
      </c>
      <c r="D342" s="1">
        <v>0.54</v>
      </c>
      <c r="E342" s="1" t="s">
        <v>113</v>
      </c>
      <c r="F342" s="1" t="s">
        <v>113</v>
      </c>
      <c r="G342" s="1" t="s">
        <v>113</v>
      </c>
      <c r="H342" s="1" t="str">
        <f>VLOOKUP(F342,Countries!$A$1:$B$161,2,0)</f>
        <v>United States of America</v>
      </c>
    </row>
    <row r="343" spans="1:8" x14ac:dyDescent="0.3">
      <c r="A343" s="3">
        <v>46264.28125</v>
      </c>
      <c r="B343" s="1">
        <v>6.37</v>
      </c>
      <c r="C343" s="1">
        <v>5.5</v>
      </c>
      <c r="D343" s="1">
        <v>0.54</v>
      </c>
      <c r="E343" s="1" t="s">
        <v>113</v>
      </c>
      <c r="F343" s="1" t="s">
        <v>113</v>
      </c>
      <c r="G343" s="1" t="s">
        <v>113</v>
      </c>
      <c r="H343" s="1" t="str">
        <f>VLOOKUP(F343,Countries!$A$1:$B$161,2,0)</f>
        <v>United States of America</v>
      </c>
    </row>
    <row r="344" spans="1:8" x14ac:dyDescent="0.3">
      <c r="A344" s="3">
        <v>46264.279398148137</v>
      </c>
      <c r="B344" s="1">
        <v>5.31</v>
      </c>
      <c r="C344" s="1">
        <v>4.58</v>
      </c>
      <c r="D344" s="1">
        <v>0.49</v>
      </c>
      <c r="E344" s="1" t="s">
        <v>113</v>
      </c>
      <c r="F344" s="1" t="s">
        <v>113</v>
      </c>
      <c r="G344" s="1" t="s">
        <v>113</v>
      </c>
      <c r="H344" s="1" t="str">
        <f>VLOOKUP(F344,Countries!$A$1:$B$161,2,0)</f>
        <v>United States of America</v>
      </c>
    </row>
    <row r="345" spans="1:8" x14ac:dyDescent="0.3">
      <c r="A345" s="3">
        <v>46264.277268518519</v>
      </c>
      <c r="B345" s="1">
        <v>5.31</v>
      </c>
      <c r="C345" s="1">
        <v>4.58</v>
      </c>
      <c r="D345" s="1">
        <v>0.49</v>
      </c>
      <c r="E345" s="1" t="s">
        <v>113</v>
      </c>
      <c r="F345" s="1" t="s">
        <v>113</v>
      </c>
      <c r="G345" s="1" t="s">
        <v>113</v>
      </c>
      <c r="H345" s="1" t="str">
        <f>VLOOKUP(F345,Countries!$A$1:$B$161,2,0)</f>
        <v>United States of America</v>
      </c>
    </row>
    <row r="346" spans="1:8" x14ac:dyDescent="0.3">
      <c r="A346" s="3">
        <v>46264.274884259263</v>
      </c>
      <c r="B346" s="1">
        <v>6.65</v>
      </c>
      <c r="C346" s="1">
        <v>5.74</v>
      </c>
      <c r="D346" s="1">
        <v>0.55000000000000004</v>
      </c>
      <c r="E346" s="1" t="s">
        <v>130</v>
      </c>
      <c r="F346" s="1" t="s">
        <v>130</v>
      </c>
      <c r="G346" s="1" t="s">
        <v>130</v>
      </c>
      <c r="H346" s="1" t="str">
        <f>VLOOKUP(F346,Countries!$A$1:$B$161,2,0)</f>
        <v>Australia</v>
      </c>
    </row>
    <row r="347" spans="1:8" x14ac:dyDescent="0.3">
      <c r="A347" s="3">
        <v>46264.272349537037</v>
      </c>
      <c r="B347" s="1">
        <v>44.55</v>
      </c>
      <c r="C347" s="1">
        <v>38.46</v>
      </c>
      <c r="D347" s="1">
        <v>1.6</v>
      </c>
      <c r="E347" s="1" t="s">
        <v>124</v>
      </c>
      <c r="F347" s="1" t="s">
        <v>124</v>
      </c>
      <c r="G347" s="1" t="s">
        <v>124</v>
      </c>
      <c r="H347" s="1" t="str">
        <f>VLOOKUP(F347,Countries!$A$1:$B$161,2,0)</f>
        <v>Italy</v>
      </c>
    </row>
    <row r="348" spans="1:8" x14ac:dyDescent="0.3">
      <c r="A348" s="3">
        <v>46264.269548611112</v>
      </c>
      <c r="B348" s="1">
        <v>24.94</v>
      </c>
      <c r="C348" s="1">
        <v>21.53</v>
      </c>
      <c r="D348" s="1">
        <v>1</v>
      </c>
      <c r="E348" s="1" t="s">
        <v>124</v>
      </c>
      <c r="F348" s="1" t="s">
        <v>124</v>
      </c>
      <c r="G348" s="1" t="s">
        <v>124</v>
      </c>
      <c r="H348" s="1" t="str">
        <f>VLOOKUP(F348,Countries!$A$1:$B$161,2,0)</f>
        <v>Italy</v>
      </c>
    </row>
    <row r="349" spans="1:8" x14ac:dyDescent="0.3">
      <c r="A349" s="3">
        <v>46264.264791666668</v>
      </c>
      <c r="B349" s="1">
        <v>17.8</v>
      </c>
      <c r="C349" s="1">
        <v>15.37</v>
      </c>
      <c r="D349" s="1">
        <v>0.79</v>
      </c>
      <c r="E349" s="1" t="s">
        <v>124</v>
      </c>
      <c r="F349" s="1" t="s">
        <v>124</v>
      </c>
      <c r="G349" s="1" t="s">
        <v>124</v>
      </c>
      <c r="H349" s="1" t="str">
        <f>VLOOKUP(F349,Countries!$A$1:$B$161,2,0)</f>
        <v>Italy</v>
      </c>
    </row>
    <row r="350" spans="1:8" x14ac:dyDescent="0.3">
      <c r="A350" s="3">
        <v>46264.260104166657</v>
      </c>
      <c r="B350" s="1">
        <v>14.77</v>
      </c>
      <c r="C350" s="1">
        <v>12.75</v>
      </c>
      <c r="D350" s="1">
        <v>0.92</v>
      </c>
      <c r="E350" s="1" t="s">
        <v>113</v>
      </c>
      <c r="F350" s="1" t="s">
        <v>113</v>
      </c>
      <c r="G350" s="1" t="s">
        <v>113</v>
      </c>
      <c r="H350" s="1" t="str">
        <f>VLOOKUP(F350,Countries!$A$1:$B$161,2,0)</f>
        <v>United States of America</v>
      </c>
    </row>
    <row r="351" spans="1:8" x14ac:dyDescent="0.3">
      <c r="A351" s="3">
        <v>46264.25980324074</v>
      </c>
      <c r="B351" s="1">
        <v>14.77</v>
      </c>
      <c r="C351" s="1">
        <v>12.75</v>
      </c>
      <c r="D351" s="1">
        <v>0.92</v>
      </c>
      <c r="E351" s="1" t="s">
        <v>113</v>
      </c>
      <c r="F351" s="1" t="s">
        <v>113</v>
      </c>
      <c r="G351" s="1" t="s">
        <v>113</v>
      </c>
      <c r="H351" s="1" t="str">
        <f>VLOOKUP(F351,Countries!$A$1:$B$161,2,0)</f>
        <v>United States of America</v>
      </c>
    </row>
    <row r="352" spans="1:8" x14ac:dyDescent="0.3">
      <c r="A352" s="3">
        <v>46264.25608796296</v>
      </c>
      <c r="B352" s="1">
        <v>10.62</v>
      </c>
      <c r="C352" s="1">
        <v>9.17</v>
      </c>
      <c r="D352" s="1">
        <v>0.73</v>
      </c>
      <c r="E352" s="1" t="s">
        <v>113</v>
      </c>
      <c r="F352" s="1" t="s">
        <v>113</v>
      </c>
      <c r="G352" s="1" t="s">
        <v>113</v>
      </c>
      <c r="H352" s="1" t="str">
        <f>VLOOKUP(F352,Countries!$A$1:$B$161,2,0)</f>
        <v>United States of America</v>
      </c>
    </row>
    <row r="353" spans="1:8" x14ac:dyDescent="0.3">
      <c r="A353" s="3">
        <v>46264.24627314815</v>
      </c>
      <c r="B353" s="1">
        <v>6.37</v>
      </c>
      <c r="C353" s="1">
        <v>5.5</v>
      </c>
      <c r="D353" s="1">
        <v>0.54</v>
      </c>
      <c r="E353" s="1" t="s">
        <v>113</v>
      </c>
      <c r="F353" s="1" t="s">
        <v>113</v>
      </c>
      <c r="G353" s="1" t="s">
        <v>113</v>
      </c>
      <c r="H353" s="1" t="str">
        <f>VLOOKUP(F353,Countries!$A$1:$B$161,2,0)</f>
        <v>United States of America</v>
      </c>
    </row>
    <row r="354" spans="1:8" x14ac:dyDescent="0.3">
      <c r="A354" s="3">
        <v>46264.239594907413</v>
      </c>
      <c r="B354" s="1">
        <v>7.48</v>
      </c>
      <c r="C354" s="1">
        <v>6.46</v>
      </c>
      <c r="D354" s="1">
        <v>0.54</v>
      </c>
      <c r="E354" s="1" t="s">
        <v>119</v>
      </c>
      <c r="F354" s="1" t="s">
        <v>119</v>
      </c>
      <c r="G354" s="1" t="s">
        <v>119</v>
      </c>
      <c r="H354" s="1" t="str">
        <f>VLOOKUP(F354,Countries!$A$1:$B$161,2,0)</f>
        <v>Great Britain (United Kingdom)</v>
      </c>
    </row>
    <row r="355" spans="1:8" x14ac:dyDescent="0.3">
      <c r="A355" s="3">
        <v>46264.238067129627</v>
      </c>
      <c r="B355" s="1">
        <v>7.67</v>
      </c>
      <c r="C355" s="1">
        <v>6.62</v>
      </c>
      <c r="D355" s="1">
        <v>0.48</v>
      </c>
      <c r="E355" s="1" t="s">
        <v>124</v>
      </c>
      <c r="F355" s="1" t="s">
        <v>124</v>
      </c>
      <c r="G355" s="1" t="s">
        <v>124</v>
      </c>
      <c r="H355" s="1" t="str">
        <f>VLOOKUP(F355,Countries!$A$1:$B$161,2,0)</f>
        <v>Italy</v>
      </c>
    </row>
    <row r="356" spans="1:8" x14ac:dyDescent="0.3">
      <c r="A356" s="3">
        <v>46264.227962962963</v>
      </c>
      <c r="B356" s="1">
        <v>6.37</v>
      </c>
      <c r="C356" s="1">
        <v>5.5</v>
      </c>
      <c r="D356" s="1">
        <v>0.54</v>
      </c>
      <c r="E356" s="1" t="s">
        <v>113</v>
      </c>
      <c r="F356" s="1" t="s">
        <v>113</v>
      </c>
      <c r="G356" s="1" t="s">
        <v>113</v>
      </c>
      <c r="H356" s="1" t="str">
        <f>VLOOKUP(F356,Countries!$A$1:$B$161,2,0)</f>
        <v>United States of America</v>
      </c>
    </row>
    <row r="357" spans="1:8" x14ac:dyDescent="0.3">
      <c r="A357" s="3">
        <v>46264.213912037027</v>
      </c>
      <c r="B357" s="1">
        <v>6.37</v>
      </c>
      <c r="C357" s="1">
        <v>5.5</v>
      </c>
      <c r="D357" s="1">
        <v>0.54</v>
      </c>
      <c r="E357" s="1" t="s">
        <v>113</v>
      </c>
      <c r="F357" s="1" t="s">
        <v>113</v>
      </c>
      <c r="G357" s="1" t="s">
        <v>113</v>
      </c>
      <c r="H357" s="1" t="str">
        <f>VLOOKUP(F357,Countries!$A$1:$B$161,2,0)</f>
        <v>United States of America</v>
      </c>
    </row>
    <row r="358" spans="1:8" x14ac:dyDescent="0.3">
      <c r="A358" s="3">
        <v>46264.183530092603</v>
      </c>
      <c r="B358" s="1">
        <v>6.37</v>
      </c>
      <c r="C358" s="1">
        <v>5.5</v>
      </c>
      <c r="D358" s="1">
        <v>0.54</v>
      </c>
      <c r="E358" s="1" t="s">
        <v>113</v>
      </c>
      <c r="F358" s="1" t="s">
        <v>113</v>
      </c>
      <c r="G358" s="1" t="s">
        <v>113</v>
      </c>
      <c r="H358" s="1" t="str">
        <f>VLOOKUP(F358,Countries!$A$1:$B$161,2,0)</f>
        <v>United States of America</v>
      </c>
    </row>
    <row r="359" spans="1:8" x14ac:dyDescent="0.3">
      <c r="A359" s="3">
        <v>46264.156770833331</v>
      </c>
      <c r="B359" s="1">
        <v>10.62</v>
      </c>
      <c r="C359" s="1">
        <v>9.17</v>
      </c>
      <c r="D359" s="1">
        <v>0.73</v>
      </c>
      <c r="E359" s="1" t="s">
        <v>113</v>
      </c>
      <c r="F359" s="1" t="s">
        <v>113</v>
      </c>
      <c r="G359" s="1" t="s">
        <v>113</v>
      </c>
      <c r="H359" s="1" t="str">
        <f>VLOOKUP(F359,Countries!$A$1:$B$161,2,0)</f>
        <v>United States of America</v>
      </c>
    </row>
    <row r="360" spans="1:8" x14ac:dyDescent="0.3">
      <c r="A360" s="3">
        <v>46264.149652777778</v>
      </c>
      <c r="B360" s="1">
        <v>6.37</v>
      </c>
      <c r="C360" s="1">
        <v>5.5</v>
      </c>
      <c r="D360" s="1">
        <v>0.54</v>
      </c>
      <c r="E360" s="1" t="s">
        <v>113</v>
      </c>
      <c r="F360" s="1" t="s">
        <v>113</v>
      </c>
      <c r="G360" s="1" t="s">
        <v>113</v>
      </c>
      <c r="H360" s="1" t="str">
        <f>VLOOKUP(F360,Countries!$A$1:$B$161,2,0)</f>
        <v>United States of America</v>
      </c>
    </row>
    <row r="361" spans="1:8" x14ac:dyDescent="0.3">
      <c r="A361" s="3">
        <v>46264.114722222221</v>
      </c>
      <c r="B361" s="1">
        <v>7.67</v>
      </c>
      <c r="C361" s="1">
        <v>6.62</v>
      </c>
      <c r="D361" s="1">
        <v>0.48</v>
      </c>
      <c r="E361" s="1" t="s">
        <v>124</v>
      </c>
      <c r="F361" s="1" t="s">
        <v>124</v>
      </c>
      <c r="G361" s="1" t="s">
        <v>124</v>
      </c>
      <c r="H361" s="1" t="str">
        <f>VLOOKUP(F361,Countries!$A$1:$B$161,2,0)</f>
        <v>Italy</v>
      </c>
    </row>
    <row r="362" spans="1:8" x14ac:dyDescent="0.3">
      <c r="A362" s="3">
        <v>46264.113113425927</v>
      </c>
      <c r="B362" s="1">
        <v>71.14</v>
      </c>
      <c r="C362" s="1">
        <v>61.41</v>
      </c>
      <c r="D362" s="1">
        <v>2.4</v>
      </c>
      <c r="E362" s="1" t="s">
        <v>124</v>
      </c>
      <c r="F362" s="1" t="s">
        <v>124</v>
      </c>
      <c r="G362" s="1" t="s">
        <v>124</v>
      </c>
      <c r="H362" s="1" t="str">
        <f>VLOOKUP(F362,Countries!$A$1:$B$161,2,0)</f>
        <v>Italy</v>
      </c>
    </row>
    <row r="363" spans="1:8" x14ac:dyDescent="0.3">
      <c r="A363" s="3">
        <v>46264.111458333333</v>
      </c>
      <c r="B363" s="1">
        <v>35.64</v>
      </c>
      <c r="C363" s="1">
        <v>30.77</v>
      </c>
      <c r="D363" s="1">
        <v>1.33</v>
      </c>
      <c r="E363" s="1" t="s">
        <v>124</v>
      </c>
      <c r="F363" s="1" t="s">
        <v>124</v>
      </c>
      <c r="G363" s="1" t="s">
        <v>124</v>
      </c>
      <c r="H363" s="1" t="str">
        <f>VLOOKUP(F363,Countries!$A$1:$B$161,2,0)</f>
        <v>Italy</v>
      </c>
    </row>
    <row r="364" spans="1:8" x14ac:dyDescent="0.3">
      <c r="A364" s="3">
        <v>46264.111157407409</v>
      </c>
      <c r="B364" s="1">
        <v>6.37</v>
      </c>
      <c r="C364" s="1">
        <v>5.5</v>
      </c>
      <c r="D364" s="1">
        <v>0.54</v>
      </c>
      <c r="E364" s="1" t="s">
        <v>113</v>
      </c>
      <c r="F364" s="1" t="s">
        <v>113</v>
      </c>
      <c r="G364" s="1" t="s">
        <v>113</v>
      </c>
      <c r="H364" s="1" t="str">
        <f>VLOOKUP(F364,Countries!$A$1:$B$161,2,0)</f>
        <v>United States of America</v>
      </c>
    </row>
    <row r="365" spans="1:8" x14ac:dyDescent="0.3">
      <c r="A365" s="3">
        <v>46264.098414351851</v>
      </c>
      <c r="B365" s="1">
        <v>6.37</v>
      </c>
      <c r="C365" s="1">
        <v>5.5</v>
      </c>
      <c r="D365" s="1">
        <v>0.54</v>
      </c>
      <c r="E365" s="1" t="s">
        <v>113</v>
      </c>
      <c r="F365" s="1" t="s">
        <v>113</v>
      </c>
      <c r="G365" s="1" t="s">
        <v>113</v>
      </c>
      <c r="H365" s="1" t="str">
        <f>VLOOKUP(F365,Countries!$A$1:$B$161,2,0)</f>
        <v>United States of America</v>
      </c>
    </row>
    <row r="366" spans="1:8" x14ac:dyDescent="0.3">
      <c r="A366" s="3">
        <v>46264.097129629627</v>
      </c>
      <c r="B366" s="1">
        <v>6.37</v>
      </c>
      <c r="C366" s="1">
        <v>5.5</v>
      </c>
      <c r="D366" s="1">
        <v>0.54</v>
      </c>
      <c r="E366" s="1" t="s">
        <v>113</v>
      </c>
      <c r="F366" s="1" t="s">
        <v>113</v>
      </c>
      <c r="G366" s="1" t="s">
        <v>113</v>
      </c>
      <c r="H366" s="1" t="str">
        <f>VLOOKUP(F366,Countries!$A$1:$B$161,2,0)</f>
        <v>United States of America</v>
      </c>
    </row>
    <row r="367" spans="1:8" x14ac:dyDescent="0.3">
      <c r="A367" s="3">
        <v>46264.096724537027</v>
      </c>
      <c r="B367" s="1">
        <v>6.37</v>
      </c>
      <c r="C367" s="1">
        <v>5.5</v>
      </c>
      <c r="D367" s="1">
        <v>0.54</v>
      </c>
      <c r="E367" s="1" t="s">
        <v>113</v>
      </c>
      <c r="F367" s="1" t="s">
        <v>113</v>
      </c>
      <c r="G367" s="1" t="s">
        <v>113</v>
      </c>
      <c r="H367" s="1" t="str">
        <f>VLOOKUP(F367,Countries!$A$1:$B$161,2,0)</f>
        <v>United States of America</v>
      </c>
    </row>
    <row r="368" spans="1:8" x14ac:dyDescent="0.3">
      <c r="A368" s="3">
        <v>46264.078946759262</v>
      </c>
      <c r="B368" s="1">
        <v>17.010000000000002</v>
      </c>
      <c r="C368" s="1">
        <v>14.68</v>
      </c>
      <c r="D368" s="1">
        <v>1.02</v>
      </c>
      <c r="E368" s="1" t="s">
        <v>113</v>
      </c>
      <c r="F368" s="1" t="s">
        <v>113</v>
      </c>
      <c r="G368" s="1" t="s">
        <v>113</v>
      </c>
      <c r="H368" s="1" t="str">
        <f>VLOOKUP(F368,Countries!$A$1:$B$161,2,0)</f>
        <v>United States of America</v>
      </c>
    </row>
    <row r="369" spans="1:8" x14ac:dyDescent="0.3">
      <c r="A369" s="3">
        <v>46264.074050925927</v>
      </c>
      <c r="B369" s="1">
        <v>6.37</v>
      </c>
      <c r="C369" s="1">
        <v>5.5</v>
      </c>
      <c r="D369" s="1">
        <v>0.54</v>
      </c>
      <c r="E369" s="1" t="s">
        <v>113</v>
      </c>
      <c r="F369" s="1" t="s">
        <v>113</v>
      </c>
      <c r="G369" s="1" t="s">
        <v>113</v>
      </c>
      <c r="H369" s="1" t="str">
        <f>VLOOKUP(F369,Countries!$A$1:$B$161,2,0)</f>
        <v>United States of America</v>
      </c>
    </row>
    <row r="370" spans="1:8" x14ac:dyDescent="0.3">
      <c r="A370" s="3">
        <v>46264.06695601852</v>
      </c>
      <c r="B370" s="1">
        <v>3.18</v>
      </c>
      <c r="C370" s="1">
        <v>2.75</v>
      </c>
      <c r="D370" s="1">
        <v>0.4</v>
      </c>
      <c r="E370" s="1" t="s">
        <v>113</v>
      </c>
      <c r="F370" s="1" t="s">
        <v>113</v>
      </c>
      <c r="G370" s="1" t="s">
        <v>113</v>
      </c>
      <c r="H370" s="1" t="str">
        <f>VLOOKUP(F370,Countries!$A$1:$B$161,2,0)</f>
        <v>United States of America</v>
      </c>
    </row>
    <row r="371" spans="1:8" x14ac:dyDescent="0.3">
      <c r="A371" s="3">
        <v>46264.061909722222</v>
      </c>
      <c r="B371" s="1">
        <v>7.77</v>
      </c>
      <c r="C371" s="1">
        <v>6.71</v>
      </c>
      <c r="D371" s="1">
        <v>0.48</v>
      </c>
      <c r="E371" s="1" t="s">
        <v>137</v>
      </c>
      <c r="F371" s="1" t="s">
        <v>137</v>
      </c>
      <c r="G371" s="1" t="s">
        <v>137</v>
      </c>
      <c r="H371" s="1" t="str">
        <f>VLOOKUP(F371,Countries!$A$1:$B$161,2,0)</f>
        <v>Poland</v>
      </c>
    </row>
    <row r="372" spans="1:8" x14ac:dyDescent="0.3">
      <c r="A372" s="3">
        <v>46264.059016203697</v>
      </c>
      <c r="B372" s="1">
        <v>36.96</v>
      </c>
      <c r="C372" s="1">
        <v>31.91</v>
      </c>
      <c r="D372" s="1">
        <v>1.93</v>
      </c>
      <c r="E372" s="1" t="s">
        <v>113</v>
      </c>
      <c r="F372" s="1" t="s">
        <v>113</v>
      </c>
      <c r="G372" s="1" t="s">
        <v>113</v>
      </c>
      <c r="H372" s="1" t="str">
        <f>VLOOKUP(F372,Countries!$A$1:$B$161,2,0)</f>
        <v>United States of America</v>
      </c>
    </row>
    <row r="373" spans="1:8" x14ac:dyDescent="0.3">
      <c r="A373" s="3">
        <v>46264.054930555547</v>
      </c>
      <c r="B373" s="1">
        <v>6.37</v>
      </c>
      <c r="C373" s="1">
        <v>5.5</v>
      </c>
      <c r="D373" s="1">
        <v>0.54</v>
      </c>
      <c r="E373" s="1" t="s">
        <v>113</v>
      </c>
      <c r="F373" s="1" t="s">
        <v>113</v>
      </c>
      <c r="G373" s="1" t="s">
        <v>113</v>
      </c>
      <c r="H373" s="1" t="str">
        <f>VLOOKUP(F373,Countries!$A$1:$B$161,2,0)</f>
        <v>United States of America</v>
      </c>
    </row>
    <row r="374" spans="1:8" x14ac:dyDescent="0.3">
      <c r="A374" s="3">
        <v>46264.053055555552</v>
      </c>
      <c r="B374" s="1">
        <v>6.37</v>
      </c>
      <c r="C374" s="1">
        <v>5.5</v>
      </c>
      <c r="D374" s="1">
        <v>0.54</v>
      </c>
      <c r="E374" s="1" t="s">
        <v>113</v>
      </c>
      <c r="F374" s="1" t="s">
        <v>113</v>
      </c>
      <c r="G374" s="1" t="s">
        <v>113</v>
      </c>
      <c r="H374" s="1" t="str">
        <f>VLOOKUP(F374,Countries!$A$1:$B$161,2,0)</f>
        <v>United States of America</v>
      </c>
    </row>
    <row r="375" spans="1:8" x14ac:dyDescent="0.3">
      <c r="A375" s="3">
        <v>46264.038611111107</v>
      </c>
      <c r="B375" s="1">
        <v>6.37</v>
      </c>
      <c r="C375" s="1">
        <v>5.5</v>
      </c>
      <c r="D375" s="1">
        <v>0.54</v>
      </c>
      <c r="E375" s="1" t="s">
        <v>113</v>
      </c>
      <c r="F375" s="1" t="s">
        <v>113</v>
      </c>
      <c r="G375" s="1" t="s">
        <v>113</v>
      </c>
      <c r="H375" s="1" t="str">
        <f>VLOOKUP(F375,Countries!$A$1:$B$161,2,0)</f>
        <v>United States of America</v>
      </c>
    </row>
    <row r="376" spans="1:8" x14ac:dyDescent="0.3">
      <c r="A376" s="3">
        <v>46264.032824074071</v>
      </c>
      <c r="B376" s="1">
        <v>7.77</v>
      </c>
      <c r="C376" s="1">
        <v>6.71</v>
      </c>
      <c r="D376" s="1">
        <v>0.48</v>
      </c>
      <c r="E376" s="1" t="s">
        <v>112</v>
      </c>
      <c r="F376" s="1" t="s">
        <v>112</v>
      </c>
      <c r="G376" s="1" t="s">
        <v>112</v>
      </c>
      <c r="H376" s="1" t="str">
        <f>VLOOKUP(F376,Countries!$A$1:$B$161,2,0)</f>
        <v>Ireland</v>
      </c>
    </row>
    <row r="377" spans="1:8" x14ac:dyDescent="0.3">
      <c r="A377" s="3">
        <v>46264.030925925923</v>
      </c>
      <c r="B377" s="1">
        <v>2.99</v>
      </c>
      <c r="C377" s="1">
        <v>2.58</v>
      </c>
      <c r="D377" s="1">
        <v>0.38</v>
      </c>
      <c r="E377" s="1"/>
      <c r="F377" s="1" t="s">
        <v>113</v>
      </c>
      <c r="G377" s="1" t="s">
        <v>113</v>
      </c>
      <c r="H377" s="1" t="str">
        <f>VLOOKUP(F377,Countries!$A$1:$B$161,2,0)</f>
        <v>United States of America</v>
      </c>
    </row>
    <row r="378" spans="1:8" x14ac:dyDescent="0.3">
      <c r="A378" s="3">
        <v>46264.027905092589</v>
      </c>
      <c r="B378" s="1">
        <v>6.37</v>
      </c>
      <c r="C378" s="1">
        <v>5.5</v>
      </c>
      <c r="D378" s="1">
        <v>0.54</v>
      </c>
      <c r="E378" s="1" t="s">
        <v>113</v>
      </c>
      <c r="F378" s="1" t="s">
        <v>113</v>
      </c>
      <c r="G378" s="1" t="s">
        <v>113</v>
      </c>
      <c r="H378" s="1" t="str">
        <f>VLOOKUP(F378,Countries!$A$1:$B$161,2,0)</f>
        <v>United States of America</v>
      </c>
    </row>
    <row r="379" spans="1:8" x14ac:dyDescent="0.3">
      <c r="A379" s="3">
        <v>46264.02306712963</v>
      </c>
      <c r="B379" s="1">
        <v>7.48</v>
      </c>
      <c r="C379" s="1">
        <v>6.46</v>
      </c>
      <c r="D379" s="1">
        <v>0.48</v>
      </c>
      <c r="E379" s="1" t="s">
        <v>123</v>
      </c>
      <c r="F379" s="1" t="s">
        <v>123</v>
      </c>
      <c r="G379" s="1" t="s">
        <v>123</v>
      </c>
      <c r="H379" s="1" t="str">
        <f>VLOOKUP(F379,Countries!$A$1:$B$161,2,0)</f>
        <v>France</v>
      </c>
    </row>
    <row r="380" spans="1:8" x14ac:dyDescent="0.3">
      <c r="A380" s="3">
        <v>46264.015648148154</v>
      </c>
      <c r="B380" s="1">
        <v>3.18</v>
      </c>
      <c r="C380" s="1">
        <v>2.75</v>
      </c>
      <c r="D380" s="1">
        <v>0.4</v>
      </c>
      <c r="E380" s="1" t="s">
        <v>113</v>
      </c>
      <c r="F380" s="1" t="s">
        <v>113</v>
      </c>
      <c r="G380" s="1" t="s">
        <v>113</v>
      </c>
      <c r="H380" s="1" t="str">
        <f>VLOOKUP(F380,Countries!$A$1:$B$161,2,0)</f>
        <v>United States of America</v>
      </c>
    </row>
    <row r="381" spans="1:8" x14ac:dyDescent="0.3">
      <c r="A381" s="3">
        <v>46264.014131944437</v>
      </c>
      <c r="B381" s="1">
        <v>2.11</v>
      </c>
      <c r="C381" s="1">
        <v>1.82</v>
      </c>
      <c r="D381" s="1">
        <v>0.35</v>
      </c>
      <c r="E381" s="1" t="s">
        <v>113</v>
      </c>
      <c r="F381" s="1" t="s">
        <v>113</v>
      </c>
      <c r="G381" s="1" t="s">
        <v>113</v>
      </c>
      <c r="H381" s="1" t="str">
        <f>VLOOKUP(F381,Countries!$A$1:$B$161,2,0)</f>
        <v>United States of America</v>
      </c>
    </row>
    <row r="382" spans="1:8" x14ac:dyDescent="0.3">
      <c r="A382" s="3">
        <v>46264.012280092589</v>
      </c>
      <c r="B382" s="1">
        <v>3.99</v>
      </c>
      <c r="C382" s="1">
        <v>3.44</v>
      </c>
      <c r="D382" s="1">
        <v>0.37</v>
      </c>
      <c r="E382" s="1" t="s">
        <v>137</v>
      </c>
      <c r="F382" s="1" t="s">
        <v>137</v>
      </c>
      <c r="G382" s="1" t="s">
        <v>137</v>
      </c>
      <c r="H382" s="1" t="str">
        <f>VLOOKUP(F382,Countries!$A$1:$B$161,2,0)</f>
        <v>Poland</v>
      </c>
    </row>
    <row r="383" spans="1:8" x14ac:dyDescent="0.3">
      <c r="A383" s="3">
        <v>46263.996712962973</v>
      </c>
      <c r="B383" s="1">
        <v>2.21</v>
      </c>
      <c r="C383" s="1">
        <v>1.91</v>
      </c>
      <c r="D383" s="1">
        <v>0.35</v>
      </c>
      <c r="E383" s="1" t="s">
        <v>130</v>
      </c>
      <c r="F383" s="1" t="s">
        <v>130</v>
      </c>
      <c r="G383" s="1" t="s">
        <v>130</v>
      </c>
      <c r="H383" s="1" t="str">
        <f>VLOOKUP(F383,Countries!$A$1:$B$161,2,0)</f>
        <v>Australia</v>
      </c>
    </row>
    <row r="384" spans="1:8" x14ac:dyDescent="0.3">
      <c r="A384" s="3">
        <v>46263.987881944442</v>
      </c>
      <c r="B384" s="1">
        <v>4.99</v>
      </c>
      <c r="C384" s="1">
        <v>4.3099999999999996</v>
      </c>
      <c r="D384" s="1">
        <v>0.48</v>
      </c>
      <c r="E384" s="1" t="s">
        <v>150</v>
      </c>
      <c r="F384" s="1" t="s">
        <v>150</v>
      </c>
      <c r="G384" s="1" t="s">
        <v>150</v>
      </c>
      <c r="H384" s="1" t="str">
        <f>VLOOKUP(F384,Countries!$A$1:$B$161,2,0)</f>
        <v>El Salvador</v>
      </c>
    </row>
    <row r="385" spans="1:8" x14ac:dyDescent="0.3">
      <c r="A385" s="3">
        <v>46263.985833333332</v>
      </c>
      <c r="B385" s="1">
        <v>15.43</v>
      </c>
      <c r="C385" s="1">
        <v>13.32</v>
      </c>
      <c r="D385" s="1">
        <v>0.95</v>
      </c>
      <c r="E385" s="1" t="s">
        <v>130</v>
      </c>
      <c r="F385" s="1" t="s">
        <v>130</v>
      </c>
      <c r="G385" s="1" t="s">
        <v>130</v>
      </c>
      <c r="H385" s="1" t="str">
        <f>VLOOKUP(F385,Countries!$A$1:$B$161,2,0)</f>
        <v>Australia</v>
      </c>
    </row>
    <row r="386" spans="1:8" x14ac:dyDescent="0.3">
      <c r="A386" s="3">
        <v>46263.98133101852</v>
      </c>
      <c r="B386" s="1">
        <v>5.99</v>
      </c>
      <c r="C386" s="1">
        <v>5.17</v>
      </c>
      <c r="D386" s="1">
        <v>0.52</v>
      </c>
      <c r="E386" s="1"/>
      <c r="F386" s="1" t="s">
        <v>113</v>
      </c>
      <c r="G386" s="1" t="s">
        <v>113</v>
      </c>
      <c r="H386" s="1" t="str">
        <f>VLOOKUP(F386,Countries!$A$1:$B$161,2,0)</f>
        <v>United States of America</v>
      </c>
    </row>
    <row r="387" spans="1:8" x14ac:dyDescent="0.3">
      <c r="A387" s="3">
        <v>46263.972094907411</v>
      </c>
      <c r="B387" s="1">
        <v>2.99</v>
      </c>
      <c r="C387" s="1">
        <v>2.58</v>
      </c>
      <c r="D387" s="1">
        <v>0.38</v>
      </c>
      <c r="E387" s="1" t="s">
        <v>113</v>
      </c>
      <c r="F387" s="1" t="s">
        <v>113</v>
      </c>
      <c r="G387" s="1" t="s">
        <v>113</v>
      </c>
      <c r="H387" s="1" t="str">
        <f>VLOOKUP(F387,Countries!$A$1:$B$161,2,0)</f>
        <v>United States of America</v>
      </c>
    </row>
    <row r="388" spans="1:8" x14ac:dyDescent="0.3">
      <c r="A388" s="3">
        <v>46263.968009259261</v>
      </c>
      <c r="B388" s="1">
        <v>6.37</v>
      </c>
      <c r="C388" s="1">
        <v>5.5</v>
      </c>
      <c r="D388" s="1">
        <v>0.54</v>
      </c>
      <c r="E388" s="1" t="s">
        <v>113</v>
      </c>
      <c r="F388" s="1" t="s">
        <v>113</v>
      </c>
      <c r="G388" s="1" t="s">
        <v>113</v>
      </c>
      <c r="H388" s="1" t="str">
        <f>VLOOKUP(F388,Countries!$A$1:$B$161,2,0)</f>
        <v>United States of America</v>
      </c>
    </row>
    <row r="389" spans="1:8" x14ac:dyDescent="0.3">
      <c r="A389" s="3">
        <v>46263.964236111111</v>
      </c>
      <c r="B389" s="1">
        <v>6.3</v>
      </c>
      <c r="C389" s="1">
        <v>5.44</v>
      </c>
      <c r="D389" s="1">
        <v>0.54</v>
      </c>
      <c r="E389" s="1" t="s">
        <v>132</v>
      </c>
      <c r="F389" s="1" t="s">
        <v>132</v>
      </c>
      <c r="G389" s="1" t="s">
        <v>132</v>
      </c>
      <c r="H389" s="1" t="str">
        <f>VLOOKUP(F389,Countries!$A$1:$B$161,2,0)</f>
        <v>Canada</v>
      </c>
    </row>
    <row r="390" spans="1:8" x14ac:dyDescent="0.3">
      <c r="A390" s="3">
        <v>46263.962523148148</v>
      </c>
      <c r="B390" s="1">
        <v>18.98</v>
      </c>
      <c r="C390" s="1">
        <v>16.39</v>
      </c>
      <c r="D390" s="1">
        <v>0.83</v>
      </c>
      <c r="E390" s="1" t="s">
        <v>151</v>
      </c>
      <c r="F390" s="1" t="s">
        <v>151</v>
      </c>
      <c r="G390" s="1" t="s">
        <v>151</v>
      </c>
      <c r="H390" s="1" t="str">
        <f>VLOOKUP(F390,Countries!$A$1:$B$161,2,0)</f>
        <v>Netherlands (Holland)</v>
      </c>
    </row>
    <row r="391" spans="1:8" x14ac:dyDescent="0.3">
      <c r="A391" s="3">
        <v>46263.959849537037</v>
      </c>
      <c r="B391" s="1">
        <v>6.58</v>
      </c>
      <c r="C391" s="1">
        <v>5.68</v>
      </c>
      <c r="D391" s="1">
        <v>0.54</v>
      </c>
      <c r="E391" s="1" t="s">
        <v>152</v>
      </c>
      <c r="F391" s="1" t="s">
        <v>152</v>
      </c>
      <c r="G391" s="1" t="s">
        <v>152</v>
      </c>
      <c r="H391" s="1" t="str">
        <f>VLOOKUP(F391,Countries!$A$1:$B$161,2,0)</f>
        <v>Singapore</v>
      </c>
    </row>
    <row r="392" spans="1:8" x14ac:dyDescent="0.3">
      <c r="A392" s="3">
        <v>46263.956701388888</v>
      </c>
      <c r="B392" s="1">
        <v>7.58</v>
      </c>
      <c r="C392" s="1">
        <v>6.54</v>
      </c>
      <c r="D392" s="1">
        <v>0.48</v>
      </c>
      <c r="E392" s="1" t="s">
        <v>151</v>
      </c>
      <c r="F392" s="1" t="s">
        <v>151</v>
      </c>
      <c r="G392" s="1" t="s">
        <v>151</v>
      </c>
      <c r="H392" s="1" t="str">
        <f>VLOOKUP(F392,Countries!$A$1:$B$161,2,0)</f>
        <v>Netherlands (Holland)</v>
      </c>
    </row>
    <row r="393" spans="1:8" x14ac:dyDescent="0.3">
      <c r="A393" s="3">
        <v>46263.953472222223</v>
      </c>
      <c r="B393" s="1">
        <v>10.85</v>
      </c>
      <c r="C393" s="1">
        <v>9.3699999999999992</v>
      </c>
      <c r="D393" s="1">
        <v>0.74</v>
      </c>
      <c r="E393" s="1" t="s">
        <v>115</v>
      </c>
      <c r="F393" s="1" t="s">
        <v>115</v>
      </c>
      <c r="G393" s="1" t="s">
        <v>115</v>
      </c>
      <c r="H393" s="1" t="str">
        <f>VLOOKUP(F393,Countries!$A$1:$B$161,2,0)</f>
        <v>Switzerland</v>
      </c>
    </row>
    <row r="394" spans="1:8" x14ac:dyDescent="0.3">
      <c r="A394" s="3">
        <v>46263.947291666656</v>
      </c>
      <c r="B394" s="1">
        <v>6.37</v>
      </c>
      <c r="C394" s="1">
        <v>5.5</v>
      </c>
      <c r="D394" s="1">
        <v>0.54</v>
      </c>
      <c r="E394" s="1" t="s">
        <v>113</v>
      </c>
      <c r="F394" s="1" t="s">
        <v>113</v>
      </c>
      <c r="G394" s="1" t="s">
        <v>113</v>
      </c>
      <c r="H394" s="1" t="str">
        <f>VLOOKUP(F394,Countries!$A$1:$B$161,2,0)</f>
        <v>United States of America</v>
      </c>
    </row>
    <row r="395" spans="1:8" x14ac:dyDescent="0.3">
      <c r="A395" s="3">
        <v>46263.945324074077</v>
      </c>
      <c r="B395" s="1">
        <v>2.11</v>
      </c>
      <c r="C395" s="1">
        <v>1.82</v>
      </c>
      <c r="D395" s="1">
        <v>0.35</v>
      </c>
      <c r="E395" s="1" t="s">
        <v>113</v>
      </c>
      <c r="F395" s="1" t="s">
        <v>113</v>
      </c>
      <c r="G395" s="1" t="s">
        <v>113</v>
      </c>
      <c r="H395" s="1" t="str">
        <f>VLOOKUP(F395,Countries!$A$1:$B$161,2,0)</f>
        <v>United States of America</v>
      </c>
    </row>
    <row r="396" spans="1:8" x14ac:dyDescent="0.3">
      <c r="A396" s="3">
        <v>46263.942997685182</v>
      </c>
      <c r="B396" s="1">
        <v>10.85</v>
      </c>
      <c r="C396" s="1">
        <v>9.3699999999999992</v>
      </c>
      <c r="D396" s="1">
        <v>0.74</v>
      </c>
      <c r="E396" s="1" t="s">
        <v>115</v>
      </c>
      <c r="F396" s="1" t="s">
        <v>115</v>
      </c>
      <c r="G396" s="1" t="s">
        <v>115</v>
      </c>
      <c r="H396" s="1" t="str">
        <f>VLOOKUP(F396,Countries!$A$1:$B$161,2,0)</f>
        <v>Switzerland</v>
      </c>
    </row>
    <row r="397" spans="1:8" x14ac:dyDescent="0.3">
      <c r="A397" s="3">
        <v>46263.937222222223</v>
      </c>
      <c r="B397" s="1">
        <v>3.88</v>
      </c>
      <c r="C397" s="1">
        <v>3.35</v>
      </c>
      <c r="D397" s="1">
        <v>0.37</v>
      </c>
      <c r="E397" s="1" t="s">
        <v>137</v>
      </c>
      <c r="F397" s="1" t="s">
        <v>137</v>
      </c>
      <c r="G397" s="1" t="s">
        <v>137</v>
      </c>
      <c r="H397" s="1" t="str">
        <f>VLOOKUP(F397,Countries!$A$1:$B$161,2,0)</f>
        <v>Poland</v>
      </c>
    </row>
    <row r="398" spans="1:8" x14ac:dyDescent="0.3">
      <c r="A398" s="3">
        <v>46263.928518518522</v>
      </c>
      <c r="B398" s="1">
        <v>10.85</v>
      </c>
      <c r="C398" s="1">
        <v>9.3699999999999992</v>
      </c>
      <c r="D398" s="1">
        <v>0.74</v>
      </c>
      <c r="E398" s="1" t="s">
        <v>115</v>
      </c>
      <c r="F398" s="1" t="s">
        <v>115</v>
      </c>
      <c r="G398" s="1" t="s">
        <v>115</v>
      </c>
      <c r="H398" s="1" t="str">
        <f>VLOOKUP(F398,Countries!$A$1:$B$161,2,0)</f>
        <v>Switzerland</v>
      </c>
    </row>
    <row r="399" spans="1:8" x14ac:dyDescent="0.3">
      <c r="A399" s="3">
        <v>46263.928414351853</v>
      </c>
      <c r="B399" s="1">
        <v>36.96</v>
      </c>
      <c r="C399" s="1">
        <v>31.91</v>
      </c>
      <c r="D399" s="1">
        <v>1.93</v>
      </c>
      <c r="E399" s="1" t="s">
        <v>113</v>
      </c>
      <c r="F399" s="1" t="s">
        <v>113</v>
      </c>
      <c r="G399" s="1" t="s">
        <v>113</v>
      </c>
      <c r="H399" s="1" t="str">
        <f>VLOOKUP(F399,Countries!$A$1:$B$161,2,0)</f>
        <v>United States of America</v>
      </c>
    </row>
    <row r="400" spans="1:8" x14ac:dyDescent="0.3">
      <c r="A400" s="3">
        <v>46263.927349537043</v>
      </c>
      <c r="B400" s="1">
        <v>15.98</v>
      </c>
      <c r="C400" s="1">
        <v>13.8</v>
      </c>
      <c r="D400" s="1">
        <v>0.98</v>
      </c>
      <c r="E400" s="1" t="s">
        <v>113</v>
      </c>
      <c r="F400" s="1" t="s">
        <v>113</v>
      </c>
      <c r="G400" s="1" t="s">
        <v>113</v>
      </c>
      <c r="H400" s="1" t="str">
        <f>VLOOKUP(F400,Countries!$A$1:$B$161,2,0)</f>
        <v>United States of America</v>
      </c>
    </row>
    <row r="401" spans="1:8" x14ac:dyDescent="0.3">
      <c r="A401" s="3">
        <v>46263.92559027778</v>
      </c>
      <c r="B401" s="1">
        <v>6.37</v>
      </c>
      <c r="C401" s="1">
        <v>5.5</v>
      </c>
      <c r="D401" s="1">
        <v>0.54</v>
      </c>
      <c r="E401" s="1" t="s">
        <v>113</v>
      </c>
      <c r="F401" s="1" t="s">
        <v>113</v>
      </c>
      <c r="G401" s="1" t="s">
        <v>113</v>
      </c>
      <c r="H401" s="1" t="str">
        <f>VLOOKUP(F401,Countries!$A$1:$B$161,2,0)</f>
        <v>United States of America</v>
      </c>
    </row>
    <row r="402" spans="1:8" x14ac:dyDescent="0.3">
      <c r="A402" s="3">
        <v>46263.915960648148</v>
      </c>
      <c r="B402" s="1">
        <v>14.77</v>
      </c>
      <c r="C402" s="1">
        <v>12.75</v>
      </c>
      <c r="D402" s="1">
        <v>0.92</v>
      </c>
      <c r="E402" s="1" t="s">
        <v>113</v>
      </c>
      <c r="F402" s="1" t="s">
        <v>113</v>
      </c>
      <c r="G402" s="1" t="s">
        <v>113</v>
      </c>
      <c r="H402" s="1" t="str">
        <f>VLOOKUP(F402,Countries!$A$1:$B$161,2,0)</f>
        <v>United States of America</v>
      </c>
    </row>
    <row r="403" spans="1:8" x14ac:dyDescent="0.3">
      <c r="A403" s="3">
        <v>46263.915891203702</v>
      </c>
      <c r="B403" s="1">
        <v>6.37</v>
      </c>
      <c r="C403" s="1">
        <v>5.5</v>
      </c>
      <c r="D403" s="1">
        <v>0.54</v>
      </c>
      <c r="E403" s="1" t="s">
        <v>113</v>
      </c>
      <c r="F403" s="1" t="s">
        <v>113</v>
      </c>
      <c r="G403" s="1" t="s">
        <v>113</v>
      </c>
      <c r="H403" s="1" t="str">
        <f>VLOOKUP(F403,Countries!$A$1:$B$161,2,0)</f>
        <v>United States of America</v>
      </c>
    </row>
    <row r="404" spans="1:8" x14ac:dyDescent="0.3">
      <c r="A404" s="3">
        <v>46263.915266203701</v>
      </c>
      <c r="B404" s="1">
        <v>3.51</v>
      </c>
      <c r="C404" s="1">
        <v>3.03</v>
      </c>
      <c r="D404" s="1">
        <v>0.41</v>
      </c>
      <c r="E404" s="1" t="s">
        <v>153</v>
      </c>
      <c r="F404" s="1" t="s">
        <v>153</v>
      </c>
      <c r="G404" s="1" t="s">
        <v>153</v>
      </c>
      <c r="H404" s="1" t="str">
        <f>VLOOKUP(F404,Countries!$A$1:$B$161,2,0)</f>
        <v>Mauritius</v>
      </c>
    </row>
    <row r="405" spans="1:8" x14ac:dyDescent="0.3">
      <c r="A405" s="3">
        <v>46263.915000000001</v>
      </c>
      <c r="B405" s="1">
        <v>10.85</v>
      </c>
      <c r="C405" s="1">
        <v>9.3699999999999992</v>
      </c>
      <c r="D405" s="1">
        <v>0.74</v>
      </c>
      <c r="E405" s="1" t="s">
        <v>115</v>
      </c>
      <c r="F405" s="1" t="s">
        <v>115</v>
      </c>
      <c r="G405" s="1" t="s">
        <v>115</v>
      </c>
      <c r="H405" s="1" t="str">
        <f>VLOOKUP(F405,Countries!$A$1:$B$161,2,0)</f>
        <v>Switzerland</v>
      </c>
    </row>
    <row r="406" spans="1:8" x14ac:dyDescent="0.3">
      <c r="A406" s="3">
        <v>46263.901388888888</v>
      </c>
      <c r="B406" s="1">
        <v>6.37</v>
      </c>
      <c r="C406" s="1">
        <v>5.5</v>
      </c>
      <c r="D406" s="1">
        <v>0.54</v>
      </c>
      <c r="E406" s="1" t="s">
        <v>113</v>
      </c>
      <c r="F406" s="1" t="s">
        <v>113</v>
      </c>
      <c r="G406" s="1" t="s">
        <v>113</v>
      </c>
      <c r="H406" s="1" t="str">
        <f>VLOOKUP(F406,Countries!$A$1:$B$161,2,0)</f>
        <v>United States of America</v>
      </c>
    </row>
    <row r="407" spans="1:8" x14ac:dyDescent="0.3">
      <c r="A407" s="3">
        <v>46263.897939814808</v>
      </c>
      <c r="B407" s="1">
        <v>6.37</v>
      </c>
      <c r="C407" s="1">
        <v>5.5</v>
      </c>
      <c r="D407" s="1">
        <v>0.54</v>
      </c>
      <c r="E407" s="1" t="s">
        <v>113</v>
      </c>
      <c r="F407" s="1" t="s">
        <v>113</v>
      </c>
      <c r="G407" s="1" t="s">
        <v>113</v>
      </c>
      <c r="H407" s="1" t="str">
        <f>VLOOKUP(F407,Countries!$A$1:$B$161,2,0)</f>
        <v>United States of America</v>
      </c>
    </row>
    <row r="408" spans="1:8" x14ac:dyDescent="0.3">
      <c r="A408" s="3">
        <v>46263.895509259259</v>
      </c>
      <c r="B408" s="1">
        <v>10.85</v>
      </c>
      <c r="C408" s="1">
        <v>9.3699999999999992</v>
      </c>
      <c r="D408" s="1">
        <v>0.74</v>
      </c>
      <c r="E408" s="1" t="s">
        <v>115</v>
      </c>
      <c r="F408" s="1" t="s">
        <v>115</v>
      </c>
      <c r="G408" s="1" t="s">
        <v>115</v>
      </c>
      <c r="H408" s="1" t="str">
        <f>VLOOKUP(F408,Countries!$A$1:$B$161,2,0)</f>
        <v>Switzerland</v>
      </c>
    </row>
    <row r="409" spans="1:8" x14ac:dyDescent="0.3">
      <c r="A409" s="3">
        <v>46263.894363425927</v>
      </c>
      <c r="B409" s="1">
        <v>6.37</v>
      </c>
      <c r="C409" s="1">
        <v>5.5</v>
      </c>
      <c r="D409" s="1">
        <v>0.54</v>
      </c>
      <c r="E409" s="1" t="s">
        <v>113</v>
      </c>
      <c r="F409" s="1" t="s">
        <v>113</v>
      </c>
      <c r="G409" s="1" t="s">
        <v>113</v>
      </c>
      <c r="H409" s="1" t="str">
        <f>VLOOKUP(F409,Countries!$A$1:$B$161,2,0)</f>
        <v>United States of America</v>
      </c>
    </row>
    <row r="410" spans="1:8" x14ac:dyDescent="0.3">
      <c r="A410" s="3">
        <v>46263.878692129627</v>
      </c>
      <c r="B410" s="1">
        <v>29.57</v>
      </c>
      <c r="C410" s="1">
        <v>25.53</v>
      </c>
      <c r="D410" s="1">
        <v>1.59</v>
      </c>
      <c r="E410" s="1" t="s">
        <v>113</v>
      </c>
      <c r="F410" s="1" t="s">
        <v>113</v>
      </c>
      <c r="G410" s="1" t="s">
        <v>113</v>
      </c>
      <c r="H410" s="1" t="str">
        <f>VLOOKUP(F410,Countries!$A$1:$B$161,2,0)</f>
        <v>United States of America</v>
      </c>
    </row>
    <row r="411" spans="1:8" x14ac:dyDescent="0.3">
      <c r="A411" s="3">
        <v>46263.878206018519</v>
      </c>
      <c r="B411" s="1">
        <v>36.96</v>
      </c>
      <c r="C411" s="1">
        <v>31.91</v>
      </c>
      <c r="D411" s="1">
        <v>1.93</v>
      </c>
      <c r="E411" s="1" t="s">
        <v>113</v>
      </c>
      <c r="F411" s="1" t="s">
        <v>113</v>
      </c>
      <c r="G411" s="1" t="s">
        <v>113</v>
      </c>
      <c r="H411" s="1" t="str">
        <f>VLOOKUP(F411,Countries!$A$1:$B$161,2,0)</f>
        <v>United States of America</v>
      </c>
    </row>
    <row r="412" spans="1:8" x14ac:dyDescent="0.3">
      <c r="A412" s="3">
        <v>46263.872372685182</v>
      </c>
      <c r="B412" s="1">
        <v>10.85</v>
      </c>
      <c r="C412" s="1">
        <v>9.3699999999999992</v>
      </c>
      <c r="D412" s="1">
        <v>0.74</v>
      </c>
      <c r="E412" s="1" t="s">
        <v>115</v>
      </c>
      <c r="F412" s="1" t="s">
        <v>115</v>
      </c>
      <c r="G412" s="1" t="s">
        <v>115</v>
      </c>
      <c r="H412" s="1" t="str">
        <f>VLOOKUP(F412,Countries!$A$1:$B$161,2,0)</f>
        <v>Switzerland</v>
      </c>
    </row>
    <row r="413" spans="1:8" x14ac:dyDescent="0.3">
      <c r="A413" s="3">
        <v>46263.856296296297</v>
      </c>
      <c r="B413" s="1">
        <v>6.65</v>
      </c>
      <c r="C413" s="1">
        <v>5.74</v>
      </c>
      <c r="D413" s="1">
        <v>0.55000000000000004</v>
      </c>
      <c r="E413" s="1" t="s">
        <v>121</v>
      </c>
      <c r="F413" s="1" t="s">
        <v>121</v>
      </c>
      <c r="G413" s="1" t="s">
        <v>121</v>
      </c>
      <c r="H413" s="1" t="str">
        <f>VLOOKUP(F413,Countries!$A$1:$B$161,2,0)</f>
        <v>Japan</v>
      </c>
    </row>
    <row r="414" spans="1:8" x14ac:dyDescent="0.3">
      <c r="A414" s="3">
        <v>46263.854027777779</v>
      </c>
      <c r="B414" s="1">
        <v>10.85</v>
      </c>
      <c r="C414" s="1">
        <v>9.3699999999999992</v>
      </c>
      <c r="D414" s="1">
        <v>0.74</v>
      </c>
      <c r="E414" s="1" t="s">
        <v>115</v>
      </c>
      <c r="F414" s="1" t="s">
        <v>115</v>
      </c>
      <c r="G414" s="1" t="s">
        <v>115</v>
      </c>
      <c r="H414" s="1" t="str">
        <f>VLOOKUP(F414,Countries!$A$1:$B$161,2,0)</f>
        <v>Switzerland</v>
      </c>
    </row>
    <row r="415" spans="1:8" x14ac:dyDescent="0.3">
      <c r="A415" s="3">
        <v>46263.853854166657</v>
      </c>
      <c r="B415" s="1">
        <v>6.37</v>
      </c>
      <c r="C415" s="1">
        <v>5.5</v>
      </c>
      <c r="D415" s="1">
        <v>0.54</v>
      </c>
      <c r="E415" s="1" t="s">
        <v>132</v>
      </c>
      <c r="F415" s="1" t="s">
        <v>132</v>
      </c>
      <c r="G415" s="1" t="s">
        <v>132</v>
      </c>
      <c r="H415" s="1" t="str">
        <f>VLOOKUP(F415,Countries!$A$1:$B$161,2,0)</f>
        <v>Canada</v>
      </c>
    </row>
    <row r="416" spans="1:8" x14ac:dyDescent="0.3">
      <c r="A416" s="3">
        <v>46263.84138888889</v>
      </c>
      <c r="B416" s="1">
        <v>6.37</v>
      </c>
      <c r="C416" s="1">
        <v>5.5</v>
      </c>
      <c r="D416" s="1">
        <v>0.54</v>
      </c>
      <c r="E416" s="1" t="s">
        <v>113</v>
      </c>
      <c r="F416" s="1" t="s">
        <v>113</v>
      </c>
      <c r="G416" s="1" t="s">
        <v>113</v>
      </c>
      <c r="H416" s="1" t="str">
        <f>VLOOKUP(F416,Countries!$A$1:$B$161,2,0)</f>
        <v>United States of America</v>
      </c>
    </row>
    <row r="417" spans="1:8" x14ac:dyDescent="0.3">
      <c r="A417" s="3">
        <v>46263.840949074067</v>
      </c>
      <c r="B417" s="1">
        <v>14.77</v>
      </c>
      <c r="C417" s="1">
        <v>12.75</v>
      </c>
      <c r="D417" s="1">
        <v>0.92</v>
      </c>
      <c r="E417" s="1" t="s">
        <v>113</v>
      </c>
      <c r="F417" s="1" t="s">
        <v>113</v>
      </c>
      <c r="G417" s="1" t="s">
        <v>113</v>
      </c>
      <c r="H417" s="1" t="str">
        <f>VLOOKUP(F417,Countries!$A$1:$B$161,2,0)</f>
        <v>United States of America</v>
      </c>
    </row>
    <row r="418" spans="1:8" x14ac:dyDescent="0.3">
      <c r="A418" s="3">
        <v>46263.838125000002</v>
      </c>
      <c r="B418" s="1">
        <v>21.65</v>
      </c>
      <c r="C418" s="1">
        <v>18.690000000000001</v>
      </c>
      <c r="D418" s="1">
        <v>0.9</v>
      </c>
      <c r="E418" s="1" t="s">
        <v>124</v>
      </c>
      <c r="F418" s="1" t="s">
        <v>124</v>
      </c>
      <c r="G418" s="1" t="s">
        <v>124</v>
      </c>
      <c r="H418" s="1" t="str">
        <f>VLOOKUP(F418,Countries!$A$1:$B$161,2,0)</f>
        <v>Italy</v>
      </c>
    </row>
    <row r="419" spans="1:8" x14ac:dyDescent="0.3">
      <c r="A419" s="3">
        <v>46263.836076388892</v>
      </c>
      <c r="B419" s="1">
        <v>7.67</v>
      </c>
      <c r="C419" s="1">
        <v>6.62</v>
      </c>
      <c r="D419" s="1">
        <v>0.48</v>
      </c>
      <c r="E419" s="1" t="s">
        <v>124</v>
      </c>
      <c r="F419" s="1" t="s">
        <v>124</v>
      </c>
      <c r="G419" s="1" t="s">
        <v>124</v>
      </c>
      <c r="H419" s="1" t="str">
        <f>VLOOKUP(F419,Countries!$A$1:$B$161,2,0)</f>
        <v>Italy</v>
      </c>
    </row>
    <row r="420" spans="1:8" x14ac:dyDescent="0.3">
      <c r="A420" s="3">
        <v>46263.8356712963</v>
      </c>
      <c r="B420" s="1">
        <v>2.99</v>
      </c>
      <c r="C420" s="1">
        <v>2.58</v>
      </c>
      <c r="D420" s="1">
        <v>0.34</v>
      </c>
      <c r="E420" s="1" t="s">
        <v>120</v>
      </c>
      <c r="F420" s="1" t="s">
        <v>120</v>
      </c>
      <c r="G420" s="1" t="s">
        <v>120</v>
      </c>
      <c r="H420" s="1" t="str">
        <f>VLOOKUP(F420,Countries!$A$1:$B$161,2,0)</f>
        <v>Czech Republic</v>
      </c>
    </row>
    <row r="421" spans="1:8" x14ac:dyDescent="0.3">
      <c r="A421" s="3">
        <v>46263.835659722223</v>
      </c>
      <c r="B421" s="1">
        <v>6.37</v>
      </c>
      <c r="C421" s="1">
        <v>5.5</v>
      </c>
      <c r="D421" s="1">
        <v>0.54</v>
      </c>
      <c r="E421" s="1" t="s">
        <v>113</v>
      </c>
      <c r="F421" s="1" t="s">
        <v>113</v>
      </c>
      <c r="G421" s="1" t="s">
        <v>113</v>
      </c>
      <c r="H421" s="1" t="str">
        <f>VLOOKUP(F421,Countries!$A$1:$B$161,2,0)</f>
        <v>United States of America</v>
      </c>
    </row>
    <row r="422" spans="1:8" x14ac:dyDescent="0.3">
      <c r="A422" s="3">
        <v>46263.834050925929</v>
      </c>
      <c r="B422" s="1">
        <v>6.65</v>
      </c>
      <c r="C422" s="1">
        <v>5.74</v>
      </c>
      <c r="D422" s="1">
        <v>0.55000000000000004</v>
      </c>
      <c r="E422" s="1" t="s">
        <v>121</v>
      </c>
      <c r="F422" s="1" t="s">
        <v>121</v>
      </c>
      <c r="G422" s="1" t="s">
        <v>121</v>
      </c>
      <c r="H422" s="1" t="str">
        <f>VLOOKUP(F422,Countries!$A$1:$B$161,2,0)</f>
        <v>Japan</v>
      </c>
    </row>
    <row r="423" spans="1:8" x14ac:dyDescent="0.3">
      <c r="A423" s="3">
        <v>46263.832916666674</v>
      </c>
      <c r="B423" s="1">
        <v>7.58</v>
      </c>
      <c r="C423" s="1">
        <v>6.54</v>
      </c>
      <c r="D423" s="1">
        <v>0.48</v>
      </c>
      <c r="E423" s="1" t="s">
        <v>116</v>
      </c>
      <c r="F423" s="1" t="s">
        <v>116</v>
      </c>
      <c r="G423" s="1" t="s">
        <v>116</v>
      </c>
      <c r="H423" s="1" t="str">
        <f>VLOOKUP(F423,Countries!$A$1:$B$161,2,0)</f>
        <v>Spain</v>
      </c>
    </row>
    <row r="424" spans="1:8" x14ac:dyDescent="0.3">
      <c r="A424" s="3">
        <v>46263.83090277778</v>
      </c>
      <c r="B424" s="1">
        <v>3.83</v>
      </c>
      <c r="C424" s="1">
        <v>3.31</v>
      </c>
      <c r="D424" s="1">
        <v>0.37</v>
      </c>
      <c r="E424" s="1" t="s">
        <v>124</v>
      </c>
      <c r="F424" s="1" t="s">
        <v>124</v>
      </c>
      <c r="G424" s="1" t="s">
        <v>124</v>
      </c>
      <c r="H424" s="1" t="str">
        <f>VLOOKUP(F424,Countries!$A$1:$B$161,2,0)</f>
        <v>Italy</v>
      </c>
    </row>
    <row r="425" spans="1:8" x14ac:dyDescent="0.3">
      <c r="A425" s="3">
        <v>46263.819062499999</v>
      </c>
      <c r="B425" s="1">
        <v>17.010000000000002</v>
      </c>
      <c r="C425" s="1">
        <v>14.68</v>
      </c>
      <c r="D425" s="1">
        <v>1.02</v>
      </c>
      <c r="E425" s="1" t="s">
        <v>113</v>
      </c>
      <c r="F425" s="1" t="s">
        <v>113</v>
      </c>
      <c r="G425" s="1" t="s">
        <v>113</v>
      </c>
      <c r="H425" s="1" t="str">
        <f>VLOOKUP(F425,Countries!$A$1:$B$161,2,0)</f>
        <v>United States of America</v>
      </c>
    </row>
    <row r="426" spans="1:8" x14ac:dyDescent="0.3">
      <c r="A426" s="3">
        <v>46263.818877314807</v>
      </c>
      <c r="B426" s="1">
        <v>4.99</v>
      </c>
      <c r="C426" s="1">
        <v>4.3099999999999996</v>
      </c>
      <c r="D426" s="1">
        <v>0.4</v>
      </c>
      <c r="E426" s="1" t="s">
        <v>146</v>
      </c>
      <c r="F426" s="1" t="s">
        <v>123</v>
      </c>
      <c r="G426" s="1" t="s">
        <v>123</v>
      </c>
      <c r="H426" s="1" t="str">
        <f>VLOOKUP(F426,Countries!$A$1:$B$161,2,0)</f>
        <v>France</v>
      </c>
    </row>
    <row r="427" spans="1:8" x14ac:dyDescent="0.3">
      <c r="A427" s="3">
        <v>46263.818773148138</v>
      </c>
      <c r="B427" s="1">
        <v>1.99</v>
      </c>
      <c r="C427" s="1">
        <v>1.72</v>
      </c>
      <c r="D427" s="1">
        <v>0.34</v>
      </c>
      <c r="E427" s="1" t="s">
        <v>113</v>
      </c>
      <c r="F427" s="1" t="s">
        <v>113</v>
      </c>
      <c r="G427" s="1" t="s">
        <v>113</v>
      </c>
      <c r="H427" s="1" t="str">
        <f>VLOOKUP(F427,Countries!$A$1:$B$161,2,0)</f>
        <v>United States of America</v>
      </c>
    </row>
    <row r="428" spans="1:8" x14ac:dyDescent="0.3">
      <c r="A428" s="3">
        <v>46263.818564814806</v>
      </c>
      <c r="B428" s="1">
        <v>17.579999999999998</v>
      </c>
      <c r="C428" s="1">
        <v>15.18</v>
      </c>
      <c r="D428" s="1">
        <v>0.78</v>
      </c>
      <c r="E428" s="1" t="s">
        <v>154</v>
      </c>
      <c r="F428" s="1" t="s">
        <v>154</v>
      </c>
      <c r="G428" s="1" t="s">
        <v>154</v>
      </c>
      <c r="H428" s="1" t="str">
        <f>VLOOKUP(F428,Countries!$A$1:$B$161,2,0)</f>
        <v>Belgium</v>
      </c>
    </row>
    <row r="429" spans="1:8" x14ac:dyDescent="0.3">
      <c r="A429" s="3">
        <v>46263.817384259259</v>
      </c>
      <c r="B429" s="1">
        <v>101.25</v>
      </c>
      <c r="C429" s="1">
        <v>87.4</v>
      </c>
      <c r="D429" s="1">
        <v>3.31</v>
      </c>
      <c r="E429" s="1" t="s">
        <v>151</v>
      </c>
      <c r="F429" s="1" t="s">
        <v>151</v>
      </c>
      <c r="G429" s="1" t="s">
        <v>151</v>
      </c>
      <c r="H429" s="1" t="str">
        <f>VLOOKUP(F429,Countries!$A$1:$B$161,2,0)</f>
        <v>Netherlands (Holland)</v>
      </c>
    </row>
    <row r="430" spans="1:8" x14ac:dyDescent="0.3">
      <c r="A430" s="3">
        <v>46263.816377314812</v>
      </c>
      <c r="B430" s="1">
        <v>17.010000000000002</v>
      </c>
      <c r="C430" s="1">
        <v>14.68</v>
      </c>
      <c r="D430" s="1">
        <v>1.02</v>
      </c>
      <c r="E430" s="1" t="s">
        <v>113</v>
      </c>
      <c r="F430" s="1" t="s">
        <v>113</v>
      </c>
      <c r="G430" s="1" t="s">
        <v>113</v>
      </c>
      <c r="H430" s="1" t="str">
        <f>VLOOKUP(F430,Countries!$A$1:$B$161,2,0)</f>
        <v>United States of America</v>
      </c>
    </row>
    <row r="431" spans="1:8" x14ac:dyDescent="0.3">
      <c r="A431" s="3">
        <v>46263.814756944441</v>
      </c>
      <c r="B431" s="1">
        <v>42.9</v>
      </c>
      <c r="C431" s="1">
        <v>37.03</v>
      </c>
      <c r="D431" s="1">
        <v>1.55</v>
      </c>
      <c r="E431" s="1" t="s">
        <v>147</v>
      </c>
      <c r="F431" s="1" t="s">
        <v>147</v>
      </c>
      <c r="G431" s="1" t="s">
        <v>147</v>
      </c>
      <c r="H431" s="1" t="str">
        <f>VLOOKUP(F431,Countries!$A$1:$B$161,2,0)</f>
        <v>Germany</v>
      </c>
    </row>
    <row r="432" spans="1:8" x14ac:dyDescent="0.3">
      <c r="A432" s="3">
        <v>46263.811331018522</v>
      </c>
      <c r="B432" s="1">
        <v>17.579999999999998</v>
      </c>
      <c r="C432" s="1">
        <v>15.18</v>
      </c>
      <c r="D432" s="1">
        <v>0.78</v>
      </c>
      <c r="E432" s="1" t="s">
        <v>154</v>
      </c>
      <c r="F432" s="1" t="s">
        <v>154</v>
      </c>
      <c r="G432" s="1" t="s">
        <v>154</v>
      </c>
      <c r="H432" s="1" t="str">
        <f>VLOOKUP(F432,Countries!$A$1:$B$161,2,0)</f>
        <v>Belgium</v>
      </c>
    </row>
    <row r="433" spans="1:8" x14ac:dyDescent="0.3">
      <c r="A433" s="3">
        <v>46263.808298611111</v>
      </c>
      <c r="B433" s="1">
        <v>2.11</v>
      </c>
      <c r="C433" s="1">
        <v>1.82</v>
      </c>
      <c r="D433" s="1">
        <v>0.35</v>
      </c>
      <c r="E433" s="1" t="s">
        <v>113</v>
      </c>
      <c r="F433" s="1" t="s">
        <v>113</v>
      </c>
      <c r="G433" s="1" t="s">
        <v>113</v>
      </c>
      <c r="H433" s="1" t="str">
        <f>VLOOKUP(F433,Countries!$A$1:$B$161,2,0)</f>
        <v>United States of America</v>
      </c>
    </row>
    <row r="434" spans="1:8" x14ac:dyDescent="0.3">
      <c r="A434" s="3">
        <v>46263.805625000001</v>
      </c>
      <c r="B434" s="1">
        <v>3.73</v>
      </c>
      <c r="C434" s="1">
        <v>3.22</v>
      </c>
      <c r="D434" s="1">
        <v>0.36</v>
      </c>
      <c r="E434" s="1" t="s">
        <v>155</v>
      </c>
      <c r="F434" s="1" t="s">
        <v>155</v>
      </c>
      <c r="G434" s="1" t="s">
        <v>155</v>
      </c>
      <c r="H434" s="1" t="str">
        <f>VLOOKUP(F434,Countries!$A$1:$B$161,2,0)</f>
        <v>Bulgaria</v>
      </c>
    </row>
    <row r="435" spans="1:8" x14ac:dyDescent="0.3">
      <c r="A435" s="3">
        <v>46263.791875000003</v>
      </c>
      <c r="B435" s="1">
        <v>17.8</v>
      </c>
      <c r="C435" s="1">
        <v>15.37</v>
      </c>
      <c r="D435" s="1">
        <v>0.79</v>
      </c>
      <c r="E435" s="1" t="s">
        <v>124</v>
      </c>
      <c r="F435" s="1" t="s">
        <v>124</v>
      </c>
      <c r="G435" s="1" t="s">
        <v>124</v>
      </c>
      <c r="H435" s="1" t="str">
        <f>VLOOKUP(F435,Countries!$A$1:$B$161,2,0)</f>
        <v>Italy</v>
      </c>
    </row>
    <row r="436" spans="1:8" x14ac:dyDescent="0.3">
      <c r="A436" s="3">
        <v>46263.783900462957</v>
      </c>
      <c r="B436" s="1">
        <v>17.8</v>
      </c>
      <c r="C436" s="1">
        <v>15.37</v>
      </c>
      <c r="D436" s="1">
        <v>0.79</v>
      </c>
      <c r="E436" s="1" t="s">
        <v>124</v>
      </c>
      <c r="F436" s="1" t="s">
        <v>124</v>
      </c>
      <c r="G436" s="1" t="s">
        <v>124</v>
      </c>
      <c r="H436" s="1" t="str">
        <f>VLOOKUP(F436,Countries!$A$1:$B$161,2,0)</f>
        <v>Italy</v>
      </c>
    </row>
    <row r="437" spans="1:8" x14ac:dyDescent="0.3">
      <c r="A437" s="3">
        <v>46263.767638888887</v>
      </c>
      <c r="B437" s="1">
        <v>6.3</v>
      </c>
      <c r="C437" s="1">
        <v>5.44</v>
      </c>
      <c r="D437" s="1">
        <v>0.54</v>
      </c>
      <c r="E437" s="1" t="s">
        <v>132</v>
      </c>
      <c r="F437" s="1" t="s">
        <v>132</v>
      </c>
      <c r="G437" s="1" t="s">
        <v>132</v>
      </c>
      <c r="H437" s="1" t="str">
        <f>VLOOKUP(F437,Countries!$A$1:$B$161,2,0)</f>
        <v>Canada</v>
      </c>
    </row>
    <row r="438" spans="1:8" x14ac:dyDescent="0.3">
      <c r="A438" s="3">
        <v>46263.764305555553</v>
      </c>
      <c r="B438" s="1">
        <v>3.32</v>
      </c>
      <c r="C438" s="1">
        <v>2.87</v>
      </c>
      <c r="D438" s="1">
        <v>0.4</v>
      </c>
      <c r="E438" s="1" t="s">
        <v>121</v>
      </c>
      <c r="F438" s="1" t="s">
        <v>121</v>
      </c>
      <c r="G438" s="1" t="s">
        <v>121</v>
      </c>
      <c r="H438" s="1" t="str">
        <f>VLOOKUP(F438,Countries!$A$1:$B$161,2,0)</f>
        <v>Japan</v>
      </c>
    </row>
    <row r="439" spans="1:8" x14ac:dyDescent="0.3">
      <c r="A439" s="3">
        <v>46263.756192129629</v>
      </c>
      <c r="B439" s="1">
        <v>1.99</v>
      </c>
      <c r="C439" s="1">
        <v>1.72</v>
      </c>
      <c r="D439" s="1">
        <v>0.34</v>
      </c>
      <c r="E439" s="1" t="s">
        <v>156</v>
      </c>
      <c r="F439" s="1" t="s">
        <v>156</v>
      </c>
      <c r="G439" s="1" t="s">
        <v>156</v>
      </c>
      <c r="H439" s="1" t="str">
        <f>VLOOKUP(F439,Countries!$A$1:$B$161,2,0)</f>
        <v>Cote d'Ivoire</v>
      </c>
    </row>
    <row r="440" spans="1:8" x14ac:dyDescent="0.3">
      <c r="A440" s="3">
        <v>46263.750231481477</v>
      </c>
      <c r="B440" s="1">
        <v>2.99</v>
      </c>
      <c r="C440" s="1">
        <v>2.58</v>
      </c>
      <c r="D440" s="1">
        <v>0.38</v>
      </c>
      <c r="E440" s="1" t="s">
        <v>157</v>
      </c>
      <c r="F440" s="1" t="s">
        <v>157</v>
      </c>
      <c r="G440" s="1" t="s">
        <v>157</v>
      </c>
      <c r="H440" s="1" t="str">
        <f>VLOOKUP(F440,Countries!$A$1:$B$161,2,0)</f>
        <v>Costa Rica</v>
      </c>
    </row>
    <row r="441" spans="1:8" x14ac:dyDescent="0.3">
      <c r="A441" s="3">
        <v>46263.748067129629</v>
      </c>
      <c r="B441" s="1">
        <v>14.62</v>
      </c>
      <c r="C441" s="1">
        <v>12.62</v>
      </c>
      <c r="D441" s="1">
        <v>0.91</v>
      </c>
      <c r="E441" s="1" t="s">
        <v>132</v>
      </c>
      <c r="F441" s="1" t="s">
        <v>132</v>
      </c>
      <c r="G441" s="1" t="s">
        <v>132</v>
      </c>
      <c r="H441" s="1" t="str">
        <f>VLOOKUP(F441,Countries!$A$1:$B$161,2,0)</f>
        <v>Canada</v>
      </c>
    </row>
    <row r="442" spans="1:8" x14ac:dyDescent="0.3">
      <c r="A442" s="3">
        <v>46263.743831018517</v>
      </c>
      <c r="B442" s="1">
        <v>6.37</v>
      </c>
      <c r="C442" s="1">
        <v>5.5</v>
      </c>
      <c r="D442" s="1">
        <v>0.54</v>
      </c>
      <c r="E442" s="1" t="s">
        <v>113</v>
      </c>
      <c r="F442" s="1" t="s">
        <v>113</v>
      </c>
      <c r="G442" s="1" t="s">
        <v>113</v>
      </c>
      <c r="H442" s="1" t="str">
        <f>VLOOKUP(F442,Countries!$A$1:$B$161,2,0)</f>
        <v>United States of America</v>
      </c>
    </row>
    <row r="443" spans="1:8" x14ac:dyDescent="0.3">
      <c r="A443" s="3">
        <v>46263.741238425922</v>
      </c>
      <c r="B443" s="1">
        <v>6.37</v>
      </c>
      <c r="C443" s="1">
        <v>5.5</v>
      </c>
      <c r="D443" s="1">
        <v>0.54</v>
      </c>
      <c r="E443" s="1" t="s">
        <v>113</v>
      </c>
      <c r="F443" s="1" t="s">
        <v>113</v>
      </c>
      <c r="G443" s="1" t="s">
        <v>113</v>
      </c>
      <c r="H443" s="1" t="str">
        <f>VLOOKUP(F443,Countries!$A$1:$B$161,2,0)</f>
        <v>United States of America</v>
      </c>
    </row>
    <row r="444" spans="1:8" x14ac:dyDescent="0.3">
      <c r="A444" s="3">
        <v>46263.741018518522</v>
      </c>
      <c r="B444" s="1">
        <v>6.37</v>
      </c>
      <c r="C444" s="1">
        <v>5.5</v>
      </c>
      <c r="D444" s="1">
        <v>0.54</v>
      </c>
      <c r="E444" s="1" t="s">
        <v>113</v>
      </c>
      <c r="F444" s="1" t="s">
        <v>113</v>
      </c>
      <c r="G444" s="1" t="s">
        <v>113</v>
      </c>
      <c r="H444" s="1" t="str">
        <f>VLOOKUP(F444,Countries!$A$1:$B$161,2,0)</f>
        <v>United States of America</v>
      </c>
    </row>
    <row r="445" spans="1:8" x14ac:dyDescent="0.3">
      <c r="A445" s="3">
        <v>46263.735266203701</v>
      </c>
      <c r="B445" s="1">
        <v>17.55</v>
      </c>
      <c r="C445" s="1">
        <v>15.15</v>
      </c>
      <c r="D445" s="1">
        <v>1.04</v>
      </c>
      <c r="E445" s="1" t="s">
        <v>132</v>
      </c>
      <c r="F445" s="1" t="s">
        <v>132</v>
      </c>
      <c r="G445" s="1" t="s">
        <v>132</v>
      </c>
      <c r="H445" s="1" t="str">
        <f>VLOOKUP(F445,Countries!$A$1:$B$161,2,0)</f>
        <v>Canada</v>
      </c>
    </row>
    <row r="446" spans="1:8" x14ac:dyDescent="0.3">
      <c r="A446" s="3">
        <v>46263.732465277782</v>
      </c>
      <c r="B446" s="1">
        <v>6.37</v>
      </c>
      <c r="C446" s="1">
        <v>5.5</v>
      </c>
      <c r="D446" s="1">
        <v>0.54</v>
      </c>
      <c r="E446" s="1" t="s">
        <v>113</v>
      </c>
      <c r="F446" s="1" t="s">
        <v>113</v>
      </c>
      <c r="G446" s="1" t="s">
        <v>113</v>
      </c>
      <c r="H446" s="1" t="str">
        <f>VLOOKUP(F446,Countries!$A$1:$B$161,2,0)</f>
        <v>United States of America</v>
      </c>
    </row>
    <row r="447" spans="1:8" x14ac:dyDescent="0.3">
      <c r="A447" s="3">
        <v>46263.721342592587</v>
      </c>
      <c r="B447" s="1">
        <v>2.99</v>
      </c>
      <c r="C447" s="1">
        <v>2.58</v>
      </c>
      <c r="D447" s="1">
        <v>0.38</v>
      </c>
      <c r="E447" s="1" t="s">
        <v>149</v>
      </c>
      <c r="F447" s="1" t="s">
        <v>149</v>
      </c>
      <c r="G447" s="1" t="s">
        <v>149</v>
      </c>
      <c r="H447" s="1" t="str">
        <f>VLOOKUP(F447,Countries!$A$1:$B$161,2,0)</f>
        <v>Indonesia</v>
      </c>
    </row>
    <row r="448" spans="1:8" x14ac:dyDescent="0.3">
      <c r="A448" s="3">
        <v>46263.707812499997</v>
      </c>
      <c r="B448" s="1">
        <v>17.010000000000002</v>
      </c>
      <c r="C448" s="1">
        <v>14.68</v>
      </c>
      <c r="D448" s="1">
        <v>1.02</v>
      </c>
      <c r="E448" s="1" t="s">
        <v>113</v>
      </c>
      <c r="F448" s="1" t="s">
        <v>113</v>
      </c>
      <c r="G448" s="1" t="s">
        <v>113</v>
      </c>
      <c r="H448" s="1" t="str">
        <f>VLOOKUP(F448,Countries!$A$1:$B$161,2,0)</f>
        <v>United States of America</v>
      </c>
    </row>
    <row r="449" spans="1:8" x14ac:dyDescent="0.3">
      <c r="A449" s="3">
        <v>46263.69734953704</v>
      </c>
      <c r="B449" s="1">
        <v>2.21</v>
      </c>
      <c r="C449" s="1">
        <v>1.91</v>
      </c>
      <c r="D449" s="1">
        <v>0.35</v>
      </c>
      <c r="E449" s="1" t="s">
        <v>130</v>
      </c>
      <c r="F449" s="1" t="s">
        <v>130</v>
      </c>
      <c r="G449" s="1" t="s">
        <v>130</v>
      </c>
      <c r="H449" s="1" t="str">
        <f>VLOOKUP(F449,Countries!$A$1:$B$161,2,0)</f>
        <v>Australia</v>
      </c>
    </row>
    <row r="450" spans="1:8" x14ac:dyDescent="0.3">
      <c r="A450" s="3">
        <v>46263.695891203701</v>
      </c>
      <c r="B450" s="1">
        <v>17.36</v>
      </c>
      <c r="C450" s="1">
        <v>14.99</v>
      </c>
      <c r="D450" s="1">
        <v>0.92</v>
      </c>
      <c r="E450" s="1" t="s">
        <v>119</v>
      </c>
      <c r="F450" s="1" t="s">
        <v>119</v>
      </c>
      <c r="G450" s="1" t="s">
        <v>119</v>
      </c>
      <c r="H450" s="1" t="str">
        <f>VLOOKUP(F450,Countries!$A$1:$B$161,2,0)</f>
        <v>Great Britain (United Kingdom)</v>
      </c>
    </row>
    <row r="451" spans="1:8" x14ac:dyDescent="0.3">
      <c r="A451" s="3">
        <v>46263.681400462963</v>
      </c>
      <c r="B451" s="1">
        <v>12.33</v>
      </c>
      <c r="C451" s="1">
        <v>10.64</v>
      </c>
      <c r="D451" s="1">
        <v>0.62</v>
      </c>
      <c r="E451" s="1" t="s">
        <v>158</v>
      </c>
      <c r="F451" s="1" t="s">
        <v>159</v>
      </c>
      <c r="G451" s="1" t="s">
        <v>159</v>
      </c>
      <c r="H451" s="1" t="str">
        <f>VLOOKUP(F451,Countries!$A$1:$B$161,2,0)</f>
        <v>Romania</v>
      </c>
    </row>
    <row r="452" spans="1:8" x14ac:dyDescent="0.3">
      <c r="A452" s="3">
        <v>46263.677615740737</v>
      </c>
      <c r="B452" s="1">
        <v>42.54</v>
      </c>
      <c r="C452" s="1">
        <v>36.72</v>
      </c>
      <c r="D452" s="1">
        <v>2.17</v>
      </c>
      <c r="E452" s="1" t="s">
        <v>113</v>
      </c>
      <c r="F452" s="1" t="s">
        <v>113</v>
      </c>
      <c r="G452" s="1" t="s">
        <v>113</v>
      </c>
      <c r="H452" s="1" t="str">
        <f>VLOOKUP(F452,Countries!$A$1:$B$161,2,0)</f>
        <v>United States of America</v>
      </c>
    </row>
    <row r="453" spans="1:8" x14ac:dyDescent="0.3">
      <c r="A453" s="3">
        <v>46263.674571759257</v>
      </c>
      <c r="B453" s="1">
        <v>6.37</v>
      </c>
      <c r="C453" s="1">
        <v>5.5</v>
      </c>
      <c r="D453" s="1">
        <v>0.54</v>
      </c>
      <c r="E453" s="1" t="s">
        <v>113</v>
      </c>
      <c r="F453" s="1" t="s">
        <v>113</v>
      </c>
      <c r="G453" s="1" t="s">
        <v>113</v>
      </c>
      <c r="H453" s="1" t="str">
        <f>VLOOKUP(F453,Countries!$A$1:$B$161,2,0)</f>
        <v>United States of America</v>
      </c>
    </row>
    <row r="454" spans="1:8" x14ac:dyDescent="0.3">
      <c r="A454" s="3">
        <v>46263.671273148153</v>
      </c>
      <c r="B454" s="1">
        <v>12.48</v>
      </c>
      <c r="C454" s="1">
        <v>10.77</v>
      </c>
      <c r="D454" s="1">
        <v>0.74</v>
      </c>
      <c r="E454" s="1" t="s">
        <v>119</v>
      </c>
      <c r="F454" s="1" t="s">
        <v>119</v>
      </c>
      <c r="G454" s="1" t="s">
        <v>119</v>
      </c>
      <c r="H454" s="1" t="str">
        <f>VLOOKUP(F454,Countries!$A$1:$B$161,2,0)</f>
        <v>Great Britain (United Kingdom)</v>
      </c>
    </row>
    <row r="455" spans="1:8" x14ac:dyDescent="0.3">
      <c r="A455" s="3">
        <v>46263.668923611112</v>
      </c>
      <c r="B455" s="1">
        <v>20.239999999999998</v>
      </c>
      <c r="C455" s="1">
        <v>17.47</v>
      </c>
      <c r="D455" s="1">
        <v>0.86</v>
      </c>
      <c r="E455" s="1" t="s">
        <v>116</v>
      </c>
      <c r="F455" s="1" t="s">
        <v>116</v>
      </c>
      <c r="G455" s="1" t="s">
        <v>116</v>
      </c>
      <c r="H455" s="1" t="str">
        <f>VLOOKUP(F455,Countries!$A$1:$B$161,2,0)</f>
        <v>Spain</v>
      </c>
    </row>
    <row r="456" spans="1:8" x14ac:dyDescent="0.3">
      <c r="A456" s="3">
        <v>46263.657025462962</v>
      </c>
      <c r="B456" s="1">
        <v>15.78</v>
      </c>
      <c r="C456" s="1">
        <v>13.62</v>
      </c>
      <c r="D456" s="1">
        <v>0.96</v>
      </c>
      <c r="E456" s="1" t="s">
        <v>114</v>
      </c>
      <c r="F456" s="1" t="s">
        <v>114</v>
      </c>
      <c r="G456" s="1" t="s">
        <v>114</v>
      </c>
      <c r="H456" s="1" t="str">
        <f>VLOOKUP(F456,Countries!$A$1:$B$161,2,0)</f>
        <v>Philippines</v>
      </c>
    </row>
    <row r="457" spans="1:8" x14ac:dyDescent="0.3">
      <c r="A457" s="3">
        <v>46263.652615740742</v>
      </c>
      <c r="B457" s="1">
        <v>2.11</v>
      </c>
      <c r="C457" s="1">
        <v>1.82</v>
      </c>
      <c r="D457" s="1">
        <v>0.35</v>
      </c>
      <c r="E457" s="1" t="s">
        <v>113</v>
      </c>
      <c r="F457" s="1" t="s">
        <v>113</v>
      </c>
      <c r="G457" s="1" t="s">
        <v>113</v>
      </c>
      <c r="H457" s="1" t="str">
        <f>VLOOKUP(F457,Countries!$A$1:$B$161,2,0)</f>
        <v>United States of America</v>
      </c>
    </row>
    <row r="458" spans="1:8" x14ac:dyDescent="0.3">
      <c r="A458" s="3">
        <v>46263.651782407411</v>
      </c>
      <c r="B458" s="1">
        <v>6.37</v>
      </c>
      <c r="C458" s="1">
        <v>5.5</v>
      </c>
      <c r="D458" s="1">
        <v>0.54</v>
      </c>
      <c r="E458" s="1" t="s">
        <v>113</v>
      </c>
      <c r="F458" s="1" t="s">
        <v>113</v>
      </c>
      <c r="G458" s="1" t="s">
        <v>113</v>
      </c>
      <c r="H458" s="1" t="str">
        <f>VLOOKUP(F458,Countries!$A$1:$B$161,2,0)</f>
        <v>United States of America</v>
      </c>
    </row>
    <row r="459" spans="1:8" x14ac:dyDescent="0.3">
      <c r="A459" s="3">
        <v>46263.64744212963</v>
      </c>
      <c r="B459" s="1">
        <v>6.37</v>
      </c>
      <c r="C459" s="1">
        <v>5.5</v>
      </c>
      <c r="D459" s="1">
        <v>0.54</v>
      </c>
      <c r="E459" s="1" t="s">
        <v>113</v>
      </c>
      <c r="F459" s="1" t="s">
        <v>113</v>
      </c>
      <c r="G459" s="1" t="s">
        <v>113</v>
      </c>
      <c r="H459" s="1" t="str">
        <f>VLOOKUP(F459,Countries!$A$1:$B$161,2,0)</f>
        <v>United States of America</v>
      </c>
    </row>
    <row r="460" spans="1:8" x14ac:dyDescent="0.3">
      <c r="A460" s="3">
        <v>46263.64702546296</v>
      </c>
      <c r="B460" s="1">
        <v>17.36</v>
      </c>
      <c r="C460" s="1">
        <v>14.99</v>
      </c>
      <c r="D460" s="1">
        <v>0.92</v>
      </c>
      <c r="E460" s="1" t="s">
        <v>119</v>
      </c>
      <c r="F460" s="1" t="s">
        <v>119</v>
      </c>
      <c r="G460" s="1" t="s">
        <v>119</v>
      </c>
      <c r="H460" s="1" t="str">
        <f>VLOOKUP(F460,Countries!$A$1:$B$161,2,0)</f>
        <v>Great Britain (United Kingdom)</v>
      </c>
    </row>
    <row r="461" spans="1:8" x14ac:dyDescent="0.3">
      <c r="A461" s="3">
        <v>46263.645972222221</v>
      </c>
      <c r="B461" s="1">
        <v>7.48</v>
      </c>
      <c r="C461" s="1">
        <v>6.46</v>
      </c>
      <c r="D461" s="1">
        <v>0.48</v>
      </c>
      <c r="E461" s="1" t="s">
        <v>123</v>
      </c>
      <c r="F461" s="1" t="s">
        <v>123</v>
      </c>
      <c r="G461" s="1" t="s">
        <v>123</v>
      </c>
      <c r="H461" s="1" t="str">
        <f>VLOOKUP(F461,Countries!$A$1:$B$161,2,0)</f>
        <v>France</v>
      </c>
    </row>
    <row r="462" spans="1:8" x14ac:dyDescent="0.3">
      <c r="A462" s="3">
        <v>46263.635787037027</v>
      </c>
      <c r="B462" s="1">
        <v>26.06</v>
      </c>
      <c r="C462" s="1">
        <v>22.5</v>
      </c>
      <c r="D462" s="1">
        <v>1.26</v>
      </c>
      <c r="E462" s="1" t="s">
        <v>119</v>
      </c>
      <c r="F462" s="1" t="s">
        <v>119</v>
      </c>
      <c r="G462" s="1" t="s">
        <v>119</v>
      </c>
      <c r="H462" s="1" t="str">
        <f>VLOOKUP(F462,Countries!$A$1:$B$161,2,0)</f>
        <v>Great Britain (United Kingdom)</v>
      </c>
    </row>
    <row r="463" spans="1:8" x14ac:dyDescent="0.3">
      <c r="A463" s="3">
        <v>46263.635104166657</v>
      </c>
      <c r="B463" s="1">
        <v>6.37</v>
      </c>
      <c r="C463" s="1">
        <v>5.5</v>
      </c>
      <c r="D463" s="1">
        <v>0.54</v>
      </c>
      <c r="E463" s="1" t="s">
        <v>113</v>
      </c>
      <c r="F463" s="1" t="s">
        <v>113</v>
      </c>
      <c r="G463" s="1" t="s">
        <v>113</v>
      </c>
      <c r="H463" s="1" t="str">
        <f>VLOOKUP(F463,Countries!$A$1:$B$161,2,0)</f>
        <v>United States of America</v>
      </c>
    </row>
    <row r="464" spans="1:8" x14ac:dyDescent="0.3">
      <c r="A464" s="3">
        <v>46263.634652777779</v>
      </c>
      <c r="B464" s="1">
        <v>12.48</v>
      </c>
      <c r="C464" s="1">
        <v>10.77</v>
      </c>
      <c r="D464" s="1">
        <v>0.74</v>
      </c>
      <c r="E464" s="1" t="s">
        <v>119</v>
      </c>
      <c r="F464" s="1" t="s">
        <v>119</v>
      </c>
      <c r="G464" s="1" t="s">
        <v>119</v>
      </c>
      <c r="H464" s="1" t="str">
        <f>VLOOKUP(F464,Countries!$A$1:$B$161,2,0)</f>
        <v>Great Britain (United Kingdom)</v>
      </c>
    </row>
    <row r="465" spans="1:8" x14ac:dyDescent="0.3">
      <c r="A465" s="3">
        <v>46263.633668981478</v>
      </c>
      <c r="B465" s="1">
        <v>6.3</v>
      </c>
      <c r="C465" s="1">
        <v>5.44</v>
      </c>
      <c r="D465" s="1">
        <v>0.54</v>
      </c>
      <c r="E465" s="1" t="s">
        <v>132</v>
      </c>
      <c r="F465" s="1" t="s">
        <v>132</v>
      </c>
      <c r="G465" s="1" t="s">
        <v>132</v>
      </c>
      <c r="H465" s="1" t="str">
        <f>VLOOKUP(F465,Countries!$A$1:$B$161,2,0)</f>
        <v>Canada</v>
      </c>
    </row>
    <row r="466" spans="1:8" x14ac:dyDescent="0.3">
      <c r="A466" s="3">
        <v>46263.633368055547</v>
      </c>
      <c r="B466" s="1">
        <v>2.34</v>
      </c>
      <c r="C466" s="1">
        <v>2.02</v>
      </c>
      <c r="D466" s="1">
        <v>0.36</v>
      </c>
      <c r="E466" s="1" t="s">
        <v>160</v>
      </c>
      <c r="F466" s="1" t="s">
        <v>160</v>
      </c>
      <c r="G466" s="1" t="s">
        <v>160</v>
      </c>
      <c r="H466" s="1" t="str">
        <f>VLOOKUP(F466,Countries!$A$1:$B$161,2,0)</f>
        <v>New Zealand</v>
      </c>
    </row>
    <row r="467" spans="1:8" x14ac:dyDescent="0.3">
      <c r="A467" s="3">
        <v>46263.633090277777</v>
      </c>
      <c r="B467" s="1">
        <v>15.78</v>
      </c>
      <c r="C467" s="1">
        <v>13.62</v>
      </c>
      <c r="D467" s="1">
        <v>0.96</v>
      </c>
      <c r="E467" s="1" t="s">
        <v>114</v>
      </c>
      <c r="F467" s="1" t="s">
        <v>114</v>
      </c>
      <c r="G467" s="1" t="s">
        <v>114</v>
      </c>
      <c r="H467" s="1" t="str">
        <f>VLOOKUP(F467,Countries!$A$1:$B$161,2,0)</f>
        <v>Philippines</v>
      </c>
    </row>
    <row r="468" spans="1:8" x14ac:dyDescent="0.3">
      <c r="A468" s="3">
        <v>46263.632662037038</v>
      </c>
      <c r="B468" s="1">
        <v>1.05</v>
      </c>
      <c r="C468" s="1">
        <v>0.91</v>
      </c>
      <c r="D468" s="1">
        <v>0.3</v>
      </c>
      <c r="E468" s="1" t="s">
        <v>113</v>
      </c>
      <c r="F468" s="1" t="s">
        <v>113</v>
      </c>
      <c r="G468" s="1" t="s">
        <v>113</v>
      </c>
      <c r="H468" s="1" t="str">
        <f>VLOOKUP(F468,Countries!$A$1:$B$161,2,0)</f>
        <v>United States of America</v>
      </c>
    </row>
    <row r="469" spans="1:8" x14ac:dyDescent="0.3">
      <c r="A469" s="3">
        <v>46263.632175925923</v>
      </c>
      <c r="B469" s="1">
        <v>1.05</v>
      </c>
      <c r="C469" s="1">
        <v>0.91</v>
      </c>
      <c r="D469" s="1">
        <v>0.3</v>
      </c>
      <c r="E469" s="1" t="s">
        <v>113</v>
      </c>
      <c r="F469" s="1" t="s">
        <v>113</v>
      </c>
      <c r="G469" s="1" t="s">
        <v>113</v>
      </c>
      <c r="H469" s="1" t="str">
        <f>VLOOKUP(F469,Countries!$A$1:$B$161,2,0)</f>
        <v>United States of America</v>
      </c>
    </row>
    <row r="470" spans="1:8" x14ac:dyDescent="0.3">
      <c r="A470" s="3">
        <v>46263.627233796287</v>
      </c>
      <c r="B470" s="1">
        <v>7.21</v>
      </c>
      <c r="C470" s="1">
        <v>6.22</v>
      </c>
      <c r="D470" s="1">
        <v>0.46</v>
      </c>
      <c r="E470" s="1" t="s">
        <v>159</v>
      </c>
      <c r="F470" s="1" t="s">
        <v>161</v>
      </c>
      <c r="G470" s="1" t="s">
        <v>161</v>
      </c>
      <c r="H470" s="1" t="str">
        <f>VLOOKUP(F470,Countries!$A$1:$B$161,2,0)</f>
        <v>Luxembourg</v>
      </c>
    </row>
    <row r="471" spans="1:8" x14ac:dyDescent="0.3">
      <c r="A471" s="3">
        <v>46263.622673611113</v>
      </c>
      <c r="B471" s="1">
        <v>7.48</v>
      </c>
      <c r="C471" s="1">
        <v>6.46</v>
      </c>
      <c r="D471" s="1">
        <v>0.54</v>
      </c>
      <c r="E471" s="1" t="s">
        <v>119</v>
      </c>
      <c r="F471" s="1" t="s">
        <v>119</v>
      </c>
      <c r="G471" s="1" t="s">
        <v>119</v>
      </c>
      <c r="H471" s="1" t="str">
        <f>VLOOKUP(F471,Countries!$A$1:$B$161,2,0)</f>
        <v>Great Britain (United Kingdom)</v>
      </c>
    </row>
    <row r="472" spans="1:8" x14ac:dyDescent="0.3">
      <c r="A472" s="3">
        <v>46263.611631944441</v>
      </c>
      <c r="B472" s="1">
        <v>2.99</v>
      </c>
      <c r="C472" s="1">
        <v>2.58</v>
      </c>
      <c r="D472" s="1">
        <v>0.38</v>
      </c>
      <c r="E472" s="1" t="s">
        <v>157</v>
      </c>
      <c r="F472" s="1" t="s">
        <v>157</v>
      </c>
      <c r="G472" s="1" t="s">
        <v>157</v>
      </c>
      <c r="H472" s="1" t="str">
        <f>VLOOKUP(F472,Countries!$A$1:$B$161,2,0)</f>
        <v>Costa Rica</v>
      </c>
    </row>
    <row r="473" spans="1:8" x14ac:dyDescent="0.3">
      <c r="A473" s="3">
        <v>46263.607060185182</v>
      </c>
      <c r="B473" s="1">
        <v>6.3</v>
      </c>
      <c r="C473" s="1">
        <v>5.44</v>
      </c>
      <c r="D473" s="1">
        <v>0.54</v>
      </c>
      <c r="E473" s="1" t="s">
        <v>132</v>
      </c>
      <c r="F473" s="1" t="s">
        <v>132</v>
      </c>
      <c r="G473" s="1" t="s">
        <v>132</v>
      </c>
      <c r="H473" s="1" t="str">
        <f>VLOOKUP(F473,Countries!$A$1:$B$161,2,0)</f>
        <v>Canada</v>
      </c>
    </row>
    <row r="474" spans="1:8" x14ac:dyDescent="0.3">
      <c r="A474" s="3">
        <v>46263.605428240742</v>
      </c>
      <c r="B474" s="1">
        <v>6.37</v>
      </c>
      <c r="C474" s="1">
        <v>5.5</v>
      </c>
      <c r="D474" s="1">
        <v>0.54</v>
      </c>
      <c r="E474" s="1" t="s">
        <v>113</v>
      </c>
      <c r="F474" s="1" t="s">
        <v>113</v>
      </c>
      <c r="G474" s="1" t="s">
        <v>113</v>
      </c>
      <c r="H474" s="1" t="str">
        <f>VLOOKUP(F474,Countries!$A$1:$B$161,2,0)</f>
        <v>United States of America</v>
      </c>
    </row>
    <row r="475" spans="1:8" x14ac:dyDescent="0.3">
      <c r="A475" s="3">
        <v>46263.59101851852</v>
      </c>
      <c r="B475" s="1">
        <v>6.37</v>
      </c>
      <c r="C475" s="1">
        <v>5.5</v>
      </c>
      <c r="D475" s="1">
        <v>0.54</v>
      </c>
      <c r="E475" s="1" t="s">
        <v>113</v>
      </c>
      <c r="F475" s="1" t="s">
        <v>113</v>
      </c>
      <c r="G475" s="1" t="s">
        <v>113</v>
      </c>
      <c r="H475" s="1" t="str">
        <f>VLOOKUP(F475,Countries!$A$1:$B$161,2,0)</f>
        <v>United States of America</v>
      </c>
    </row>
    <row r="476" spans="1:8" x14ac:dyDescent="0.3">
      <c r="A476" s="3">
        <v>46263.590277777781</v>
      </c>
      <c r="B476" s="1">
        <v>15.78</v>
      </c>
      <c r="C476" s="1">
        <v>13.62</v>
      </c>
      <c r="D476" s="1">
        <v>0.96</v>
      </c>
      <c r="E476" s="1" t="s">
        <v>114</v>
      </c>
      <c r="F476" s="1" t="s">
        <v>114</v>
      </c>
      <c r="G476" s="1" t="s">
        <v>114</v>
      </c>
      <c r="H476" s="1" t="str">
        <f>VLOOKUP(F476,Countries!$A$1:$B$161,2,0)</f>
        <v>Philippines</v>
      </c>
    </row>
    <row r="477" spans="1:8" x14ac:dyDescent="0.3">
      <c r="A477" s="3">
        <v>46263.584641203714</v>
      </c>
      <c r="B477" s="1">
        <v>6.37</v>
      </c>
      <c r="C477" s="1">
        <v>5.5</v>
      </c>
      <c r="D477" s="1">
        <v>0.54</v>
      </c>
      <c r="E477" s="1" t="s">
        <v>113</v>
      </c>
      <c r="F477" s="1" t="s">
        <v>113</v>
      </c>
      <c r="G477" s="1" t="s">
        <v>113</v>
      </c>
      <c r="H477" s="1" t="str">
        <f>VLOOKUP(F477,Countries!$A$1:$B$161,2,0)</f>
        <v>United States of America</v>
      </c>
    </row>
    <row r="478" spans="1:8" x14ac:dyDescent="0.3">
      <c r="A478" s="3">
        <v>46263.576018518521</v>
      </c>
      <c r="B478" s="1">
        <v>6.37</v>
      </c>
      <c r="C478" s="1">
        <v>5.5</v>
      </c>
      <c r="D478" s="1">
        <v>0.54</v>
      </c>
      <c r="E478" s="1" t="s">
        <v>113</v>
      </c>
      <c r="F478" s="1" t="s">
        <v>113</v>
      </c>
      <c r="G478" s="1" t="s">
        <v>113</v>
      </c>
      <c r="H478" s="1" t="str">
        <f>VLOOKUP(F478,Countries!$A$1:$B$161,2,0)</f>
        <v>United States of America</v>
      </c>
    </row>
    <row r="479" spans="1:8" x14ac:dyDescent="0.3">
      <c r="A479" s="3">
        <v>46263.552476851852</v>
      </c>
      <c r="B479" s="1">
        <v>6.37</v>
      </c>
      <c r="C479" s="1">
        <v>5.5</v>
      </c>
      <c r="D479" s="1">
        <v>0.54</v>
      </c>
      <c r="E479" s="1" t="s">
        <v>113</v>
      </c>
      <c r="F479" s="1" t="s">
        <v>113</v>
      </c>
      <c r="G479" s="1" t="s">
        <v>113</v>
      </c>
      <c r="H479" s="1" t="str">
        <f>VLOOKUP(F479,Countries!$A$1:$B$161,2,0)</f>
        <v>United States of America</v>
      </c>
    </row>
    <row r="480" spans="1:8" x14ac:dyDescent="0.3">
      <c r="A480" s="3">
        <v>46263.551574074067</v>
      </c>
      <c r="B480" s="1">
        <v>14.77</v>
      </c>
      <c r="C480" s="1">
        <v>12.75</v>
      </c>
      <c r="D480" s="1">
        <v>0.92</v>
      </c>
      <c r="E480" s="1" t="s">
        <v>113</v>
      </c>
      <c r="F480" s="1" t="s">
        <v>113</v>
      </c>
      <c r="G480" s="1" t="s">
        <v>113</v>
      </c>
      <c r="H480" s="1" t="str">
        <f>VLOOKUP(F480,Countries!$A$1:$B$161,2,0)</f>
        <v>United States of America</v>
      </c>
    </row>
    <row r="481" spans="1:8" x14ac:dyDescent="0.3">
      <c r="A481" s="3">
        <v>46263.544120370367</v>
      </c>
      <c r="B481" s="1">
        <v>2.11</v>
      </c>
      <c r="C481" s="1">
        <v>1.82</v>
      </c>
      <c r="D481" s="1">
        <v>0.35</v>
      </c>
      <c r="E481" s="1" t="s">
        <v>113</v>
      </c>
      <c r="F481" s="1" t="s">
        <v>113</v>
      </c>
      <c r="G481" s="1" t="s">
        <v>113</v>
      </c>
      <c r="H481" s="1" t="str">
        <f>VLOOKUP(F481,Countries!$A$1:$B$161,2,0)</f>
        <v>United States of America</v>
      </c>
    </row>
    <row r="482" spans="1:8" x14ac:dyDescent="0.3">
      <c r="A482" s="3">
        <v>46263.536736111113</v>
      </c>
      <c r="B482" s="1">
        <v>2.99</v>
      </c>
      <c r="C482" s="1">
        <v>2.58</v>
      </c>
      <c r="D482" s="1">
        <v>0.38</v>
      </c>
      <c r="E482" s="1" t="s">
        <v>150</v>
      </c>
      <c r="F482" s="1" t="s">
        <v>150</v>
      </c>
      <c r="G482" s="1" t="s">
        <v>150</v>
      </c>
      <c r="H482" s="1" t="str">
        <f>VLOOKUP(F482,Countries!$A$1:$B$161,2,0)</f>
        <v>El Salvador</v>
      </c>
    </row>
    <row r="483" spans="1:8" x14ac:dyDescent="0.3">
      <c r="A483" s="3">
        <v>46263.533506944441</v>
      </c>
      <c r="B483" s="1">
        <v>7.48</v>
      </c>
      <c r="C483" s="1">
        <v>6.46</v>
      </c>
      <c r="D483" s="1">
        <v>0.54</v>
      </c>
      <c r="E483" s="1" t="s">
        <v>119</v>
      </c>
      <c r="F483" s="1" t="s">
        <v>119</v>
      </c>
      <c r="G483" s="1" t="s">
        <v>119</v>
      </c>
      <c r="H483" s="1" t="str">
        <f>VLOOKUP(F483,Countries!$A$1:$B$161,2,0)</f>
        <v>Great Britain (United Kingdom)</v>
      </c>
    </row>
    <row r="484" spans="1:8" x14ac:dyDescent="0.3">
      <c r="A484" s="3">
        <v>46263.531481481477</v>
      </c>
      <c r="B484" s="1">
        <v>14.77</v>
      </c>
      <c r="C484" s="1">
        <v>12.75</v>
      </c>
      <c r="D484" s="1">
        <v>0.92</v>
      </c>
      <c r="E484" s="1" t="s">
        <v>113</v>
      </c>
      <c r="F484" s="1" t="s">
        <v>113</v>
      </c>
      <c r="G484" s="1" t="s">
        <v>113</v>
      </c>
      <c r="H484" s="1" t="str">
        <f>VLOOKUP(F484,Countries!$A$1:$B$161,2,0)</f>
        <v>United States of America</v>
      </c>
    </row>
    <row r="485" spans="1:8" x14ac:dyDescent="0.3">
      <c r="A485" s="3">
        <v>46263.529074074067</v>
      </c>
      <c r="B485" s="1">
        <v>14.78</v>
      </c>
      <c r="C485" s="1">
        <v>12.76</v>
      </c>
      <c r="D485" s="1">
        <v>0.92</v>
      </c>
      <c r="E485" s="1" t="s">
        <v>113</v>
      </c>
      <c r="F485" s="1" t="s">
        <v>113</v>
      </c>
      <c r="G485" s="1" t="s">
        <v>113</v>
      </c>
      <c r="H485" s="1" t="str">
        <f>VLOOKUP(F485,Countries!$A$1:$B$161,2,0)</f>
        <v>United States of America</v>
      </c>
    </row>
    <row r="486" spans="1:8" x14ac:dyDescent="0.3">
      <c r="A486" s="3">
        <v>46263.528043981481</v>
      </c>
      <c r="B486" s="1">
        <v>14.77</v>
      </c>
      <c r="C486" s="1">
        <v>12.75</v>
      </c>
      <c r="D486" s="1">
        <v>0.92</v>
      </c>
      <c r="E486" s="1" t="s">
        <v>113</v>
      </c>
      <c r="F486" s="1" t="s">
        <v>113</v>
      </c>
      <c r="G486" s="1" t="s">
        <v>113</v>
      </c>
      <c r="H486" s="1" t="str">
        <f>VLOOKUP(F486,Countries!$A$1:$B$161,2,0)</f>
        <v>United States of America</v>
      </c>
    </row>
    <row r="487" spans="1:8" x14ac:dyDescent="0.3">
      <c r="A487" s="3">
        <v>46263.526724537027</v>
      </c>
      <c r="B487" s="1">
        <v>29.57</v>
      </c>
      <c r="C487" s="1">
        <v>25.53</v>
      </c>
      <c r="D487" s="1">
        <v>1.59</v>
      </c>
      <c r="E487" s="1" t="s">
        <v>113</v>
      </c>
      <c r="F487" s="1" t="s">
        <v>113</v>
      </c>
      <c r="G487" s="1" t="s">
        <v>113</v>
      </c>
      <c r="H487" s="1" t="str">
        <f>VLOOKUP(F487,Countries!$A$1:$B$161,2,0)</f>
        <v>United States of America</v>
      </c>
    </row>
    <row r="488" spans="1:8" x14ac:dyDescent="0.3">
      <c r="A488" s="3">
        <v>46263.52239583333</v>
      </c>
      <c r="B488" s="1">
        <v>6.37</v>
      </c>
      <c r="C488" s="1">
        <v>5.5</v>
      </c>
      <c r="D488" s="1">
        <v>0.54</v>
      </c>
      <c r="E488" s="1" t="s">
        <v>113</v>
      </c>
      <c r="F488" s="1" t="s">
        <v>113</v>
      </c>
      <c r="G488" s="1" t="s">
        <v>113</v>
      </c>
      <c r="H488" s="1" t="str">
        <f>VLOOKUP(F488,Countries!$A$1:$B$161,2,0)</f>
        <v>United States of America</v>
      </c>
    </row>
    <row r="489" spans="1:8" x14ac:dyDescent="0.3">
      <c r="A489" s="3">
        <v>46263.520775462966</v>
      </c>
      <c r="B489" s="1">
        <v>12.33</v>
      </c>
      <c r="C489" s="1">
        <v>10.64</v>
      </c>
      <c r="D489" s="1">
        <v>0.62</v>
      </c>
      <c r="E489" s="1" t="s">
        <v>158</v>
      </c>
      <c r="F489" s="1" t="s">
        <v>159</v>
      </c>
      <c r="G489" s="1" t="s">
        <v>159</v>
      </c>
      <c r="H489" s="1" t="str">
        <f>VLOOKUP(F489,Countries!$A$1:$B$161,2,0)</f>
        <v>Romania</v>
      </c>
    </row>
    <row r="490" spans="1:8" x14ac:dyDescent="0.3">
      <c r="A490" s="3">
        <v>46263.519594907397</v>
      </c>
      <c r="B490" s="1">
        <v>10.62</v>
      </c>
      <c r="C490" s="1">
        <v>9.17</v>
      </c>
      <c r="D490" s="1">
        <v>0.73</v>
      </c>
      <c r="E490" s="1" t="s">
        <v>113</v>
      </c>
      <c r="F490" s="1" t="s">
        <v>113</v>
      </c>
      <c r="G490" s="1" t="s">
        <v>113</v>
      </c>
      <c r="H490" s="1" t="str">
        <f>VLOOKUP(F490,Countries!$A$1:$B$161,2,0)</f>
        <v>United States of America</v>
      </c>
    </row>
    <row r="491" spans="1:8" x14ac:dyDescent="0.3">
      <c r="A491" s="3">
        <v>46263.518101851849</v>
      </c>
      <c r="B491" s="1">
        <v>10.62</v>
      </c>
      <c r="C491" s="1">
        <v>9.17</v>
      </c>
      <c r="D491" s="1">
        <v>0.73</v>
      </c>
      <c r="E491" s="1" t="s">
        <v>113</v>
      </c>
      <c r="F491" s="1" t="s">
        <v>113</v>
      </c>
      <c r="G491" s="1" t="s">
        <v>113</v>
      </c>
      <c r="H491" s="1" t="str">
        <f>VLOOKUP(F491,Countries!$A$1:$B$161,2,0)</f>
        <v>United States of America</v>
      </c>
    </row>
    <row r="492" spans="1:8" x14ac:dyDescent="0.3">
      <c r="A492" s="3">
        <v>46263.51662037037</v>
      </c>
      <c r="B492" s="1">
        <v>44.43</v>
      </c>
      <c r="C492" s="1">
        <v>38.35</v>
      </c>
      <c r="D492" s="1">
        <v>2.27</v>
      </c>
      <c r="E492" s="1" t="s">
        <v>130</v>
      </c>
      <c r="F492" s="1" t="s">
        <v>130</v>
      </c>
      <c r="G492" s="1" t="s">
        <v>130</v>
      </c>
      <c r="H492" s="1" t="str">
        <f>VLOOKUP(F492,Countries!$A$1:$B$161,2,0)</f>
        <v>Australia</v>
      </c>
    </row>
    <row r="493" spans="1:8" x14ac:dyDescent="0.3">
      <c r="A493" s="3">
        <v>46263.514745370368</v>
      </c>
      <c r="B493" s="1">
        <v>14.77</v>
      </c>
      <c r="C493" s="1">
        <v>12.75</v>
      </c>
      <c r="D493" s="1">
        <v>0.92</v>
      </c>
      <c r="E493" s="1" t="s">
        <v>162</v>
      </c>
      <c r="F493" s="1" t="s">
        <v>113</v>
      </c>
      <c r="G493" s="1" t="s">
        <v>113</v>
      </c>
      <c r="H493" s="1" t="str">
        <f>VLOOKUP(F493,Countries!$A$1:$B$161,2,0)</f>
        <v>United States of America</v>
      </c>
    </row>
    <row r="494" spans="1:8" x14ac:dyDescent="0.3">
      <c r="A494" s="3">
        <v>46263.509074074071</v>
      </c>
      <c r="B494" s="1">
        <v>10.62</v>
      </c>
      <c r="C494" s="1">
        <v>9.17</v>
      </c>
      <c r="D494" s="1">
        <v>0.73</v>
      </c>
      <c r="E494" s="1" t="s">
        <v>162</v>
      </c>
      <c r="F494" s="1" t="s">
        <v>113</v>
      </c>
      <c r="G494" s="1" t="s">
        <v>113</v>
      </c>
      <c r="H494" s="1" t="str">
        <f>VLOOKUP(F494,Countries!$A$1:$B$161,2,0)</f>
        <v>United States of America</v>
      </c>
    </row>
    <row r="495" spans="1:8" x14ac:dyDescent="0.3">
      <c r="A495" s="3">
        <v>46263.504386574074</v>
      </c>
      <c r="B495" s="1">
        <v>6.37</v>
      </c>
      <c r="C495" s="1">
        <v>5.5</v>
      </c>
      <c r="D495" s="1">
        <v>0.54</v>
      </c>
      <c r="E495" s="1" t="s">
        <v>113</v>
      </c>
      <c r="F495" s="1" t="s">
        <v>113</v>
      </c>
      <c r="G495" s="1" t="s">
        <v>113</v>
      </c>
      <c r="H495" s="1" t="str">
        <f>VLOOKUP(F495,Countries!$A$1:$B$161,2,0)</f>
        <v>United States of America</v>
      </c>
    </row>
    <row r="496" spans="1:8" x14ac:dyDescent="0.3">
      <c r="A496" s="3">
        <v>46263.500983796293</v>
      </c>
      <c r="B496" s="1">
        <v>7.48</v>
      </c>
      <c r="C496" s="1">
        <v>6.46</v>
      </c>
      <c r="D496" s="1">
        <v>0.54</v>
      </c>
      <c r="E496" s="1" t="s">
        <v>119</v>
      </c>
      <c r="F496" s="1" t="s">
        <v>119</v>
      </c>
      <c r="G496" s="1" t="s">
        <v>119</v>
      </c>
      <c r="H496" s="1" t="str">
        <f>VLOOKUP(F496,Countries!$A$1:$B$161,2,0)</f>
        <v>Great Britain (United Kingdom)</v>
      </c>
    </row>
    <row r="497" spans="1:8" x14ac:dyDescent="0.3">
      <c r="A497" s="3">
        <v>46263.495219907411</v>
      </c>
      <c r="B497" s="1">
        <v>10.62</v>
      </c>
      <c r="C497" s="1">
        <v>9.17</v>
      </c>
      <c r="D497" s="1">
        <v>0.73</v>
      </c>
      <c r="E497" s="1" t="s">
        <v>113</v>
      </c>
      <c r="F497" s="1" t="s">
        <v>113</v>
      </c>
      <c r="G497" s="1" t="s">
        <v>113</v>
      </c>
      <c r="H497" s="1" t="str">
        <f>VLOOKUP(F497,Countries!$A$1:$B$161,2,0)</f>
        <v>United States of America</v>
      </c>
    </row>
    <row r="498" spans="1:8" x14ac:dyDescent="0.3">
      <c r="A498" s="3">
        <v>46263.494444444441</v>
      </c>
      <c r="B498" s="1">
        <v>4.24</v>
      </c>
      <c r="C498" s="1">
        <v>3.66</v>
      </c>
      <c r="D498" s="1">
        <v>0.44</v>
      </c>
      <c r="E498" s="1" t="s">
        <v>113</v>
      </c>
      <c r="F498" s="1" t="s">
        <v>113</v>
      </c>
      <c r="G498" s="1" t="s">
        <v>113</v>
      </c>
      <c r="H498" s="1" t="str">
        <f>VLOOKUP(F498,Countries!$A$1:$B$161,2,0)</f>
        <v>United States of America</v>
      </c>
    </row>
    <row r="499" spans="1:8" x14ac:dyDescent="0.3">
      <c r="A499" s="3">
        <v>46263.487280092602</v>
      </c>
      <c r="B499" s="1">
        <v>17.010000000000002</v>
      </c>
      <c r="C499" s="1">
        <v>14.68</v>
      </c>
      <c r="D499" s="1">
        <v>1.02</v>
      </c>
      <c r="E499" s="1" t="s">
        <v>113</v>
      </c>
      <c r="F499" s="1" t="s">
        <v>113</v>
      </c>
      <c r="G499" s="1" t="s">
        <v>113</v>
      </c>
      <c r="H499" s="1" t="str">
        <f>VLOOKUP(F499,Countries!$A$1:$B$161,2,0)</f>
        <v>United States of America</v>
      </c>
    </row>
    <row r="500" spans="1:8" x14ac:dyDescent="0.3">
      <c r="A500" s="3">
        <v>46263.481898148151</v>
      </c>
      <c r="B500" s="1">
        <v>10.62</v>
      </c>
      <c r="C500" s="1">
        <v>9.17</v>
      </c>
      <c r="D500" s="1">
        <v>0.73</v>
      </c>
      <c r="E500" s="1" t="s">
        <v>113</v>
      </c>
      <c r="F500" s="1" t="s">
        <v>113</v>
      </c>
      <c r="G500" s="1" t="s">
        <v>113</v>
      </c>
      <c r="H500" s="1" t="str">
        <f>VLOOKUP(F500,Countries!$A$1:$B$161,2,0)</f>
        <v>United States of America</v>
      </c>
    </row>
    <row r="501" spans="1:8" x14ac:dyDescent="0.3">
      <c r="A501" s="3">
        <v>46263.477777777778</v>
      </c>
      <c r="B501" s="1">
        <v>6.37</v>
      </c>
      <c r="C501" s="1">
        <v>5.5</v>
      </c>
      <c r="D501" s="1">
        <v>0.54</v>
      </c>
      <c r="E501" s="1" t="s">
        <v>113</v>
      </c>
      <c r="F501" s="1" t="s">
        <v>113</v>
      </c>
      <c r="G501" s="1" t="s">
        <v>113</v>
      </c>
      <c r="H501" s="1" t="str">
        <f>VLOOKUP(F501,Countries!$A$1:$B$161,2,0)</f>
        <v>United States of America</v>
      </c>
    </row>
    <row r="502" spans="1:8" x14ac:dyDescent="0.3">
      <c r="A502" s="3">
        <v>46263.470046296286</v>
      </c>
      <c r="B502" s="1">
        <v>14.77</v>
      </c>
      <c r="C502" s="1">
        <v>12.75</v>
      </c>
      <c r="D502" s="1">
        <v>0.92</v>
      </c>
      <c r="E502" s="1" t="s">
        <v>113</v>
      </c>
      <c r="F502" s="1" t="s">
        <v>113</v>
      </c>
      <c r="G502" s="1" t="s">
        <v>113</v>
      </c>
      <c r="H502" s="1" t="str">
        <f>VLOOKUP(F502,Countries!$A$1:$B$161,2,0)</f>
        <v>United States of America</v>
      </c>
    </row>
    <row r="503" spans="1:8" x14ac:dyDescent="0.3">
      <c r="A503" s="3">
        <v>46263.455439814818</v>
      </c>
      <c r="B503" s="1">
        <v>10.62</v>
      </c>
      <c r="C503" s="1">
        <v>9.17</v>
      </c>
      <c r="D503" s="1">
        <v>0.73</v>
      </c>
      <c r="E503" s="1" t="s">
        <v>113</v>
      </c>
      <c r="F503" s="1" t="s">
        <v>113</v>
      </c>
      <c r="G503" s="1" t="s">
        <v>113</v>
      </c>
      <c r="H503" s="1" t="str">
        <f>VLOOKUP(F503,Countries!$A$1:$B$161,2,0)</f>
        <v>United States of America</v>
      </c>
    </row>
    <row r="504" spans="1:8" x14ac:dyDescent="0.3">
      <c r="A504" s="3">
        <v>46263.455277777779</v>
      </c>
      <c r="B504" s="1">
        <v>24.52</v>
      </c>
      <c r="C504" s="1">
        <v>21.17</v>
      </c>
      <c r="D504" s="1">
        <v>1.36</v>
      </c>
      <c r="E504" s="1" t="s">
        <v>160</v>
      </c>
      <c r="F504" s="1" t="s">
        <v>160</v>
      </c>
      <c r="G504" s="1" t="s">
        <v>160</v>
      </c>
      <c r="H504" s="1" t="str">
        <f>VLOOKUP(F504,Countries!$A$1:$B$161,2,0)</f>
        <v>New Zealand</v>
      </c>
    </row>
    <row r="505" spans="1:8" x14ac:dyDescent="0.3">
      <c r="A505" s="3">
        <v>46263.45517361111</v>
      </c>
      <c r="B505" s="1">
        <v>10.62</v>
      </c>
      <c r="C505" s="1">
        <v>9.17</v>
      </c>
      <c r="D505" s="1">
        <v>0.73</v>
      </c>
      <c r="E505" s="1" t="s">
        <v>113</v>
      </c>
      <c r="F505" s="1" t="s">
        <v>113</v>
      </c>
      <c r="G505" s="1" t="s">
        <v>113</v>
      </c>
      <c r="H505" s="1" t="str">
        <f>VLOOKUP(F505,Countries!$A$1:$B$161,2,0)</f>
        <v>United States of America</v>
      </c>
    </row>
    <row r="506" spans="1:8" x14ac:dyDescent="0.3">
      <c r="A506" s="3">
        <v>46263.454571759263</v>
      </c>
      <c r="B506" s="1">
        <v>7.04</v>
      </c>
      <c r="C506" s="1">
        <v>6.08</v>
      </c>
      <c r="D506" s="1">
        <v>0.56999999999999995</v>
      </c>
      <c r="E506" s="1" t="s">
        <v>160</v>
      </c>
      <c r="F506" s="1" t="s">
        <v>160</v>
      </c>
      <c r="G506" s="1" t="s">
        <v>160</v>
      </c>
      <c r="H506" s="1" t="str">
        <f>VLOOKUP(F506,Countries!$A$1:$B$161,2,0)</f>
        <v>New Zealand</v>
      </c>
    </row>
    <row r="507" spans="1:8" x14ac:dyDescent="0.3">
      <c r="A507" s="3">
        <v>46263.45003472222</v>
      </c>
      <c r="B507" s="1">
        <v>6.37</v>
      </c>
      <c r="C507" s="1">
        <v>5.5</v>
      </c>
      <c r="D507" s="1">
        <v>0.54</v>
      </c>
      <c r="E507" s="1" t="s">
        <v>113</v>
      </c>
      <c r="F507" s="1" t="s">
        <v>113</v>
      </c>
      <c r="G507" s="1" t="s">
        <v>113</v>
      </c>
      <c r="H507" s="1" t="str">
        <f>VLOOKUP(F507,Countries!$A$1:$B$161,2,0)</f>
        <v>United States of America</v>
      </c>
    </row>
    <row r="508" spans="1:8" x14ac:dyDescent="0.3">
      <c r="A508" s="3">
        <v>46263.448240740741</v>
      </c>
      <c r="B508" s="1">
        <v>7.04</v>
      </c>
      <c r="C508" s="1">
        <v>6.08</v>
      </c>
      <c r="D508" s="1">
        <v>0.56999999999999995</v>
      </c>
      <c r="E508" s="1" t="s">
        <v>129</v>
      </c>
      <c r="F508" s="1" t="s">
        <v>163</v>
      </c>
      <c r="G508" s="1" t="s">
        <v>163</v>
      </c>
      <c r="H508" s="1" t="str">
        <f>VLOOKUP(F508,Countries!$A$1:$B$161,2,0)</f>
        <v>Saudi Arabia</v>
      </c>
    </row>
    <row r="509" spans="1:8" x14ac:dyDescent="0.3">
      <c r="A509" s="3">
        <v>46263.438611111109</v>
      </c>
      <c r="B509" s="1">
        <v>6.37</v>
      </c>
      <c r="C509" s="1">
        <v>5.5</v>
      </c>
      <c r="D509" s="1">
        <v>0.54</v>
      </c>
      <c r="E509" s="1" t="s">
        <v>113</v>
      </c>
      <c r="F509" s="1" t="s">
        <v>113</v>
      </c>
      <c r="G509" s="1" t="s">
        <v>113</v>
      </c>
      <c r="H509" s="1" t="str">
        <f>VLOOKUP(F509,Countries!$A$1:$B$161,2,0)</f>
        <v>United States of America</v>
      </c>
    </row>
    <row r="510" spans="1:8" x14ac:dyDescent="0.3">
      <c r="A510" s="3">
        <v>46263.435300925928</v>
      </c>
      <c r="B510" s="1">
        <v>6.37</v>
      </c>
      <c r="C510" s="1">
        <v>5.5</v>
      </c>
      <c r="D510" s="1">
        <v>0.54</v>
      </c>
      <c r="E510" s="1" t="s">
        <v>113</v>
      </c>
      <c r="F510" s="1" t="s">
        <v>113</v>
      </c>
      <c r="G510" s="1" t="s">
        <v>113</v>
      </c>
      <c r="H510" s="1" t="str">
        <f>VLOOKUP(F510,Countries!$A$1:$B$161,2,0)</f>
        <v>United States of America</v>
      </c>
    </row>
    <row r="511" spans="1:8" x14ac:dyDescent="0.3">
      <c r="A511" s="3">
        <v>46263.430856481478</v>
      </c>
      <c r="B511" s="1">
        <v>65.28</v>
      </c>
      <c r="C511" s="1">
        <v>56.35</v>
      </c>
      <c r="D511" s="1">
        <v>3.21</v>
      </c>
      <c r="E511" s="1" t="s">
        <v>129</v>
      </c>
      <c r="F511" s="1" t="s">
        <v>163</v>
      </c>
      <c r="G511" s="1" t="s">
        <v>163</v>
      </c>
      <c r="H511" s="1" t="str">
        <f>VLOOKUP(F511,Countries!$A$1:$B$161,2,0)</f>
        <v>Saudi Arabia</v>
      </c>
    </row>
    <row r="512" spans="1:8" x14ac:dyDescent="0.3">
      <c r="A512" s="3">
        <v>46263.426111111112</v>
      </c>
      <c r="B512" s="1">
        <v>7.58</v>
      </c>
      <c r="C512" s="1">
        <v>6.54</v>
      </c>
      <c r="D512" s="1">
        <v>0.48</v>
      </c>
      <c r="E512" s="1" t="s">
        <v>116</v>
      </c>
      <c r="F512" s="1" t="s">
        <v>116</v>
      </c>
      <c r="G512" s="1" t="s">
        <v>116</v>
      </c>
      <c r="H512" s="1" t="str">
        <f>VLOOKUP(F512,Countries!$A$1:$B$161,2,0)</f>
        <v>Spain</v>
      </c>
    </row>
    <row r="513" spans="1:8" x14ac:dyDescent="0.3">
      <c r="A513" s="3">
        <v>46263.414178240739</v>
      </c>
      <c r="B513" s="1">
        <v>42.54</v>
      </c>
      <c r="C513" s="1">
        <v>36.72</v>
      </c>
      <c r="D513" s="1">
        <v>2.17</v>
      </c>
      <c r="E513" s="1" t="s">
        <v>113</v>
      </c>
      <c r="F513" s="1" t="s">
        <v>113</v>
      </c>
      <c r="G513" s="1" t="s">
        <v>113</v>
      </c>
      <c r="H513" s="1" t="str">
        <f>VLOOKUP(F513,Countries!$A$1:$B$161,2,0)</f>
        <v>United States of America</v>
      </c>
    </row>
    <row r="514" spans="1:8" x14ac:dyDescent="0.3">
      <c r="A514" s="3">
        <v>46263.411192129628</v>
      </c>
      <c r="B514" s="1">
        <v>6.37</v>
      </c>
      <c r="C514" s="1">
        <v>5.5</v>
      </c>
      <c r="D514" s="1">
        <v>0.54</v>
      </c>
      <c r="E514" s="1" t="s">
        <v>113</v>
      </c>
      <c r="F514" s="1" t="s">
        <v>113</v>
      </c>
      <c r="G514" s="1" t="s">
        <v>113</v>
      </c>
      <c r="H514" s="1" t="str">
        <f>VLOOKUP(F514,Countries!$A$1:$B$161,2,0)</f>
        <v>United States of America</v>
      </c>
    </row>
    <row r="515" spans="1:8" x14ac:dyDescent="0.3">
      <c r="A515" s="3">
        <v>46263.408078703702</v>
      </c>
      <c r="B515" s="1">
        <v>6.37</v>
      </c>
      <c r="C515" s="1">
        <v>5.5</v>
      </c>
      <c r="D515" s="1">
        <v>0.54</v>
      </c>
      <c r="E515" s="1" t="s">
        <v>113</v>
      </c>
      <c r="F515" s="1" t="s">
        <v>113</v>
      </c>
      <c r="G515" s="1" t="s">
        <v>113</v>
      </c>
      <c r="H515" s="1" t="str">
        <f>VLOOKUP(F515,Countries!$A$1:$B$161,2,0)</f>
        <v>United States of America</v>
      </c>
    </row>
    <row r="516" spans="1:8" x14ac:dyDescent="0.3">
      <c r="A516" s="3">
        <v>46263.407604166663</v>
      </c>
      <c r="B516" s="1">
        <v>6.37</v>
      </c>
      <c r="C516" s="1">
        <v>5.5</v>
      </c>
      <c r="D516" s="1">
        <v>0.54</v>
      </c>
      <c r="E516" s="1" t="s">
        <v>113</v>
      </c>
      <c r="F516" s="1" t="s">
        <v>113</v>
      </c>
      <c r="G516" s="1" t="s">
        <v>113</v>
      </c>
      <c r="H516" s="1" t="str">
        <f>VLOOKUP(F516,Countries!$A$1:$B$161,2,0)</f>
        <v>United States of America</v>
      </c>
    </row>
    <row r="517" spans="1:8" x14ac:dyDescent="0.3">
      <c r="A517" s="3">
        <v>46263.405706018522</v>
      </c>
      <c r="B517" s="1">
        <v>6.37</v>
      </c>
      <c r="C517" s="1">
        <v>5.5</v>
      </c>
      <c r="D517" s="1">
        <v>0.54</v>
      </c>
      <c r="E517" s="1" t="s">
        <v>113</v>
      </c>
      <c r="F517" s="1" t="s">
        <v>113</v>
      </c>
      <c r="G517" s="1" t="s">
        <v>113</v>
      </c>
      <c r="H517" s="1" t="str">
        <f>VLOOKUP(F517,Countries!$A$1:$B$161,2,0)</f>
        <v>United States of America</v>
      </c>
    </row>
    <row r="518" spans="1:8" x14ac:dyDescent="0.3">
      <c r="A518" s="3">
        <v>46263.404826388891</v>
      </c>
      <c r="B518" s="1">
        <v>2.99</v>
      </c>
      <c r="C518" s="1">
        <v>2.58</v>
      </c>
      <c r="D518" s="1">
        <v>0.38</v>
      </c>
      <c r="E518" s="1" t="s">
        <v>113</v>
      </c>
      <c r="F518" s="1" t="s">
        <v>113</v>
      </c>
      <c r="G518" s="1" t="s">
        <v>113</v>
      </c>
      <c r="H518" s="1" t="str">
        <f>VLOOKUP(F518,Countries!$A$1:$B$161,2,0)</f>
        <v>United States of America</v>
      </c>
    </row>
    <row r="519" spans="1:8" x14ac:dyDescent="0.3">
      <c r="A519" s="3">
        <v>46263.351782407408</v>
      </c>
      <c r="B519" s="1">
        <v>7.48</v>
      </c>
      <c r="C519" s="1">
        <v>6.46</v>
      </c>
      <c r="D519" s="1">
        <v>0.54</v>
      </c>
      <c r="E519" s="1" t="s">
        <v>119</v>
      </c>
      <c r="F519" s="1" t="s">
        <v>119</v>
      </c>
      <c r="G519" s="1" t="s">
        <v>119</v>
      </c>
      <c r="H519" s="1" t="str">
        <f>VLOOKUP(F519,Countries!$A$1:$B$161,2,0)</f>
        <v>Great Britain (United Kingdom)</v>
      </c>
    </row>
    <row r="520" spans="1:8" x14ac:dyDescent="0.3">
      <c r="A520" s="3">
        <v>46263.349189814813</v>
      </c>
      <c r="B520" s="1">
        <v>2.11</v>
      </c>
      <c r="C520" s="1">
        <v>1.82</v>
      </c>
      <c r="D520" s="1">
        <v>0.35</v>
      </c>
      <c r="E520" s="1" t="s">
        <v>113</v>
      </c>
      <c r="F520" s="1" t="s">
        <v>113</v>
      </c>
      <c r="G520" s="1" t="s">
        <v>113</v>
      </c>
      <c r="H520" s="1" t="str">
        <f>VLOOKUP(F520,Countries!$A$1:$B$161,2,0)</f>
        <v>United States of America</v>
      </c>
    </row>
    <row r="521" spans="1:8" x14ac:dyDescent="0.3">
      <c r="A521" s="3">
        <v>46263.340219907397</v>
      </c>
      <c r="B521" s="1">
        <v>17.010000000000002</v>
      </c>
      <c r="C521" s="1">
        <v>14.68</v>
      </c>
      <c r="D521" s="1">
        <v>1.02</v>
      </c>
      <c r="E521" s="1" t="s">
        <v>113</v>
      </c>
      <c r="F521" s="1" t="s">
        <v>113</v>
      </c>
      <c r="G521" s="1" t="s">
        <v>113</v>
      </c>
      <c r="H521" s="1" t="str">
        <f>VLOOKUP(F521,Countries!$A$1:$B$161,2,0)</f>
        <v>United States of America</v>
      </c>
    </row>
    <row r="522" spans="1:8" x14ac:dyDescent="0.3">
      <c r="A522" s="3">
        <v>46263.333553240736</v>
      </c>
      <c r="B522" s="1">
        <v>8.5</v>
      </c>
      <c r="C522" s="1">
        <v>7.34</v>
      </c>
      <c r="D522" s="1">
        <v>0.64</v>
      </c>
      <c r="E522" s="1" t="s">
        <v>113</v>
      </c>
      <c r="F522" s="1" t="s">
        <v>113</v>
      </c>
      <c r="G522" s="1" t="s">
        <v>113</v>
      </c>
      <c r="H522" s="1" t="str">
        <f>VLOOKUP(F522,Countries!$A$1:$B$161,2,0)</f>
        <v>United States of America</v>
      </c>
    </row>
    <row r="523" spans="1:8" x14ac:dyDescent="0.3">
      <c r="A523" s="3">
        <v>46263.330995370372</v>
      </c>
      <c r="B523" s="1">
        <v>9.99</v>
      </c>
      <c r="C523" s="1">
        <v>8.6199999999999992</v>
      </c>
      <c r="D523" s="1">
        <v>0.7</v>
      </c>
      <c r="E523" s="1" t="s">
        <v>126</v>
      </c>
      <c r="F523" s="1" t="s">
        <v>126</v>
      </c>
      <c r="G523" s="1" t="s">
        <v>126</v>
      </c>
      <c r="H523" s="1" t="str">
        <f>VLOOKUP(F523,Countries!$A$1:$B$161,2,0)</f>
        <v>Cambodia</v>
      </c>
    </row>
    <row r="524" spans="1:8" x14ac:dyDescent="0.3">
      <c r="A524" s="3">
        <v>46263.32472222222</v>
      </c>
      <c r="B524" s="1">
        <v>17.010000000000002</v>
      </c>
      <c r="C524" s="1">
        <v>14.68</v>
      </c>
      <c r="D524" s="1">
        <v>1.02</v>
      </c>
      <c r="E524" s="1" t="s">
        <v>113</v>
      </c>
      <c r="F524" s="1" t="s">
        <v>113</v>
      </c>
      <c r="G524" s="1" t="s">
        <v>113</v>
      </c>
      <c r="H524" s="1" t="str">
        <f>VLOOKUP(F524,Countries!$A$1:$B$161,2,0)</f>
        <v>United States of America</v>
      </c>
    </row>
    <row r="525" spans="1:8" x14ac:dyDescent="0.3">
      <c r="A525" s="3">
        <v>46263.324479166673</v>
      </c>
      <c r="B525" s="1">
        <v>6.37</v>
      </c>
      <c r="C525" s="1">
        <v>5.5</v>
      </c>
      <c r="D525" s="1">
        <v>0.54</v>
      </c>
      <c r="E525" s="1" t="s">
        <v>113</v>
      </c>
      <c r="F525" s="1" t="s">
        <v>113</v>
      </c>
      <c r="G525" s="1" t="s">
        <v>113</v>
      </c>
      <c r="H525" s="1" t="str">
        <f>VLOOKUP(F525,Countries!$A$1:$B$161,2,0)</f>
        <v>United States of America</v>
      </c>
    </row>
    <row r="526" spans="1:8" x14ac:dyDescent="0.3">
      <c r="A526" s="3">
        <v>46263.31590277778</v>
      </c>
      <c r="B526" s="1">
        <v>1.99</v>
      </c>
      <c r="C526" s="1">
        <v>1.72</v>
      </c>
      <c r="D526" s="1">
        <v>0.34</v>
      </c>
      <c r="E526" s="1" t="s">
        <v>164</v>
      </c>
      <c r="F526" s="1" t="s">
        <v>164</v>
      </c>
      <c r="G526" s="1" t="s">
        <v>164</v>
      </c>
      <c r="H526" s="1" t="str">
        <f>VLOOKUP(F526,Countries!$A$1:$B$161,2,0)</f>
        <v>Guyana</v>
      </c>
    </row>
    <row r="527" spans="1:8" x14ac:dyDescent="0.3">
      <c r="A527" s="3">
        <v>46263.313414351847</v>
      </c>
      <c r="B527" s="1">
        <v>7.48</v>
      </c>
      <c r="C527" s="1">
        <v>6.46</v>
      </c>
      <c r="D527" s="1">
        <v>0.48</v>
      </c>
      <c r="E527" s="1" t="s">
        <v>123</v>
      </c>
      <c r="F527" s="1" t="s">
        <v>123</v>
      </c>
      <c r="G527" s="1" t="s">
        <v>123</v>
      </c>
      <c r="H527" s="1" t="str">
        <f>VLOOKUP(F527,Countries!$A$1:$B$161,2,0)</f>
        <v>France</v>
      </c>
    </row>
    <row r="528" spans="1:8" x14ac:dyDescent="0.3">
      <c r="A528" s="3">
        <v>46263.309305555558</v>
      </c>
      <c r="B528" s="1">
        <v>6.37</v>
      </c>
      <c r="C528" s="1">
        <v>5.5</v>
      </c>
      <c r="D528" s="1">
        <v>0.54</v>
      </c>
      <c r="E528" s="1" t="s">
        <v>113</v>
      </c>
      <c r="F528" s="1" t="s">
        <v>113</v>
      </c>
      <c r="G528" s="1" t="s">
        <v>113</v>
      </c>
      <c r="H528" s="1" t="str">
        <f>VLOOKUP(F528,Countries!$A$1:$B$161,2,0)</f>
        <v>United States of America</v>
      </c>
    </row>
    <row r="529" spans="1:8" x14ac:dyDescent="0.3">
      <c r="A529" s="3">
        <v>46263.290821759263</v>
      </c>
      <c r="B529" s="1">
        <v>12.8</v>
      </c>
      <c r="C529" s="1">
        <v>11.05</v>
      </c>
      <c r="D529" s="1">
        <v>0.64</v>
      </c>
      <c r="E529" s="1" t="s">
        <v>124</v>
      </c>
      <c r="F529" s="1" t="s">
        <v>124</v>
      </c>
      <c r="G529" s="1" t="s">
        <v>124</v>
      </c>
      <c r="H529" s="1" t="str">
        <f>VLOOKUP(F529,Countries!$A$1:$B$161,2,0)</f>
        <v>Italy</v>
      </c>
    </row>
    <row r="530" spans="1:8" x14ac:dyDescent="0.3">
      <c r="A530" s="3">
        <v>46263.286527777767</v>
      </c>
      <c r="B530" s="1">
        <v>6.37</v>
      </c>
      <c r="C530" s="1">
        <v>5.5</v>
      </c>
      <c r="D530" s="1">
        <v>0.54</v>
      </c>
      <c r="E530" s="1" t="s">
        <v>113</v>
      </c>
      <c r="F530" s="1" t="s">
        <v>113</v>
      </c>
      <c r="G530" s="1" t="s">
        <v>113</v>
      </c>
      <c r="H530" s="1" t="str">
        <f>VLOOKUP(F530,Countries!$A$1:$B$161,2,0)</f>
        <v>United States of America</v>
      </c>
    </row>
    <row r="531" spans="1:8" x14ac:dyDescent="0.3">
      <c r="A531" s="3">
        <v>46263.286423611113</v>
      </c>
      <c r="B531" s="1">
        <v>7.39</v>
      </c>
      <c r="C531" s="1">
        <v>6.38</v>
      </c>
      <c r="D531" s="1">
        <v>0.48</v>
      </c>
      <c r="E531" s="1" t="s">
        <v>147</v>
      </c>
      <c r="F531" s="1" t="s">
        <v>147</v>
      </c>
      <c r="G531" s="1" t="s">
        <v>147</v>
      </c>
      <c r="H531" s="1" t="str">
        <f>VLOOKUP(F531,Countries!$A$1:$B$161,2,0)</f>
        <v>Germany</v>
      </c>
    </row>
    <row r="532" spans="1:8" x14ac:dyDescent="0.3">
      <c r="A532" s="3">
        <v>46263.282627314817</v>
      </c>
      <c r="B532" s="1">
        <v>36.96</v>
      </c>
      <c r="C532" s="1">
        <v>31.91</v>
      </c>
      <c r="D532" s="1">
        <v>1.93</v>
      </c>
      <c r="E532" s="1" t="s">
        <v>113</v>
      </c>
      <c r="F532" s="1" t="s">
        <v>113</v>
      </c>
      <c r="G532" s="1" t="s">
        <v>113</v>
      </c>
      <c r="H532" s="1" t="str">
        <f>VLOOKUP(F532,Countries!$A$1:$B$161,2,0)</f>
        <v>United States of America</v>
      </c>
    </row>
    <row r="533" spans="1:8" x14ac:dyDescent="0.3">
      <c r="A533" s="3">
        <v>46263.281759259262</v>
      </c>
      <c r="B533" s="1">
        <v>17.010000000000002</v>
      </c>
      <c r="C533" s="1">
        <v>14.68</v>
      </c>
      <c r="D533" s="1">
        <v>1.02</v>
      </c>
      <c r="E533" s="1" t="s">
        <v>113</v>
      </c>
      <c r="F533" s="1" t="s">
        <v>113</v>
      </c>
      <c r="G533" s="1" t="s">
        <v>113</v>
      </c>
      <c r="H533" s="1" t="str">
        <f>VLOOKUP(F533,Countries!$A$1:$B$161,2,0)</f>
        <v>United States of America</v>
      </c>
    </row>
    <row r="534" spans="1:8" x14ac:dyDescent="0.3">
      <c r="A534" s="3">
        <v>46263.281377314823</v>
      </c>
      <c r="B534" s="1">
        <v>6.37</v>
      </c>
      <c r="C534" s="1">
        <v>5.5</v>
      </c>
      <c r="D534" s="1">
        <v>0.54</v>
      </c>
      <c r="E534" s="1" t="s">
        <v>113</v>
      </c>
      <c r="F534" s="1" t="s">
        <v>113</v>
      </c>
      <c r="G534" s="1" t="s">
        <v>113</v>
      </c>
      <c r="H534" s="1" t="str">
        <f>VLOOKUP(F534,Countries!$A$1:$B$161,2,0)</f>
        <v>United States of America</v>
      </c>
    </row>
    <row r="535" spans="1:8" x14ac:dyDescent="0.3">
      <c r="A535" s="3">
        <v>46263.27888888889</v>
      </c>
      <c r="B535" s="1">
        <v>6.37</v>
      </c>
      <c r="C535" s="1">
        <v>5.5</v>
      </c>
      <c r="D535" s="1">
        <v>0.54</v>
      </c>
      <c r="E535" s="1" t="s">
        <v>113</v>
      </c>
      <c r="F535" s="1" t="s">
        <v>113</v>
      </c>
      <c r="G535" s="1" t="s">
        <v>113</v>
      </c>
      <c r="H535" s="1" t="str">
        <f>VLOOKUP(F535,Countries!$A$1:$B$161,2,0)</f>
        <v>United States of America</v>
      </c>
    </row>
    <row r="536" spans="1:8" x14ac:dyDescent="0.3">
      <c r="A536" s="3">
        <v>46263.268287037034</v>
      </c>
      <c r="B536" s="1">
        <v>6.37</v>
      </c>
      <c r="C536" s="1">
        <v>5.5</v>
      </c>
      <c r="D536" s="1">
        <v>0.54</v>
      </c>
      <c r="E536" s="1" t="s">
        <v>113</v>
      </c>
      <c r="F536" s="1" t="s">
        <v>113</v>
      </c>
      <c r="G536" s="1" t="s">
        <v>113</v>
      </c>
      <c r="H536" s="1" t="str">
        <f>VLOOKUP(F536,Countries!$A$1:$B$161,2,0)</f>
        <v>United States of America</v>
      </c>
    </row>
    <row r="537" spans="1:8" x14ac:dyDescent="0.3">
      <c r="A537" s="3">
        <v>46263.266041666669</v>
      </c>
      <c r="B537" s="1">
        <v>6.37</v>
      </c>
      <c r="C537" s="1">
        <v>5.5</v>
      </c>
      <c r="D537" s="1">
        <v>0.54</v>
      </c>
      <c r="E537" s="1" t="s">
        <v>113</v>
      </c>
      <c r="F537" s="1" t="s">
        <v>113</v>
      </c>
      <c r="G537" s="1" t="s">
        <v>113</v>
      </c>
      <c r="H537" s="1" t="str">
        <f>VLOOKUP(F537,Countries!$A$1:$B$161,2,0)</f>
        <v>United States of America</v>
      </c>
    </row>
    <row r="538" spans="1:8" x14ac:dyDescent="0.3">
      <c r="A538" s="3">
        <v>46263.26295138889</v>
      </c>
      <c r="B538" s="1">
        <v>14.77</v>
      </c>
      <c r="C538" s="1">
        <v>12.75</v>
      </c>
      <c r="D538" s="1">
        <v>0.92</v>
      </c>
      <c r="E538" s="1" t="s">
        <v>113</v>
      </c>
      <c r="F538" s="1" t="s">
        <v>113</v>
      </c>
      <c r="G538" s="1" t="s">
        <v>113</v>
      </c>
      <c r="H538" s="1" t="str">
        <f>VLOOKUP(F538,Countries!$A$1:$B$161,2,0)</f>
        <v>United States of America</v>
      </c>
    </row>
    <row r="539" spans="1:8" x14ac:dyDescent="0.3">
      <c r="A539" s="3">
        <v>46263.258425925917</v>
      </c>
      <c r="B539" s="1">
        <v>6.37</v>
      </c>
      <c r="C539" s="1">
        <v>5.5</v>
      </c>
      <c r="D539" s="1">
        <v>0.54</v>
      </c>
      <c r="E539" s="1" t="s">
        <v>113</v>
      </c>
      <c r="F539" s="1" t="s">
        <v>113</v>
      </c>
      <c r="G539" s="1" t="s">
        <v>113</v>
      </c>
      <c r="H539" s="1" t="str">
        <f>VLOOKUP(F539,Countries!$A$1:$B$161,2,0)</f>
        <v>United States of America</v>
      </c>
    </row>
    <row r="540" spans="1:8" x14ac:dyDescent="0.3">
      <c r="A540" s="3">
        <v>46263.252442129633</v>
      </c>
      <c r="B540" s="1">
        <v>36.96</v>
      </c>
      <c r="C540" s="1">
        <v>31.91</v>
      </c>
      <c r="D540" s="1">
        <v>1.93</v>
      </c>
      <c r="E540" s="1" t="s">
        <v>113</v>
      </c>
      <c r="F540" s="1" t="s">
        <v>113</v>
      </c>
      <c r="G540" s="1" t="s">
        <v>113</v>
      </c>
      <c r="H540" s="1" t="str">
        <f>VLOOKUP(F540,Countries!$A$1:$B$161,2,0)</f>
        <v>United States of America</v>
      </c>
    </row>
    <row r="541" spans="1:8" x14ac:dyDescent="0.3">
      <c r="A541" s="3">
        <v>46263.250150462962</v>
      </c>
      <c r="B541" s="1">
        <v>6.37</v>
      </c>
      <c r="C541" s="1">
        <v>5.5</v>
      </c>
      <c r="D541" s="1">
        <v>0.54</v>
      </c>
      <c r="E541" s="1" t="s">
        <v>113</v>
      </c>
      <c r="F541" s="1" t="s">
        <v>113</v>
      </c>
      <c r="G541" s="1" t="s">
        <v>113</v>
      </c>
      <c r="H541" s="1" t="str">
        <f>VLOOKUP(F541,Countries!$A$1:$B$161,2,0)</f>
        <v>United States of America</v>
      </c>
    </row>
    <row r="542" spans="1:8" x14ac:dyDescent="0.3">
      <c r="A542" s="3">
        <v>46263.235868055563</v>
      </c>
      <c r="B542" s="1">
        <v>3.35</v>
      </c>
      <c r="C542" s="1">
        <v>2.89</v>
      </c>
      <c r="D542" s="1">
        <v>0.4</v>
      </c>
      <c r="E542" s="1" t="s">
        <v>149</v>
      </c>
      <c r="F542" s="1" t="s">
        <v>149</v>
      </c>
      <c r="G542" s="1" t="s">
        <v>149</v>
      </c>
      <c r="H542" s="1" t="str">
        <f>VLOOKUP(F542,Countries!$A$1:$B$161,2,0)</f>
        <v>Indonesia</v>
      </c>
    </row>
    <row r="543" spans="1:8" x14ac:dyDescent="0.3">
      <c r="A543" s="3">
        <v>46263.234143518523</v>
      </c>
      <c r="B543" s="1">
        <v>6.37</v>
      </c>
      <c r="C543" s="1">
        <v>5.5</v>
      </c>
      <c r="D543" s="1">
        <v>0.54</v>
      </c>
      <c r="E543" s="1" t="s">
        <v>113</v>
      </c>
      <c r="F543" s="1" t="s">
        <v>113</v>
      </c>
      <c r="G543" s="1" t="s">
        <v>113</v>
      </c>
      <c r="H543" s="1" t="str">
        <f>VLOOKUP(F543,Countries!$A$1:$B$161,2,0)</f>
        <v>United States of America</v>
      </c>
    </row>
    <row r="544" spans="1:8" x14ac:dyDescent="0.3">
      <c r="A544" s="3">
        <v>46263.228576388887</v>
      </c>
      <c r="B544" s="1">
        <v>6.37</v>
      </c>
      <c r="C544" s="1">
        <v>5.5</v>
      </c>
      <c r="D544" s="1">
        <v>0.54</v>
      </c>
      <c r="E544" s="1" t="s">
        <v>113</v>
      </c>
      <c r="F544" s="1" t="s">
        <v>113</v>
      </c>
      <c r="G544" s="1" t="s">
        <v>113</v>
      </c>
      <c r="H544" s="1" t="str">
        <f>VLOOKUP(F544,Countries!$A$1:$B$161,2,0)</f>
        <v>United States of America</v>
      </c>
    </row>
    <row r="545" spans="1:8" x14ac:dyDescent="0.3">
      <c r="A545" s="3">
        <v>46263.227395833332</v>
      </c>
      <c r="B545" s="1">
        <v>7.58</v>
      </c>
      <c r="C545" s="1">
        <v>6.54</v>
      </c>
      <c r="D545" s="1">
        <v>0.48</v>
      </c>
      <c r="E545" s="1" t="s">
        <v>151</v>
      </c>
      <c r="F545" s="1" t="s">
        <v>151</v>
      </c>
      <c r="G545" s="1" t="s">
        <v>151</v>
      </c>
      <c r="H545" s="1" t="str">
        <f>VLOOKUP(F545,Countries!$A$1:$B$161,2,0)</f>
        <v>Netherlands (Holland)</v>
      </c>
    </row>
    <row r="546" spans="1:8" x14ac:dyDescent="0.3">
      <c r="A546" s="3">
        <v>46263.214166666658</v>
      </c>
      <c r="B546" s="1">
        <v>7.21</v>
      </c>
      <c r="C546" s="1">
        <v>6.22</v>
      </c>
      <c r="D546" s="1">
        <v>0.56999999999999995</v>
      </c>
      <c r="E546" s="1" t="s">
        <v>165</v>
      </c>
      <c r="F546" s="1" t="s">
        <v>165</v>
      </c>
      <c r="G546" s="1" t="s">
        <v>165</v>
      </c>
      <c r="H546" s="1" t="str">
        <f>VLOOKUP(F546,Countries!$A$1:$B$161,2,0)</f>
        <v>Israel</v>
      </c>
    </row>
    <row r="547" spans="1:8" x14ac:dyDescent="0.3">
      <c r="A547" s="3">
        <v>46263.20453703704</v>
      </c>
      <c r="B547" s="1">
        <v>7.77</v>
      </c>
      <c r="C547" s="1">
        <v>6.71</v>
      </c>
      <c r="D547" s="1">
        <v>0.48</v>
      </c>
      <c r="E547" s="1" t="s">
        <v>147</v>
      </c>
      <c r="F547" s="1" t="s">
        <v>137</v>
      </c>
      <c r="G547" s="1" t="s">
        <v>137</v>
      </c>
      <c r="H547" s="1" t="str">
        <f>VLOOKUP(F547,Countries!$A$1:$B$161,2,0)</f>
        <v>Poland</v>
      </c>
    </row>
    <row r="548" spans="1:8" x14ac:dyDescent="0.3">
      <c r="A548" s="3">
        <v>46263.200300925928</v>
      </c>
      <c r="B548" s="1">
        <v>6.37</v>
      </c>
      <c r="C548" s="1">
        <v>5.5</v>
      </c>
      <c r="D548" s="1">
        <v>0.54</v>
      </c>
      <c r="E548" s="1" t="s">
        <v>113</v>
      </c>
      <c r="F548" s="1" t="s">
        <v>113</v>
      </c>
      <c r="G548" s="1" t="s">
        <v>113</v>
      </c>
      <c r="H548" s="1" t="str">
        <f>VLOOKUP(F548,Countries!$A$1:$B$161,2,0)</f>
        <v>United States of America</v>
      </c>
    </row>
    <row r="549" spans="1:8" x14ac:dyDescent="0.3">
      <c r="A549" s="3">
        <v>46263.198287037027</v>
      </c>
      <c r="B549" s="1">
        <v>6.37</v>
      </c>
      <c r="C549" s="1">
        <v>5.5</v>
      </c>
      <c r="D549" s="1">
        <v>0.54</v>
      </c>
      <c r="E549" s="1" t="s">
        <v>113</v>
      </c>
      <c r="F549" s="1" t="s">
        <v>113</v>
      </c>
      <c r="G549" s="1" t="s">
        <v>113</v>
      </c>
      <c r="H549" s="1" t="str">
        <f>VLOOKUP(F549,Countries!$A$1:$B$161,2,0)</f>
        <v>United States of America</v>
      </c>
    </row>
    <row r="550" spans="1:8" x14ac:dyDescent="0.3">
      <c r="A550" s="3">
        <v>46263.180104166669</v>
      </c>
      <c r="B550" s="1">
        <v>6.37</v>
      </c>
      <c r="C550" s="1">
        <v>5.5</v>
      </c>
      <c r="D550" s="1">
        <v>0.54</v>
      </c>
      <c r="E550" s="1" t="s">
        <v>113</v>
      </c>
      <c r="F550" s="1" t="s">
        <v>113</v>
      </c>
      <c r="G550" s="1" t="s">
        <v>113</v>
      </c>
      <c r="H550" s="1" t="str">
        <f>VLOOKUP(F550,Countries!$A$1:$B$161,2,0)</f>
        <v>United States of America</v>
      </c>
    </row>
    <row r="551" spans="1:8" x14ac:dyDescent="0.3">
      <c r="A551" s="3">
        <v>46263.172094907408</v>
      </c>
      <c r="B551" s="1">
        <v>2.09</v>
      </c>
      <c r="C551" s="1">
        <v>1.8</v>
      </c>
      <c r="D551" s="1">
        <v>0.35</v>
      </c>
      <c r="E551" s="1" t="s">
        <v>166</v>
      </c>
      <c r="F551" s="1" t="s">
        <v>143</v>
      </c>
      <c r="G551" s="1" t="s">
        <v>143</v>
      </c>
      <c r="H551" s="1" t="str">
        <f>VLOOKUP(F551,Countries!$A$1:$B$161,2,0)</f>
        <v>United Arab Emirates</v>
      </c>
    </row>
    <row r="552" spans="1:8" x14ac:dyDescent="0.3">
      <c r="A552" s="3">
        <v>46263.164270833331</v>
      </c>
      <c r="B552" s="1">
        <v>6.37</v>
      </c>
      <c r="C552" s="1">
        <v>5.5</v>
      </c>
      <c r="D552" s="1">
        <v>0.54</v>
      </c>
      <c r="E552" s="1" t="s">
        <v>113</v>
      </c>
      <c r="F552" s="1" t="s">
        <v>113</v>
      </c>
      <c r="G552" s="1" t="s">
        <v>113</v>
      </c>
      <c r="H552" s="1" t="str">
        <f>VLOOKUP(F552,Countries!$A$1:$B$161,2,0)</f>
        <v>United States of America</v>
      </c>
    </row>
    <row r="553" spans="1:8" x14ac:dyDescent="0.3">
      <c r="A553" s="3">
        <v>46263.148009259261</v>
      </c>
      <c r="B553" s="1">
        <v>2.11</v>
      </c>
      <c r="C553" s="1">
        <v>1.82</v>
      </c>
      <c r="D553" s="1">
        <v>0.35</v>
      </c>
      <c r="E553" s="1" t="s">
        <v>113</v>
      </c>
      <c r="F553" s="1" t="s">
        <v>113</v>
      </c>
      <c r="G553" s="1" t="s">
        <v>113</v>
      </c>
      <c r="H553" s="1" t="str">
        <f>VLOOKUP(F553,Countries!$A$1:$B$161,2,0)</f>
        <v>United States of America</v>
      </c>
    </row>
    <row r="554" spans="1:8" x14ac:dyDescent="0.3">
      <c r="A554" s="3">
        <v>46263.13490740741</v>
      </c>
      <c r="B554" s="1">
        <v>2.99</v>
      </c>
      <c r="C554" s="1">
        <v>2.58</v>
      </c>
      <c r="D554" s="1">
        <v>0.38</v>
      </c>
      <c r="E554" s="1" t="s">
        <v>113</v>
      </c>
      <c r="F554" s="1" t="s">
        <v>113</v>
      </c>
      <c r="G554" s="1" t="s">
        <v>113</v>
      </c>
      <c r="H554" s="1" t="str">
        <f>VLOOKUP(F554,Countries!$A$1:$B$161,2,0)</f>
        <v>United States of America</v>
      </c>
    </row>
    <row r="555" spans="1:8" x14ac:dyDescent="0.3">
      <c r="A555" s="3">
        <v>46263.134143518517</v>
      </c>
      <c r="B555" s="1">
        <v>6.58</v>
      </c>
      <c r="C555" s="1">
        <v>5.68</v>
      </c>
      <c r="D555" s="1">
        <v>0.54</v>
      </c>
      <c r="E555" s="1" t="s">
        <v>167</v>
      </c>
      <c r="F555" s="1" t="s">
        <v>152</v>
      </c>
      <c r="G555" s="1" t="s">
        <v>152</v>
      </c>
      <c r="H555" s="1" t="str">
        <f>VLOOKUP(F555,Countries!$A$1:$B$161,2,0)</f>
        <v>Singapore</v>
      </c>
    </row>
    <row r="556" spans="1:8" x14ac:dyDescent="0.3">
      <c r="A556" s="3">
        <v>46263.132835648154</v>
      </c>
      <c r="B556" s="1">
        <v>42.54</v>
      </c>
      <c r="C556" s="1">
        <v>36.72</v>
      </c>
      <c r="D556" s="1">
        <v>2.17</v>
      </c>
      <c r="E556" s="1" t="s">
        <v>113</v>
      </c>
      <c r="F556" s="1" t="s">
        <v>113</v>
      </c>
      <c r="G556" s="1" t="s">
        <v>113</v>
      </c>
      <c r="H556" s="1" t="str">
        <f>VLOOKUP(F556,Countries!$A$1:$B$161,2,0)</f>
        <v>United States of America</v>
      </c>
    </row>
    <row r="557" spans="1:8" x14ac:dyDescent="0.3">
      <c r="A557" s="3">
        <v>46263.132511574076</v>
      </c>
      <c r="B557" s="1">
        <v>17.010000000000002</v>
      </c>
      <c r="C557" s="1">
        <v>14.68</v>
      </c>
      <c r="D557" s="1">
        <v>1.02</v>
      </c>
      <c r="E557" s="1" t="s">
        <v>113</v>
      </c>
      <c r="F557" s="1" t="s">
        <v>113</v>
      </c>
      <c r="G557" s="1" t="s">
        <v>113</v>
      </c>
      <c r="H557" s="1" t="str">
        <f>VLOOKUP(F557,Countries!$A$1:$B$161,2,0)</f>
        <v>United States of America</v>
      </c>
    </row>
    <row r="558" spans="1:8" x14ac:dyDescent="0.3">
      <c r="A558" s="3">
        <v>46263.132245370369</v>
      </c>
      <c r="B558" s="1">
        <v>7.77</v>
      </c>
      <c r="C558" s="1">
        <v>6.71</v>
      </c>
      <c r="D558" s="1">
        <v>0.48</v>
      </c>
      <c r="E558" s="1" t="s">
        <v>137</v>
      </c>
      <c r="F558" s="1" t="s">
        <v>137</v>
      </c>
      <c r="G558" s="1" t="s">
        <v>137</v>
      </c>
      <c r="H558" s="1" t="str">
        <f>VLOOKUP(F558,Countries!$A$1:$B$161,2,0)</f>
        <v>Poland</v>
      </c>
    </row>
    <row r="559" spans="1:8" x14ac:dyDescent="0.3">
      <c r="A559" s="3">
        <v>46263.126423611109</v>
      </c>
      <c r="B559" s="1">
        <v>4.24</v>
      </c>
      <c r="C559" s="1">
        <v>3.66</v>
      </c>
      <c r="D559" s="1">
        <v>0.44</v>
      </c>
      <c r="E559" s="1"/>
      <c r="F559" s="1" t="s">
        <v>113</v>
      </c>
      <c r="G559" s="1" t="s">
        <v>113</v>
      </c>
      <c r="H559" s="1" t="str">
        <f>VLOOKUP(F559,Countries!$A$1:$B$161,2,0)</f>
        <v>United States of America</v>
      </c>
    </row>
    <row r="560" spans="1:8" x14ac:dyDescent="0.3">
      <c r="A560" s="3">
        <v>46263.119930555556</v>
      </c>
      <c r="B560" s="1">
        <v>6.65</v>
      </c>
      <c r="C560" s="1">
        <v>5.74</v>
      </c>
      <c r="D560" s="1">
        <v>0.55000000000000004</v>
      </c>
      <c r="E560" s="1" t="s">
        <v>130</v>
      </c>
      <c r="F560" s="1" t="s">
        <v>130</v>
      </c>
      <c r="G560" s="1" t="s">
        <v>130</v>
      </c>
      <c r="H560" s="1" t="str">
        <f>VLOOKUP(F560,Countries!$A$1:$B$161,2,0)</f>
        <v>Australia</v>
      </c>
    </row>
    <row r="561" spans="1:8" x14ac:dyDescent="0.3">
      <c r="A561" s="3">
        <v>46263.110567129632</v>
      </c>
      <c r="B561" s="1">
        <v>10.62</v>
      </c>
      <c r="C561" s="1">
        <v>9.17</v>
      </c>
      <c r="D561" s="1">
        <v>0.73</v>
      </c>
      <c r="E561" s="1" t="s">
        <v>113</v>
      </c>
      <c r="F561" s="1" t="s">
        <v>113</v>
      </c>
      <c r="G561" s="1" t="s">
        <v>113</v>
      </c>
      <c r="H561" s="1" t="str">
        <f>VLOOKUP(F561,Countries!$A$1:$B$161,2,0)</f>
        <v>United States of America</v>
      </c>
    </row>
    <row r="562" spans="1:8" x14ac:dyDescent="0.3">
      <c r="A562" s="3">
        <v>46263.110069444447</v>
      </c>
      <c r="B562" s="1">
        <v>10.62</v>
      </c>
      <c r="C562" s="1">
        <v>9.17</v>
      </c>
      <c r="D562" s="1">
        <v>0.73</v>
      </c>
      <c r="E562" s="1" t="s">
        <v>113</v>
      </c>
      <c r="F562" s="1" t="s">
        <v>113</v>
      </c>
      <c r="G562" s="1" t="s">
        <v>113</v>
      </c>
      <c r="H562" s="1" t="str">
        <f>VLOOKUP(F562,Countries!$A$1:$B$161,2,0)</f>
        <v>United States of America</v>
      </c>
    </row>
    <row r="563" spans="1:8" x14ac:dyDescent="0.3">
      <c r="A563" s="3">
        <v>46263.101944444446</v>
      </c>
      <c r="B563" s="1">
        <v>3.18</v>
      </c>
      <c r="C563" s="1">
        <v>2.75</v>
      </c>
      <c r="D563" s="1">
        <v>0.4</v>
      </c>
      <c r="E563" s="1" t="s">
        <v>113</v>
      </c>
      <c r="F563" s="1" t="s">
        <v>113</v>
      </c>
      <c r="G563" s="1" t="s">
        <v>113</v>
      </c>
      <c r="H563" s="1" t="str">
        <f>VLOOKUP(F563,Countries!$A$1:$B$161,2,0)</f>
        <v>United States of America</v>
      </c>
    </row>
    <row r="564" spans="1:8" x14ac:dyDescent="0.3">
      <c r="A564" s="3">
        <v>46263.097986111112</v>
      </c>
      <c r="B564" s="1">
        <v>6.37</v>
      </c>
      <c r="C564" s="1">
        <v>5.5</v>
      </c>
      <c r="D564" s="1">
        <v>0.54</v>
      </c>
      <c r="E564" s="1" t="s">
        <v>113</v>
      </c>
      <c r="F564" s="1" t="s">
        <v>113</v>
      </c>
      <c r="G564" s="1" t="s">
        <v>113</v>
      </c>
      <c r="H564" s="1" t="str">
        <f>VLOOKUP(F564,Countries!$A$1:$B$161,2,0)</f>
        <v>United States of America</v>
      </c>
    </row>
    <row r="565" spans="1:8" x14ac:dyDescent="0.3">
      <c r="A565" s="3">
        <v>46263.087164351848</v>
      </c>
      <c r="B565" s="1">
        <v>7.58</v>
      </c>
      <c r="C565" s="1">
        <v>6.54</v>
      </c>
      <c r="D565" s="1">
        <v>0.48</v>
      </c>
      <c r="E565" s="1" t="s">
        <v>116</v>
      </c>
      <c r="F565" s="1" t="s">
        <v>116</v>
      </c>
      <c r="G565" s="1" t="s">
        <v>116</v>
      </c>
      <c r="H565" s="1" t="str">
        <f>VLOOKUP(F565,Countries!$A$1:$B$161,2,0)</f>
        <v>Spain</v>
      </c>
    </row>
    <row r="566" spans="1:8" x14ac:dyDescent="0.3">
      <c r="A566" s="3">
        <v>46263.084490740737</v>
      </c>
      <c r="B566" s="1">
        <v>6.58</v>
      </c>
      <c r="C566" s="1">
        <v>5.68</v>
      </c>
      <c r="D566" s="1">
        <v>0.54</v>
      </c>
      <c r="E566" s="1" t="s">
        <v>152</v>
      </c>
      <c r="F566" s="1" t="s">
        <v>152</v>
      </c>
      <c r="G566" s="1" t="s">
        <v>152</v>
      </c>
      <c r="H566" s="1" t="str">
        <f>VLOOKUP(F566,Countries!$A$1:$B$161,2,0)</f>
        <v>Singapore</v>
      </c>
    </row>
    <row r="567" spans="1:8" x14ac:dyDescent="0.3">
      <c r="A567" s="3">
        <v>46263.063564814824</v>
      </c>
      <c r="B567" s="1">
        <v>6.37</v>
      </c>
      <c r="C567" s="1">
        <v>5.5</v>
      </c>
      <c r="D567" s="1">
        <v>0.54</v>
      </c>
      <c r="E567" s="1" t="s">
        <v>113</v>
      </c>
      <c r="F567" s="1" t="s">
        <v>113</v>
      </c>
      <c r="G567" s="1" t="s">
        <v>113</v>
      </c>
      <c r="H567" s="1" t="str">
        <f>VLOOKUP(F567,Countries!$A$1:$B$161,2,0)</f>
        <v>United States of America</v>
      </c>
    </row>
    <row r="568" spans="1:8" x14ac:dyDescent="0.3">
      <c r="A568" s="3">
        <v>46263.057916666658</v>
      </c>
      <c r="B568" s="1">
        <v>10.85</v>
      </c>
      <c r="C568" s="1">
        <v>9.3699999999999992</v>
      </c>
      <c r="D568" s="1">
        <v>0.74</v>
      </c>
      <c r="E568" s="1" t="s">
        <v>115</v>
      </c>
      <c r="F568" s="1" t="s">
        <v>115</v>
      </c>
      <c r="G568" s="1" t="s">
        <v>115</v>
      </c>
      <c r="H568" s="1" t="str">
        <f>VLOOKUP(F568,Countries!$A$1:$B$161,2,0)</f>
        <v>Switzerland</v>
      </c>
    </row>
    <row r="569" spans="1:8" x14ac:dyDescent="0.3">
      <c r="A569" s="3">
        <v>46263.049872685187</v>
      </c>
      <c r="B569" s="1">
        <v>10.85</v>
      </c>
      <c r="C569" s="1">
        <v>9.3699999999999992</v>
      </c>
      <c r="D569" s="1">
        <v>0.74</v>
      </c>
      <c r="E569" s="1" t="s">
        <v>115</v>
      </c>
      <c r="F569" s="1" t="s">
        <v>115</v>
      </c>
      <c r="G569" s="1" t="s">
        <v>115</v>
      </c>
      <c r="H569" s="1" t="str">
        <f>VLOOKUP(F569,Countries!$A$1:$B$161,2,0)</f>
        <v>Switzerland</v>
      </c>
    </row>
    <row r="570" spans="1:8" x14ac:dyDescent="0.3">
      <c r="A570" s="3">
        <v>46263.046631944453</v>
      </c>
      <c r="B570" s="1">
        <v>13.04</v>
      </c>
      <c r="C570" s="1">
        <v>11.26</v>
      </c>
      <c r="D570" s="1">
        <v>0.85</v>
      </c>
      <c r="E570" s="1" t="s">
        <v>115</v>
      </c>
      <c r="F570" s="1" t="s">
        <v>115</v>
      </c>
      <c r="G570" s="1" t="s">
        <v>115</v>
      </c>
      <c r="H570" s="1" t="str">
        <f>VLOOKUP(F570,Countries!$A$1:$B$161,2,0)</f>
        <v>Switzerland</v>
      </c>
    </row>
    <row r="571" spans="1:8" x14ac:dyDescent="0.3">
      <c r="A571" s="3">
        <v>46263.04420138889</v>
      </c>
      <c r="B571" s="1">
        <v>10.85</v>
      </c>
      <c r="C571" s="1">
        <v>9.3699999999999992</v>
      </c>
      <c r="D571" s="1">
        <v>0.74</v>
      </c>
      <c r="E571" s="1" t="s">
        <v>115</v>
      </c>
      <c r="F571" s="1" t="s">
        <v>115</v>
      </c>
      <c r="G571" s="1" t="s">
        <v>115</v>
      </c>
      <c r="H571" s="1" t="str">
        <f>VLOOKUP(F571,Countries!$A$1:$B$161,2,0)</f>
        <v>Switzerland</v>
      </c>
    </row>
    <row r="572" spans="1:8" x14ac:dyDescent="0.3">
      <c r="A572" s="3">
        <v>46263.044178240743</v>
      </c>
      <c r="B572" s="1">
        <v>2.11</v>
      </c>
      <c r="C572" s="1">
        <v>1.82</v>
      </c>
      <c r="D572" s="1">
        <v>0.35</v>
      </c>
      <c r="E572" s="1" t="s">
        <v>113</v>
      </c>
      <c r="F572" s="1" t="s">
        <v>113</v>
      </c>
      <c r="G572" s="1" t="s">
        <v>113</v>
      </c>
      <c r="H572" s="1" t="str">
        <f>VLOOKUP(F572,Countries!$A$1:$B$161,2,0)</f>
        <v>United States of America</v>
      </c>
    </row>
    <row r="573" spans="1:8" x14ac:dyDescent="0.3">
      <c r="A573" s="3">
        <v>46263.041122685187</v>
      </c>
      <c r="B573" s="1">
        <v>10.85</v>
      </c>
      <c r="C573" s="1">
        <v>9.3699999999999992</v>
      </c>
      <c r="D573" s="1">
        <v>0.74</v>
      </c>
      <c r="E573" s="1" t="s">
        <v>115</v>
      </c>
      <c r="F573" s="1" t="s">
        <v>115</v>
      </c>
      <c r="G573" s="1" t="s">
        <v>115</v>
      </c>
      <c r="H573" s="1" t="str">
        <f>VLOOKUP(F573,Countries!$A$1:$B$161,2,0)</f>
        <v>Switzerland</v>
      </c>
    </row>
    <row r="574" spans="1:8" x14ac:dyDescent="0.3">
      <c r="A574" s="3">
        <v>46263.035092592603</v>
      </c>
      <c r="B574" s="1">
        <v>10.85</v>
      </c>
      <c r="C574" s="1">
        <v>9.3699999999999992</v>
      </c>
      <c r="D574" s="1">
        <v>0.74</v>
      </c>
      <c r="E574" s="1" t="s">
        <v>115</v>
      </c>
      <c r="F574" s="1" t="s">
        <v>115</v>
      </c>
      <c r="G574" s="1" t="s">
        <v>115</v>
      </c>
      <c r="H574" s="1" t="str">
        <f>VLOOKUP(F574,Countries!$A$1:$B$161,2,0)</f>
        <v>Switzerland</v>
      </c>
    </row>
    <row r="575" spans="1:8" x14ac:dyDescent="0.3">
      <c r="A575" s="3">
        <v>46263.031400462962</v>
      </c>
      <c r="B575" s="1">
        <v>10.85</v>
      </c>
      <c r="C575" s="1">
        <v>9.3699999999999992</v>
      </c>
      <c r="D575" s="1">
        <v>0.74</v>
      </c>
      <c r="E575" s="1" t="s">
        <v>115</v>
      </c>
      <c r="F575" s="1" t="s">
        <v>115</v>
      </c>
      <c r="G575" s="1" t="s">
        <v>115</v>
      </c>
      <c r="H575" s="1" t="str">
        <f>VLOOKUP(F575,Countries!$A$1:$B$161,2,0)</f>
        <v>Switzerland</v>
      </c>
    </row>
    <row r="576" spans="1:8" x14ac:dyDescent="0.3">
      <c r="A576" s="3">
        <v>46263.027766203697</v>
      </c>
      <c r="B576" s="1">
        <v>10.85</v>
      </c>
      <c r="C576" s="1">
        <v>9.3699999999999992</v>
      </c>
      <c r="D576" s="1">
        <v>0.74</v>
      </c>
      <c r="E576" s="1" t="s">
        <v>115</v>
      </c>
      <c r="F576" s="1" t="s">
        <v>115</v>
      </c>
      <c r="G576" s="1" t="s">
        <v>115</v>
      </c>
      <c r="H576" s="1" t="str">
        <f>VLOOKUP(F576,Countries!$A$1:$B$161,2,0)</f>
        <v>Switzerland</v>
      </c>
    </row>
    <row r="577" spans="1:8" x14ac:dyDescent="0.3">
      <c r="A577" s="3">
        <v>46263.024513888893</v>
      </c>
      <c r="B577" s="1">
        <v>10.85</v>
      </c>
      <c r="C577" s="1">
        <v>9.3699999999999992</v>
      </c>
      <c r="D577" s="1">
        <v>0.74</v>
      </c>
      <c r="E577" s="1" t="s">
        <v>115</v>
      </c>
      <c r="F577" s="1" t="s">
        <v>115</v>
      </c>
      <c r="G577" s="1" t="s">
        <v>115</v>
      </c>
      <c r="H577" s="1" t="str">
        <f>VLOOKUP(F577,Countries!$A$1:$B$161,2,0)</f>
        <v>Switzerland</v>
      </c>
    </row>
    <row r="578" spans="1:8" x14ac:dyDescent="0.3">
      <c r="A578" s="3">
        <v>46263.02207175926</v>
      </c>
      <c r="B578" s="1">
        <v>10.85</v>
      </c>
      <c r="C578" s="1">
        <v>9.3699999999999992</v>
      </c>
      <c r="D578" s="1">
        <v>0.74</v>
      </c>
      <c r="E578" s="1" t="s">
        <v>115</v>
      </c>
      <c r="F578" s="1" t="s">
        <v>115</v>
      </c>
      <c r="G578" s="1" t="s">
        <v>115</v>
      </c>
      <c r="H578" s="1" t="str">
        <f>VLOOKUP(F578,Countries!$A$1:$B$161,2,0)</f>
        <v>Switzerland</v>
      </c>
    </row>
    <row r="579" spans="1:8" x14ac:dyDescent="0.3">
      <c r="A579" s="3">
        <v>46263.016134259262</v>
      </c>
      <c r="B579" s="1">
        <v>10.85</v>
      </c>
      <c r="C579" s="1">
        <v>9.3699999999999992</v>
      </c>
      <c r="D579" s="1">
        <v>0.74</v>
      </c>
      <c r="E579" s="1" t="s">
        <v>115</v>
      </c>
      <c r="F579" s="1" t="s">
        <v>115</v>
      </c>
      <c r="G579" s="1" t="s">
        <v>115</v>
      </c>
      <c r="H579" s="1" t="str">
        <f>VLOOKUP(F579,Countries!$A$1:$B$161,2,0)</f>
        <v>Switzerland</v>
      </c>
    </row>
    <row r="580" spans="1:8" x14ac:dyDescent="0.3">
      <c r="A580" s="3">
        <v>46263.012916666667</v>
      </c>
      <c r="B580" s="1">
        <v>5.99</v>
      </c>
      <c r="C580" s="1">
        <v>5.17</v>
      </c>
      <c r="D580" s="1">
        <v>0.52</v>
      </c>
      <c r="E580" s="1" t="s">
        <v>143</v>
      </c>
      <c r="F580" s="1" t="s">
        <v>143</v>
      </c>
      <c r="G580" s="1" t="s">
        <v>143</v>
      </c>
      <c r="H580" s="1" t="str">
        <f>VLOOKUP(F580,Countries!$A$1:$B$161,2,0)</f>
        <v>United Arab Emirates</v>
      </c>
    </row>
    <row r="581" spans="1:8" x14ac:dyDescent="0.3">
      <c r="A581" s="3">
        <v>46263.011446759258</v>
      </c>
      <c r="B581" s="1">
        <v>6.3</v>
      </c>
      <c r="C581" s="1">
        <v>5.44</v>
      </c>
      <c r="D581" s="1">
        <v>0.54</v>
      </c>
      <c r="E581" s="1" t="s">
        <v>143</v>
      </c>
      <c r="F581" s="1" t="s">
        <v>143</v>
      </c>
      <c r="G581" s="1" t="s">
        <v>143</v>
      </c>
      <c r="H581" s="1" t="str">
        <f>VLOOKUP(F581,Countries!$A$1:$B$161,2,0)</f>
        <v>United Arab Emirates</v>
      </c>
    </row>
    <row r="582" spans="1:8" x14ac:dyDescent="0.3">
      <c r="A582" s="3">
        <v>46263.008912037039</v>
      </c>
      <c r="B582" s="1">
        <v>6.37</v>
      </c>
      <c r="C582" s="1">
        <v>5.5</v>
      </c>
      <c r="D582" s="1">
        <v>0.54</v>
      </c>
      <c r="E582" s="1" t="s">
        <v>113</v>
      </c>
      <c r="F582" s="1" t="s">
        <v>113</v>
      </c>
      <c r="G582" s="1" t="s">
        <v>113</v>
      </c>
      <c r="H582" s="1" t="str">
        <f>VLOOKUP(F582,Countries!$A$1:$B$161,2,0)</f>
        <v>United States of America</v>
      </c>
    </row>
    <row r="583" spans="1:8" x14ac:dyDescent="0.3">
      <c r="A583" s="3">
        <v>46263.008680555547</v>
      </c>
      <c r="B583" s="1">
        <v>6.37</v>
      </c>
      <c r="C583" s="1">
        <v>5.5</v>
      </c>
      <c r="D583" s="1">
        <v>0.54</v>
      </c>
      <c r="E583" s="1" t="s">
        <v>113</v>
      </c>
      <c r="F583" s="1" t="s">
        <v>113</v>
      </c>
      <c r="G583" s="1" t="s">
        <v>113</v>
      </c>
      <c r="H583" s="1" t="str">
        <f>VLOOKUP(F583,Countries!$A$1:$B$161,2,0)</f>
        <v>United States of America</v>
      </c>
    </row>
    <row r="584" spans="1:8" x14ac:dyDescent="0.3">
      <c r="A584" s="3">
        <v>46263.005787037036</v>
      </c>
      <c r="B584" s="1">
        <v>10.85</v>
      </c>
      <c r="C584" s="1">
        <v>9.3699999999999992</v>
      </c>
      <c r="D584" s="1">
        <v>0.74</v>
      </c>
      <c r="E584" s="1" t="s">
        <v>115</v>
      </c>
      <c r="F584" s="1" t="s">
        <v>115</v>
      </c>
      <c r="G584" s="1" t="s">
        <v>115</v>
      </c>
      <c r="H584" s="1" t="str">
        <f>VLOOKUP(F584,Countries!$A$1:$B$161,2,0)</f>
        <v>Switzerland</v>
      </c>
    </row>
    <row r="585" spans="1:8" x14ac:dyDescent="0.3">
      <c r="A585" s="3">
        <v>46263.004490740743</v>
      </c>
      <c r="B585" s="1">
        <v>2.99</v>
      </c>
      <c r="C585" s="1">
        <v>2.58</v>
      </c>
      <c r="D585" s="1">
        <v>0.38</v>
      </c>
      <c r="E585" s="1" t="s">
        <v>149</v>
      </c>
      <c r="F585" s="1" t="s">
        <v>149</v>
      </c>
      <c r="G585" s="1" t="s">
        <v>149</v>
      </c>
      <c r="H585" s="1" t="str">
        <f>VLOOKUP(F585,Countries!$A$1:$B$161,2,0)</f>
        <v>Indonesia</v>
      </c>
    </row>
    <row r="586" spans="1:8" x14ac:dyDescent="0.3">
      <c r="A586" s="3">
        <v>46263.001782407409</v>
      </c>
      <c r="B586" s="1">
        <v>6.37</v>
      </c>
      <c r="C586" s="1">
        <v>5.5</v>
      </c>
      <c r="D586" s="1">
        <v>0.44</v>
      </c>
      <c r="E586" s="1" t="s">
        <v>115</v>
      </c>
      <c r="F586" s="1" t="s">
        <v>123</v>
      </c>
      <c r="G586" s="1" t="s">
        <v>123</v>
      </c>
      <c r="H586" s="1" t="str">
        <f>VLOOKUP(F586,Countries!$A$1:$B$161,2,0)</f>
        <v>France</v>
      </c>
    </row>
    <row r="587" spans="1:8" x14ac:dyDescent="0.3">
      <c r="A587" s="3">
        <v>46263.000937500001</v>
      </c>
      <c r="B587" s="1">
        <v>22.18</v>
      </c>
      <c r="C587" s="1">
        <v>19.149999999999999</v>
      </c>
      <c r="D587" s="1">
        <v>1.25</v>
      </c>
      <c r="E587" s="1" t="s">
        <v>113</v>
      </c>
      <c r="F587" s="1" t="s">
        <v>113</v>
      </c>
      <c r="G587" s="1" t="s">
        <v>113</v>
      </c>
      <c r="H587" s="1" t="str">
        <f>VLOOKUP(F587,Countries!$A$1:$B$161,2,0)</f>
        <v>United States of America</v>
      </c>
    </row>
    <row r="588" spans="1:8" x14ac:dyDescent="0.3">
      <c r="A588" s="3">
        <v>46263.0002662037</v>
      </c>
      <c r="B588" s="1">
        <v>36.96</v>
      </c>
      <c r="C588" s="1">
        <v>31.91</v>
      </c>
      <c r="D588" s="1">
        <v>1.93</v>
      </c>
      <c r="E588" s="1" t="s">
        <v>113</v>
      </c>
      <c r="F588" s="1" t="s">
        <v>113</v>
      </c>
      <c r="G588" s="1" t="s">
        <v>113</v>
      </c>
      <c r="H588" s="1" t="str">
        <f>VLOOKUP(F588,Countries!$A$1:$B$161,2,0)</f>
        <v>United States of America</v>
      </c>
    </row>
    <row r="589" spans="1:8" x14ac:dyDescent="0.3">
      <c r="A589" s="3">
        <v>46262.999432870369</v>
      </c>
      <c r="B589" s="1">
        <v>10.85</v>
      </c>
      <c r="C589" s="1">
        <v>9.3699999999999992</v>
      </c>
      <c r="D589" s="1">
        <v>0.74</v>
      </c>
      <c r="E589" s="1" t="s">
        <v>115</v>
      </c>
      <c r="F589" s="1" t="s">
        <v>115</v>
      </c>
      <c r="G589" s="1" t="s">
        <v>115</v>
      </c>
      <c r="H589" s="1" t="str">
        <f>VLOOKUP(F589,Countries!$A$1:$B$161,2,0)</f>
        <v>Switzerland</v>
      </c>
    </row>
    <row r="590" spans="1:8" x14ac:dyDescent="0.3">
      <c r="A590" s="3">
        <v>46262.997187499997</v>
      </c>
      <c r="B590" s="1">
        <v>118.07</v>
      </c>
      <c r="C590" s="1">
        <v>101.92</v>
      </c>
      <c r="D590" s="1">
        <v>5.6</v>
      </c>
      <c r="E590" s="1" t="s">
        <v>113</v>
      </c>
      <c r="F590" s="1" t="s">
        <v>113</v>
      </c>
      <c r="G590" s="1" t="s">
        <v>113</v>
      </c>
      <c r="H590" s="1" t="str">
        <f>VLOOKUP(F590,Countries!$A$1:$B$161,2,0)</f>
        <v>United States of America</v>
      </c>
    </row>
    <row r="591" spans="1:8" x14ac:dyDescent="0.3">
      <c r="A591" s="3">
        <v>46262.997141203698</v>
      </c>
      <c r="B591" s="1">
        <v>3.73</v>
      </c>
      <c r="C591" s="1">
        <v>3.22</v>
      </c>
      <c r="D591" s="1">
        <v>0.39</v>
      </c>
      <c r="E591" s="1" t="s">
        <v>119</v>
      </c>
      <c r="F591" s="1" t="s">
        <v>119</v>
      </c>
      <c r="G591" s="1" t="s">
        <v>119</v>
      </c>
      <c r="H591" s="1" t="str">
        <f>VLOOKUP(F591,Countries!$A$1:$B$161,2,0)</f>
        <v>Great Britain (United Kingdom)</v>
      </c>
    </row>
    <row r="592" spans="1:8" x14ac:dyDescent="0.3">
      <c r="A592" s="3">
        <v>46262.994201388887</v>
      </c>
      <c r="B592" s="1">
        <v>10.85</v>
      </c>
      <c r="C592" s="1">
        <v>9.3699999999999992</v>
      </c>
      <c r="D592" s="1">
        <v>0.74</v>
      </c>
      <c r="E592" s="1" t="s">
        <v>115</v>
      </c>
      <c r="F592" s="1" t="s">
        <v>115</v>
      </c>
      <c r="G592" s="1" t="s">
        <v>115</v>
      </c>
      <c r="H592" s="1" t="str">
        <f>VLOOKUP(F592,Countries!$A$1:$B$161,2,0)</f>
        <v>Switzerland</v>
      </c>
    </row>
    <row r="593" spans="1:8" x14ac:dyDescent="0.3">
      <c r="A593" s="3">
        <v>46262.993796296287</v>
      </c>
      <c r="B593" s="1">
        <v>6.37</v>
      </c>
      <c r="C593" s="1">
        <v>5.5</v>
      </c>
      <c r="D593" s="1">
        <v>0.54</v>
      </c>
      <c r="E593" s="1" t="s">
        <v>113</v>
      </c>
      <c r="F593" s="1" t="s">
        <v>113</v>
      </c>
      <c r="G593" s="1" t="s">
        <v>113</v>
      </c>
      <c r="H593" s="1" t="str">
        <f>VLOOKUP(F593,Countries!$A$1:$B$161,2,0)</f>
        <v>United States of America</v>
      </c>
    </row>
    <row r="594" spans="1:8" x14ac:dyDescent="0.3">
      <c r="A594" s="3">
        <v>46262.987881944442</v>
      </c>
      <c r="B594" s="1">
        <v>10.85</v>
      </c>
      <c r="C594" s="1">
        <v>9.3699999999999992</v>
      </c>
      <c r="D594" s="1">
        <v>0.74</v>
      </c>
      <c r="E594" s="1" t="s">
        <v>115</v>
      </c>
      <c r="F594" s="1" t="s">
        <v>115</v>
      </c>
      <c r="G594" s="1" t="s">
        <v>115</v>
      </c>
      <c r="H594" s="1" t="str">
        <f>VLOOKUP(F594,Countries!$A$1:$B$161,2,0)</f>
        <v>Switzerland</v>
      </c>
    </row>
    <row r="595" spans="1:8" x14ac:dyDescent="0.3">
      <c r="A595" s="3">
        <v>46262.981388888889</v>
      </c>
      <c r="B595" s="1">
        <v>6.37</v>
      </c>
      <c r="C595" s="1">
        <v>5.5</v>
      </c>
      <c r="D595" s="1">
        <v>0.5</v>
      </c>
      <c r="E595" s="1" t="s">
        <v>168</v>
      </c>
      <c r="F595" s="1" t="s">
        <v>119</v>
      </c>
      <c r="G595" s="1" t="s">
        <v>119</v>
      </c>
      <c r="H595" s="1" t="str">
        <f>VLOOKUP(F595,Countries!$A$1:$B$161,2,0)</f>
        <v>Great Britain (United Kingdom)</v>
      </c>
    </row>
    <row r="596" spans="1:8" x14ac:dyDescent="0.3">
      <c r="A596" s="3">
        <v>46262.977349537039</v>
      </c>
      <c r="B596" s="1">
        <v>6.37</v>
      </c>
      <c r="C596" s="1">
        <v>5.5</v>
      </c>
      <c r="D596" s="1">
        <v>0.54</v>
      </c>
      <c r="E596" s="1" t="s">
        <v>113</v>
      </c>
      <c r="F596" s="1" t="s">
        <v>113</v>
      </c>
      <c r="G596" s="1" t="s">
        <v>113</v>
      </c>
      <c r="H596" s="1" t="str">
        <f>VLOOKUP(F596,Countries!$A$1:$B$161,2,0)</f>
        <v>United States of America</v>
      </c>
    </row>
    <row r="597" spans="1:8" x14ac:dyDescent="0.3">
      <c r="A597" s="3">
        <v>46262.976064814808</v>
      </c>
      <c r="B597" s="1">
        <v>10.85</v>
      </c>
      <c r="C597" s="1">
        <v>9.3699999999999992</v>
      </c>
      <c r="D597" s="1">
        <v>0.74</v>
      </c>
      <c r="E597" s="1" t="s">
        <v>115</v>
      </c>
      <c r="F597" s="1" t="s">
        <v>115</v>
      </c>
      <c r="G597" s="1" t="s">
        <v>115</v>
      </c>
      <c r="H597" s="1" t="str">
        <f>VLOOKUP(F597,Countries!$A$1:$B$161,2,0)</f>
        <v>Switzerland</v>
      </c>
    </row>
    <row r="598" spans="1:8" x14ac:dyDescent="0.3">
      <c r="A598" s="3">
        <v>46262.970590277779</v>
      </c>
      <c r="B598" s="1">
        <v>14.77</v>
      </c>
      <c r="C598" s="1">
        <v>12.75</v>
      </c>
      <c r="D598" s="1">
        <v>0.92</v>
      </c>
      <c r="E598" s="1" t="s">
        <v>113</v>
      </c>
      <c r="F598" s="1" t="s">
        <v>113</v>
      </c>
      <c r="G598" s="1" t="s">
        <v>113</v>
      </c>
      <c r="H598" s="1" t="str">
        <f>VLOOKUP(F598,Countries!$A$1:$B$161,2,0)</f>
        <v>United States of America</v>
      </c>
    </row>
    <row r="599" spans="1:8" x14ac:dyDescent="0.3">
      <c r="A599" s="3">
        <v>46262.966956018521</v>
      </c>
      <c r="B599" s="1">
        <v>10.85</v>
      </c>
      <c r="C599" s="1">
        <v>9.3699999999999992</v>
      </c>
      <c r="D599" s="1">
        <v>0.74</v>
      </c>
      <c r="E599" s="1" t="s">
        <v>115</v>
      </c>
      <c r="F599" s="1" t="s">
        <v>115</v>
      </c>
      <c r="G599" s="1" t="s">
        <v>115</v>
      </c>
      <c r="H599" s="1" t="str">
        <f>VLOOKUP(F599,Countries!$A$1:$B$161,2,0)</f>
        <v>Switzerland</v>
      </c>
    </row>
    <row r="600" spans="1:8" x14ac:dyDescent="0.3">
      <c r="A600" s="3">
        <v>46262.964143518519</v>
      </c>
      <c r="B600" s="1">
        <v>157.88</v>
      </c>
      <c r="C600" s="1">
        <v>136.29</v>
      </c>
      <c r="D600" s="1">
        <v>7.41</v>
      </c>
      <c r="E600" s="1" t="s">
        <v>143</v>
      </c>
      <c r="F600" s="1" t="s">
        <v>143</v>
      </c>
      <c r="G600" s="1" t="s">
        <v>143</v>
      </c>
      <c r="H600" s="1" t="str">
        <f>VLOOKUP(F600,Countries!$A$1:$B$161,2,0)</f>
        <v>United Arab Emirates</v>
      </c>
    </row>
    <row r="601" spans="1:8" x14ac:dyDescent="0.3">
      <c r="A601" s="3">
        <v>46262.963460648149</v>
      </c>
      <c r="B601" s="1">
        <v>10.85</v>
      </c>
      <c r="C601" s="1">
        <v>9.3699999999999992</v>
      </c>
      <c r="D601" s="1">
        <v>0.74</v>
      </c>
      <c r="E601" s="1" t="s">
        <v>115</v>
      </c>
      <c r="F601" s="1" t="s">
        <v>115</v>
      </c>
      <c r="G601" s="1" t="s">
        <v>115</v>
      </c>
      <c r="H601" s="1" t="str">
        <f>VLOOKUP(F601,Countries!$A$1:$B$161,2,0)</f>
        <v>Switzerland</v>
      </c>
    </row>
    <row r="602" spans="1:8" x14ac:dyDescent="0.3">
      <c r="A602" s="3">
        <v>46262.962604166663</v>
      </c>
      <c r="B602" s="1">
        <v>44.36</v>
      </c>
      <c r="C602" s="1">
        <v>38.29</v>
      </c>
      <c r="D602" s="1">
        <v>2.2599999999999998</v>
      </c>
      <c r="E602" s="1" t="s">
        <v>113</v>
      </c>
      <c r="F602" s="1" t="s">
        <v>113</v>
      </c>
      <c r="G602" s="1" t="s">
        <v>113</v>
      </c>
      <c r="H602" s="1" t="str">
        <f>VLOOKUP(F602,Countries!$A$1:$B$161,2,0)</f>
        <v>United States of America</v>
      </c>
    </row>
    <row r="603" spans="1:8" x14ac:dyDescent="0.3">
      <c r="A603" s="3">
        <v>46262.962476851862</v>
      </c>
      <c r="B603" s="1">
        <v>12.97</v>
      </c>
      <c r="C603" s="1">
        <v>11.2</v>
      </c>
      <c r="D603" s="1">
        <v>0.64</v>
      </c>
      <c r="E603" s="1" t="s">
        <v>112</v>
      </c>
      <c r="F603" s="1" t="s">
        <v>112</v>
      </c>
      <c r="G603" s="1" t="s">
        <v>112</v>
      </c>
      <c r="H603" s="1" t="str">
        <f>VLOOKUP(F603,Countries!$A$1:$B$161,2,0)</f>
        <v>Ireland</v>
      </c>
    </row>
    <row r="604" spans="1:8" x14ac:dyDescent="0.3">
      <c r="A604" s="3">
        <v>46262.961377314823</v>
      </c>
      <c r="B604" s="1">
        <v>6.3</v>
      </c>
      <c r="C604" s="1">
        <v>5.44</v>
      </c>
      <c r="D604" s="1">
        <v>0.54</v>
      </c>
      <c r="E604" s="1" t="s">
        <v>132</v>
      </c>
      <c r="F604" s="1" t="s">
        <v>132</v>
      </c>
      <c r="G604" s="1" t="s">
        <v>132</v>
      </c>
      <c r="H604" s="1" t="str">
        <f>VLOOKUP(F604,Countries!$A$1:$B$161,2,0)</f>
        <v>Canada</v>
      </c>
    </row>
    <row r="605" spans="1:8" x14ac:dyDescent="0.3">
      <c r="A605" s="3">
        <v>46262.957291666673</v>
      </c>
      <c r="B605" s="1">
        <v>10.85</v>
      </c>
      <c r="C605" s="1">
        <v>9.3699999999999992</v>
      </c>
      <c r="D605" s="1">
        <v>0.74</v>
      </c>
      <c r="E605" s="1" t="s">
        <v>115</v>
      </c>
      <c r="F605" s="1" t="s">
        <v>115</v>
      </c>
      <c r="G605" s="1" t="s">
        <v>115</v>
      </c>
      <c r="H605" s="1" t="str">
        <f>VLOOKUP(F605,Countries!$A$1:$B$161,2,0)</f>
        <v>Switzerland</v>
      </c>
    </row>
    <row r="606" spans="1:8" x14ac:dyDescent="0.3">
      <c r="A606" s="3">
        <v>46262.956805555557</v>
      </c>
      <c r="B606" s="1">
        <v>6.37</v>
      </c>
      <c r="C606" s="1">
        <v>5.5</v>
      </c>
      <c r="D606" s="1">
        <v>0.54</v>
      </c>
      <c r="E606" s="1" t="s">
        <v>113</v>
      </c>
      <c r="F606" s="1" t="s">
        <v>113</v>
      </c>
      <c r="G606" s="1" t="s">
        <v>113</v>
      </c>
      <c r="H606" s="1" t="str">
        <f>VLOOKUP(F606,Countries!$A$1:$B$161,2,0)</f>
        <v>United States of America</v>
      </c>
    </row>
    <row r="607" spans="1:8" x14ac:dyDescent="0.3">
      <c r="A607" s="3">
        <v>46262.955601851849</v>
      </c>
      <c r="B607" s="1">
        <v>10.85</v>
      </c>
      <c r="C607" s="1">
        <v>9.3699999999999992</v>
      </c>
      <c r="D607" s="1">
        <v>0.74</v>
      </c>
      <c r="E607" s="1" t="s">
        <v>115</v>
      </c>
      <c r="F607" s="1" t="s">
        <v>115</v>
      </c>
      <c r="G607" s="1" t="s">
        <v>115</v>
      </c>
      <c r="H607" s="1" t="str">
        <f>VLOOKUP(F607,Countries!$A$1:$B$161,2,0)</f>
        <v>Switzerland</v>
      </c>
    </row>
    <row r="608" spans="1:8" x14ac:dyDescent="0.3">
      <c r="A608" s="3">
        <v>46262.95108796296</v>
      </c>
      <c r="B608" s="1">
        <v>10.85</v>
      </c>
      <c r="C608" s="1">
        <v>9.3699999999999992</v>
      </c>
      <c r="D608" s="1">
        <v>0.74</v>
      </c>
      <c r="E608" s="1" t="s">
        <v>115</v>
      </c>
      <c r="F608" s="1" t="s">
        <v>115</v>
      </c>
      <c r="G608" s="1" t="s">
        <v>115</v>
      </c>
      <c r="H608" s="1" t="str">
        <f>VLOOKUP(F608,Countries!$A$1:$B$161,2,0)</f>
        <v>Switzerland</v>
      </c>
    </row>
    <row r="609" spans="1:8" x14ac:dyDescent="0.3">
      <c r="A609" s="3">
        <v>46262.948611111111</v>
      </c>
      <c r="B609" s="1">
        <v>7.48</v>
      </c>
      <c r="C609" s="1">
        <v>6.46</v>
      </c>
      <c r="D609" s="1">
        <v>0.54</v>
      </c>
      <c r="E609" s="1" t="s">
        <v>119</v>
      </c>
      <c r="F609" s="1" t="s">
        <v>119</v>
      </c>
      <c r="G609" s="1" t="s">
        <v>119</v>
      </c>
      <c r="H609" s="1" t="str">
        <f>VLOOKUP(F609,Countries!$A$1:$B$161,2,0)</f>
        <v>Great Britain (United Kingdom)</v>
      </c>
    </row>
    <row r="610" spans="1:8" x14ac:dyDescent="0.3">
      <c r="A610" s="3">
        <v>46262.948541666658</v>
      </c>
      <c r="B610" s="1">
        <v>20.7</v>
      </c>
      <c r="C610" s="1">
        <v>17.87</v>
      </c>
      <c r="D610" s="1">
        <v>1.19</v>
      </c>
      <c r="E610" s="1" t="s">
        <v>113</v>
      </c>
      <c r="F610" s="1" t="s">
        <v>113</v>
      </c>
      <c r="G610" s="1" t="s">
        <v>113</v>
      </c>
      <c r="H610" s="1" t="str">
        <f>VLOOKUP(F610,Countries!$A$1:$B$161,2,0)</f>
        <v>United States of America</v>
      </c>
    </row>
    <row r="611" spans="1:8" x14ac:dyDescent="0.3">
      <c r="A611" s="3">
        <v>46262.948252314818</v>
      </c>
      <c r="B611" s="1">
        <v>6.37</v>
      </c>
      <c r="C611" s="1">
        <v>5.5</v>
      </c>
      <c r="D611" s="1">
        <v>0.44</v>
      </c>
      <c r="E611" s="1" t="s">
        <v>123</v>
      </c>
      <c r="F611" s="1" t="s">
        <v>123</v>
      </c>
      <c r="G611" s="1" t="s">
        <v>123</v>
      </c>
      <c r="H611" s="1" t="str">
        <f>VLOOKUP(F611,Countries!$A$1:$B$161,2,0)</f>
        <v>France</v>
      </c>
    </row>
    <row r="612" spans="1:8" x14ac:dyDescent="0.3">
      <c r="A612" s="3">
        <v>46262.947314814817</v>
      </c>
      <c r="B612" s="1">
        <v>10.85</v>
      </c>
      <c r="C612" s="1">
        <v>9.3699999999999992</v>
      </c>
      <c r="D612" s="1">
        <v>0.74</v>
      </c>
      <c r="E612" s="1" t="s">
        <v>115</v>
      </c>
      <c r="F612" s="1" t="s">
        <v>115</v>
      </c>
      <c r="G612" s="1" t="s">
        <v>115</v>
      </c>
      <c r="H612" s="1" t="str">
        <f>VLOOKUP(F612,Countries!$A$1:$B$161,2,0)</f>
        <v>Switzerland</v>
      </c>
    </row>
    <row r="613" spans="1:8" x14ac:dyDescent="0.3">
      <c r="A613" s="3">
        <v>46262.94699074074</v>
      </c>
      <c r="B613" s="1">
        <v>6.37</v>
      </c>
      <c r="C613" s="1">
        <v>5.5</v>
      </c>
      <c r="D613" s="1">
        <v>0.54</v>
      </c>
      <c r="E613" s="1" t="s">
        <v>113</v>
      </c>
      <c r="F613" s="1" t="s">
        <v>113</v>
      </c>
      <c r="G613" s="1" t="s">
        <v>113</v>
      </c>
      <c r="H613" s="1" t="str">
        <f>VLOOKUP(F613,Countries!$A$1:$B$161,2,0)</f>
        <v>United States of America</v>
      </c>
    </row>
    <row r="614" spans="1:8" x14ac:dyDescent="0.3">
      <c r="A614" s="3">
        <v>46262.946250000001</v>
      </c>
      <c r="B614" s="1">
        <v>36.96</v>
      </c>
      <c r="C614" s="1">
        <v>31.91</v>
      </c>
      <c r="D614" s="1">
        <v>1.93</v>
      </c>
      <c r="E614" s="1" t="s">
        <v>113</v>
      </c>
      <c r="F614" s="1" t="s">
        <v>113</v>
      </c>
      <c r="G614" s="1" t="s">
        <v>113</v>
      </c>
      <c r="H614" s="1" t="str">
        <f>VLOOKUP(F614,Countries!$A$1:$B$161,2,0)</f>
        <v>United States of America</v>
      </c>
    </row>
    <row r="615" spans="1:8" x14ac:dyDescent="0.3">
      <c r="A615" s="3">
        <v>46262.939918981479</v>
      </c>
      <c r="B615" s="1">
        <v>10.85</v>
      </c>
      <c r="C615" s="1">
        <v>9.3699999999999992</v>
      </c>
      <c r="D615" s="1">
        <v>0.74</v>
      </c>
      <c r="E615" s="1" t="s">
        <v>115</v>
      </c>
      <c r="F615" s="1" t="s">
        <v>115</v>
      </c>
      <c r="G615" s="1" t="s">
        <v>115</v>
      </c>
      <c r="H615" s="1" t="str">
        <f>VLOOKUP(F615,Countries!$A$1:$B$161,2,0)</f>
        <v>Switzerland</v>
      </c>
    </row>
    <row r="616" spans="1:8" x14ac:dyDescent="0.3">
      <c r="A616" s="3">
        <v>46262.934444444443</v>
      </c>
      <c r="B616" s="1">
        <v>6.37</v>
      </c>
      <c r="C616" s="1">
        <v>5.5</v>
      </c>
      <c r="D616" s="1">
        <v>0.54</v>
      </c>
      <c r="E616" s="1" t="s">
        <v>113</v>
      </c>
      <c r="F616" s="1" t="s">
        <v>113</v>
      </c>
      <c r="G616" s="1" t="s">
        <v>113</v>
      </c>
      <c r="H616" s="1" t="str">
        <f>VLOOKUP(F616,Countries!$A$1:$B$161,2,0)</f>
        <v>United States of America</v>
      </c>
    </row>
    <row r="617" spans="1:8" x14ac:dyDescent="0.3">
      <c r="A617" s="3">
        <v>46262.933912037042</v>
      </c>
      <c r="B617" s="1">
        <v>17.55</v>
      </c>
      <c r="C617" s="1">
        <v>15.15</v>
      </c>
      <c r="D617" s="1">
        <v>1.04</v>
      </c>
      <c r="E617" s="1" t="s">
        <v>132</v>
      </c>
      <c r="F617" s="1" t="s">
        <v>132</v>
      </c>
      <c r="G617" s="1" t="s">
        <v>132</v>
      </c>
      <c r="H617" s="1" t="str">
        <f>VLOOKUP(F617,Countries!$A$1:$B$161,2,0)</f>
        <v>Canada</v>
      </c>
    </row>
    <row r="618" spans="1:8" x14ac:dyDescent="0.3">
      <c r="A618" s="3">
        <v>46262.93309027778</v>
      </c>
      <c r="B618" s="1">
        <v>10.85</v>
      </c>
      <c r="C618" s="1">
        <v>9.3699999999999992</v>
      </c>
      <c r="D618" s="1">
        <v>0.74</v>
      </c>
      <c r="E618" s="1" t="s">
        <v>115</v>
      </c>
      <c r="F618" s="1" t="s">
        <v>115</v>
      </c>
      <c r="G618" s="1" t="s">
        <v>115</v>
      </c>
      <c r="H618" s="1" t="str">
        <f>VLOOKUP(F618,Countries!$A$1:$B$161,2,0)</f>
        <v>Switzerland</v>
      </c>
    </row>
    <row r="619" spans="1:8" x14ac:dyDescent="0.3">
      <c r="A619" s="3">
        <v>46262.931331018517</v>
      </c>
      <c r="B619" s="1">
        <v>6.37</v>
      </c>
      <c r="C619" s="1">
        <v>5.5</v>
      </c>
      <c r="D619" s="1">
        <v>0.54</v>
      </c>
      <c r="E619" s="1" t="s">
        <v>113</v>
      </c>
      <c r="F619" s="1" t="s">
        <v>113</v>
      </c>
      <c r="G619" s="1" t="s">
        <v>113</v>
      </c>
      <c r="H619" s="1" t="str">
        <f>VLOOKUP(F619,Countries!$A$1:$B$161,2,0)</f>
        <v>United States of America</v>
      </c>
    </row>
    <row r="620" spans="1:8" x14ac:dyDescent="0.3">
      <c r="A620" s="3">
        <v>46262.930104166669</v>
      </c>
      <c r="B620" s="1">
        <v>6.37</v>
      </c>
      <c r="C620" s="1">
        <v>5.5</v>
      </c>
      <c r="D620" s="1">
        <v>0.54</v>
      </c>
      <c r="E620" s="1" t="s">
        <v>113</v>
      </c>
      <c r="F620" s="1" t="s">
        <v>113</v>
      </c>
      <c r="G620" s="1" t="s">
        <v>113</v>
      </c>
      <c r="H620" s="1" t="str">
        <f>VLOOKUP(F620,Countries!$A$1:$B$161,2,0)</f>
        <v>United States of America</v>
      </c>
    </row>
    <row r="621" spans="1:8" x14ac:dyDescent="0.3">
      <c r="A621" s="3">
        <v>46262.922430555547</v>
      </c>
      <c r="B621" s="1">
        <v>10.85</v>
      </c>
      <c r="C621" s="1">
        <v>9.3699999999999992</v>
      </c>
      <c r="D621" s="1">
        <v>0.74</v>
      </c>
      <c r="E621" s="1" t="s">
        <v>115</v>
      </c>
      <c r="F621" s="1" t="s">
        <v>115</v>
      </c>
      <c r="G621" s="1" t="s">
        <v>115</v>
      </c>
      <c r="H621" s="1" t="str">
        <f>VLOOKUP(F621,Countries!$A$1:$B$161,2,0)</f>
        <v>Switzerland</v>
      </c>
    </row>
    <row r="622" spans="1:8" x14ac:dyDescent="0.3">
      <c r="A622" s="3">
        <v>46262.919398148151</v>
      </c>
      <c r="B622" s="1">
        <v>6.37</v>
      </c>
      <c r="C622" s="1">
        <v>5.5</v>
      </c>
      <c r="D622" s="1">
        <v>0.54</v>
      </c>
      <c r="E622" s="1" t="s">
        <v>113</v>
      </c>
      <c r="F622" s="1" t="s">
        <v>113</v>
      </c>
      <c r="G622" s="1" t="s">
        <v>113</v>
      </c>
      <c r="H622" s="1" t="str">
        <f>VLOOKUP(F622,Countries!$A$1:$B$161,2,0)</f>
        <v>United States of America</v>
      </c>
    </row>
    <row r="623" spans="1:8" x14ac:dyDescent="0.3">
      <c r="A623" s="3">
        <v>46262.919293981482</v>
      </c>
      <c r="B623" s="1">
        <v>14.77</v>
      </c>
      <c r="C623" s="1">
        <v>12.75</v>
      </c>
      <c r="D623" s="1">
        <v>0.92</v>
      </c>
      <c r="E623" s="1" t="s">
        <v>113</v>
      </c>
      <c r="F623" s="1" t="s">
        <v>113</v>
      </c>
      <c r="G623" s="1" t="s">
        <v>113</v>
      </c>
      <c r="H623" s="1" t="str">
        <f>VLOOKUP(F623,Countries!$A$1:$B$161,2,0)</f>
        <v>United States of America</v>
      </c>
    </row>
    <row r="624" spans="1:8" x14ac:dyDescent="0.3">
      <c r="A624" s="3">
        <v>46262.917731481481</v>
      </c>
      <c r="B624" s="1">
        <v>10.62</v>
      </c>
      <c r="C624" s="1">
        <v>9.17</v>
      </c>
      <c r="D624" s="1">
        <v>0.73</v>
      </c>
      <c r="E624" s="1" t="s">
        <v>113</v>
      </c>
      <c r="F624" s="1" t="s">
        <v>113</v>
      </c>
      <c r="G624" s="1" t="s">
        <v>113</v>
      </c>
      <c r="H624" s="1" t="str">
        <f>VLOOKUP(F624,Countries!$A$1:$B$161,2,0)</f>
        <v>United States of America</v>
      </c>
    </row>
    <row r="625" spans="1:8" x14ac:dyDescent="0.3">
      <c r="A625" s="3">
        <v>46262.916979166657</v>
      </c>
      <c r="B625" s="1">
        <v>1.99</v>
      </c>
      <c r="C625" s="1">
        <v>1.72</v>
      </c>
      <c r="D625" s="1">
        <v>0.34</v>
      </c>
      <c r="E625" s="1" t="s">
        <v>169</v>
      </c>
      <c r="F625" s="1" t="s">
        <v>169</v>
      </c>
      <c r="G625" s="1" t="s">
        <v>169</v>
      </c>
      <c r="H625" s="1" t="str">
        <f>VLOOKUP(F625,Countries!$A$1:$B$161,2,0)</f>
        <v>Sri Lanka</v>
      </c>
    </row>
    <row r="626" spans="1:8" x14ac:dyDescent="0.3">
      <c r="A626" s="3">
        <v>46262.916747685187</v>
      </c>
      <c r="B626" s="1">
        <v>10.85</v>
      </c>
      <c r="C626" s="1">
        <v>9.3699999999999992</v>
      </c>
      <c r="D626" s="1">
        <v>0.74</v>
      </c>
      <c r="E626" s="1" t="s">
        <v>115</v>
      </c>
      <c r="F626" s="1" t="s">
        <v>115</v>
      </c>
      <c r="G626" s="1" t="s">
        <v>115</v>
      </c>
      <c r="H626" s="1" t="str">
        <f>VLOOKUP(F626,Countries!$A$1:$B$161,2,0)</f>
        <v>Switzerland</v>
      </c>
    </row>
    <row r="627" spans="1:8" x14ac:dyDescent="0.3">
      <c r="A627" s="3">
        <v>46262.91642361111</v>
      </c>
      <c r="B627" s="1">
        <v>10.62</v>
      </c>
      <c r="C627" s="1">
        <v>9.17</v>
      </c>
      <c r="D627" s="1">
        <v>0.73</v>
      </c>
      <c r="E627" s="1" t="s">
        <v>113</v>
      </c>
      <c r="F627" s="1" t="s">
        <v>113</v>
      </c>
      <c r="G627" s="1" t="s">
        <v>113</v>
      </c>
      <c r="H627" s="1" t="str">
        <f>VLOOKUP(F627,Countries!$A$1:$B$161,2,0)</f>
        <v>United States of America</v>
      </c>
    </row>
    <row r="628" spans="1:8" x14ac:dyDescent="0.3">
      <c r="A628" s="3">
        <v>46262.914143518523</v>
      </c>
      <c r="B628" s="1">
        <v>7.39</v>
      </c>
      <c r="C628" s="1">
        <v>6.38</v>
      </c>
      <c r="D628" s="1">
        <v>0.48</v>
      </c>
      <c r="E628" s="1" t="s">
        <v>147</v>
      </c>
      <c r="F628" s="1" t="s">
        <v>147</v>
      </c>
      <c r="G628" s="1" t="s">
        <v>147</v>
      </c>
      <c r="H628" s="1" t="str">
        <f>VLOOKUP(F628,Countries!$A$1:$B$161,2,0)</f>
        <v>Germany</v>
      </c>
    </row>
    <row r="629" spans="1:8" x14ac:dyDescent="0.3">
      <c r="A629" s="3">
        <v>46262.912349537037</v>
      </c>
      <c r="B629" s="1">
        <v>12.33</v>
      </c>
      <c r="C629" s="1">
        <v>10.64</v>
      </c>
      <c r="D629" s="1">
        <v>0.62</v>
      </c>
      <c r="E629" s="1" t="s">
        <v>147</v>
      </c>
      <c r="F629" s="1" t="s">
        <v>147</v>
      </c>
      <c r="G629" s="1" t="s">
        <v>147</v>
      </c>
      <c r="H629" s="1" t="str">
        <f>VLOOKUP(F629,Countries!$A$1:$B$161,2,0)</f>
        <v>Germany</v>
      </c>
    </row>
    <row r="630" spans="1:8" x14ac:dyDescent="0.3">
      <c r="A630" s="3">
        <v>46262.911446759259</v>
      </c>
      <c r="B630" s="1">
        <v>6.37</v>
      </c>
      <c r="C630" s="1">
        <v>5.5</v>
      </c>
      <c r="D630" s="1">
        <v>0.5</v>
      </c>
      <c r="E630" s="1" t="s">
        <v>119</v>
      </c>
      <c r="F630" s="1" t="s">
        <v>119</v>
      </c>
      <c r="G630" s="1" t="s">
        <v>119</v>
      </c>
      <c r="H630" s="1" t="str">
        <f>VLOOKUP(F630,Countries!$A$1:$B$161,2,0)</f>
        <v>Great Britain (United Kingdom)</v>
      </c>
    </row>
    <row r="631" spans="1:8" x14ac:dyDescent="0.3">
      <c r="A631" s="3">
        <v>46262.910115740742</v>
      </c>
      <c r="B631" s="1">
        <v>6.37</v>
      </c>
      <c r="C631" s="1">
        <v>5.5</v>
      </c>
      <c r="D631" s="1">
        <v>0.54</v>
      </c>
      <c r="E631" s="1" t="s">
        <v>113</v>
      </c>
      <c r="F631" s="1" t="s">
        <v>113</v>
      </c>
      <c r="G631" s="1" t="s">
        <v>113</v>
      </c>
      <c r="H631" s="1" t="str">
        <f>VLOOKUP(F631,Countries!$A$1:$B$161,2,0)</f>
        <v>United States of America</v>
      </c>
    </row>
    <row r="632" spans="1:8" x14ac:dyDescent="0.3">
      <c r="A632" s="3">
        <v>46262.909270833326</v>
      </c>
      <c r="B632" s="1">
        <v>14.77</v>
      </c>
      <c r="C632" s="1">
        <v>12.75</v>
      </c>
      <c r="D632" s="1">
        <v>0.92</v>
      </c>
      <c r="E632" s="1" t="s">
        <v>113</v>
      </c>
      <c r="F632" s="1" t="s">
        <v>113</v>
      </c>
      <c r="G632" s="1" t="s">
        <v>113</v>
      </c>
      <c r="H632" s="1" t="str">
        <f>VLOOKUP(F632,Countries!$A$1:$B$161,2,0)</f>
        <v>United States of America</v>
      </c>
    </row>
    <row r="633" spans="1:8" x14ac:dyDescent="0.3">
      <c r="A633" s="3">
        <v>46262.905844907407</v>
      </c>
      <c r="B633" s="1">
        <v>10.85</v>
      </c>
      <c r="C633" s="1">
        <v>9.3699999999999992</v>
      </c>
      <c r="D633" s="1">
        <v>0.74</v>
      </c>
      <c r="E633" s="1" t="s">
        <v>115</v>
      </c>
      <c r="F633" s="1" t="s">
        <v>115</v>
      </c>
      <c r="G633" s="1" t="s">
        <v>115</v>
      </c>
      <c r="H633" s="1" t="str">
        <f>VLOOKUP(F633,Countries!$A$1:$B$161,2,0)</f>
        <v>Switzerland</v>
      </c>
    </row>
    <row r="634" spans="1:8" x14ac:dyDescent="0.3">
      <c r="A634" s="3">
        <v>46262.904548611114</v>
      </c>
      <c r="B634" s="1">
        <v>157.88</v>
      </c>
      <c r="C634" s="1">
        <v>136.30000000000001</v>
      </c>
      <c r="D634" s="1">
        <v>7.41</v>
      </c>
      <c r="E634" s="1" t="s">
        <v>143</v>
      </c>
      <c r="F634" s="1" t="s">
        <v>143</v>
      </c>
      <c r="G634" s="1" t="s">
        <v>143</v>
      </c>
      <c r="H634" s="1" t="str">
        <f>VLOOKUP(F634,Countries!$A$1:$B$161,2,0)</f>
        <v>United Arab Emirates</v>
      </c>
    </row>
    <row r="635" spans="1:8" x14ac:dyDescent="0.3">
      <c r="A635" s="3">
        <v>46262.902569444443</v>
      </c>
      <c r="B635" s="1">
        <v>10.85</v>
      </c>
      <c r="C635" s="1">
        <v>9.3699999999999992</v>
      </c>
      <c r="D635" s="1">
        <v>0.74</v>
      </c>
      <c r="E635" s="1" t="s">
        <v>115</v>
      </c>
      <c r="F635" s="1" t="s">
        <v>115</v>
      </c>
      <c r="G635" s="1" t="s">
        <v>115</v>
      </c>
      <c r="H635" s="1" t="str">
        <f>VLOOKUP(F635,Countries!$A$1:$B$161,2,0)</f>
        <v>Switzerland</v>
      </c>
    </row>
    <row r="636" spans="1:8" x14ac:dyDescent="0.3">
      <c r="A636" s="3">
        <v>46262.898576388892</v>
      </c>
      <c r="B636" s="1">
        <v>10.62</v>
      </c>
      <c r="C636" s="1">
        <v>9.17</v>
      </c>
      <c r="D636" s="1">
        <v>0.73</v>
      </c>
      <c r="E636" s="1" t="s">
        <v>113</v>
      </c>
      <c r="F636" s="1" t="s">
        <v>113</v>
      </c>
      <c r="G636" s="1" t="s">
        <v>113</v>
      </c>
      <c r="H636" s="1" t="str">
        <f>VLOOKUP(F636,Countries!$A$1:$B$161,2,0)</f>
        <v>United States of America</v>
      </c>
    </row>
    <row r="637" spans="1:8" x14ac:dyDescent="0.3">
      <c r="A637" s="3">
        <v>46262.891018518523</v>
      </c>
      <c r="B637" s="1">
        <v>10.85</v>
      </c>
      <c r="C637" s="1">
        <v>9.3699999999999992</v>
      </c>
      <c r="D637" s="1">
        <v>0.74</v>
      </c>
      <c r="E637" s="1" t="s">
        <v>115</v>
      </c>
      <c r="F637" s="1" t="s">
        <v>115</v>
      </c>
      <c r="G637" s="1" t="s">
        <v>115</v>
      </c>
      <c r="H637" s="1" t="str">
        <f>VLOOKUP(F637,Countries!$A$1:$B$161,2,0)</f>
        <v>Switzerland</v>
      </c>
    </row>
    <row r="638" spans="1:8" x14ac:dyDescent="0.3">
      <c r="A638" s="3">
        <v>46262.886331018519</v>
      </c>
      <c r="B638" s="1">
        <v>14.77</v>
      </c>
      <c r="C638" s="1">
        <v>12.75</v>
      </c>
      <c r="D638" s="1">
        <v>0.92</v>
      </c>
      <c r="E638" s="1" t="s">
        <v>113</v>
      </c>
      <c r="F638" s="1" t="s">
        <v>113</v>
      </c>
      <c r="G638" s="1" t="s">
        <v>113</v>
      </c>
      <c r="H638" s="1" t="str">
        <f>VLOOKUP(F638,Countries!$A$1:$B$161,2,0)</f>
        <v>United States of America</v>
      </c>
    </row>
    <row r="639" spans="1:8" x14ac:dyDescent="0.3">
      <c r="A639" s="3">
        <v>46262.885740740741</v>
      </c>
      <c r="B639" s="1">
        <v>51.75</v>
      </c>
      <c r="C639" s="1">
        <v>44.68</v>
      </c>
      <c r="D639" s="1">
        <v>2.59</v>
      </c>
      <c r="E639" s="1" t="s">
        <v>113</v>
      </c>
      <c r="F639" s="1" t="s">
        <v>113</v>
      </c>
      <c r="G639" s="1" t="s">
        <v>113</v>
      </c>
      <c r="H639" s="1" t="str">
        <f>VLOOKUP(F639,Countries!$A$1:$B$161,2,0)</f>
        <v>United States of America</v>
      </c>
    </row>
    <row r="640" spans="1:8" x14ac:dyDescent="0.3">
      <c r="A640" s="3">
        <v>46262.884502314817</v>
      </c>
      <c r="B640" s="1">
        <v>6.37</v>
      </c>
      <c r="C640" s="1">
        <v>5.5</v>
      </c>
      <c r="D640" s="1">
        <v>0.54</v>
      </c>
      <c r="E640" s="1" t="s">
        <v>113</v>
      </c>
      <c r="F640" s="1" t="s">
        <v>113</v>
      </c>
      <c r="G640" s="1" t="s">
        <v>113</v>
      </c>
      <c r="H640" s="1" t="str">
        <f>VLOOKUP(F640,Countries!$A$1:$B$161,2,0)</f>
        <v>United States of America</v>
      </c>
    </row>
    <row r="641" spans="1:8" x14ac:dyDescent="0.3">
      <c r="A641" s="3">
        <v>46262.880196759259</v>
      </c>
      <c r="B641" s="1">
        <v>10.85</v>
      </c>
      <c r="C641" s="1">
        <v>9.3699999999999992</v>
      </c>
      <c r="D641" s="1">
        <v>0.74</v>
      </c>
      <c r="E641" s="1" t="s">
        <v>115</v>
      </c>
      <c r="F641" s="1" t="s">
        <v>115</v>
      </c>
      <c r="G641" s="1" t="s">
        <v>115</v>
      </c>
      <c r="H641" s="1" t="str">
        <f>VLOOKUP(F641,Countries!$A$1:$B$161,2,0)</f>
        <v>Switzerland</v>
      </c>
    </row>
    <row r="642" spans="1:8" x14ac:dyDescent="0.3">
      <c r="A642" s="3">
        <v>46262.874374999999</v>
      </c>
      <c r="B642" s="1">
        <v>10.85</v>
      </c>
      <c r="C642" s="1">
        <v>9.36</v>
      </c>
      <c r="D642" s="1">
        <v>0.74</v>
      </c>
      <c r="E642" s="1" t="s">
        <v>115</v>
      </c>
      <c r="F642" s="1" t="s">
        <v>115</v>
      </c>
      <c r="G642" s="1" t="s">
        <v>115</v>
      </c>
      <c r="H642" s="1" t="str">
        <f>VLOOKUP(F642,Countries!$A$1:$B$161,2,0)</f>
        <v>Switzerland</v>
      </c>
    </row>
    <row r="643" spans="1:8" x14ac:dyDescent="0.3">
      <c r="A643" s="3">
        <v>46262.873831018522</v>
      </c>
      <c r="B643" s="1">
        <v>29.57</v>
      </c>
      <c r="C643" s="1">
        <v>25.52</v>
      </c>
      <c r="D643" s="1">
        <v>1.59</v>
      </c>
      <c r="E643" s="1" t="s">
        <v>113</v>
      </c>
      <c r="F643" s="1" t="s">
        <v>113</v>
      </c>
      <c r="G643" s="1" t="s">
        <v>113</v>
      </c>
      <c r="H643" s="1" t="str">
        <f>VLOOKUP(F643,Countries!$A$1:$B$161,2,0)</f>
        <v>United States of America</v>
      </c>
    </row>
    <row r="644" spans="1:8" x14ac:dyDescent="0.3">
      <c r="A644" s="3">
        <v>46262.872673611113</v>
      </c>
      <c r="B644" s="1">
        <v>14.77</v>
      </c>
      <c r="C644" s="1">
        <v>12.75</v>
      </c>
      <c r="D644" s="1">
        <v>0.92</v>
      </c>
      <c r="E644" s="1" t="s">
        <v>113</v>
      </c>
      <c r="F644" s="1" t="s">
        <v>113</v>
      </c>
      <c r="G644" s="1" t="s">
        <v>113</v>
      </c>
      <c r="H644" s="1" t="str">
        <f>VLOOKUP(F644,Countries!$A$1:$B$161,2,0)</f>
        <v>United States of America</v>
      </c>
    </row>
    <row r="645" spans="1:8" x14ac:dyDescent="0.3">
      <c r="A645" s="3">
        <v>46262.870254629634</v>
      </c>
      <c r="B645" s="1">
        <v>7.39</v>
      </c>
      <c r="C645" s="1">
        <v>6.38</v>
      </c>
      <c r="D645" s="1">
        <v>0.48</v>
      </c>
      <c r="E645" s="1" t="s">
        <v>147</v>
      </c>
      <c r="F645" s="1" t="s">
        <v>147</v>
      </c>
      <c r="G645" s="1" t="s">
        <v>147</v>
      </c>
      <c r="H645" s="1" t="str">
        <f>VLOOKUP(F645,Countries!$A$1:$B$161,2,0)</f>
        <v>Germany</v>
      </c>
    </row>
    <row r="646" spans="1:8" x14ac:dyDescent="0.3">
      <c r="A646" s="3">
        <v>46262.86515046296</v>
      </c>
      <c r="B646" s="1">
        <v>14.77</v>
      </c>
      <c r="C646" s="1">
        <v>12.75</v>
      </c>
      <c r="D646" s="1">
        <v>0.92</v>
      </c>
      <c r="E646" s="1" t="s">
        <v>113</v>
      </c>
      <c r="F646" s="1" t="s">
        <v>113</v>
      </c>
      <c r="G646" s="1" t="s">
        <v>113</v>
      </c>
      <c r="H646" s="1" t="str">
        <f>VLOOKUP(F646,Countries!$A$1:$B$161,2,0)</f>
        <v>United States of America</v>
      </c>
    </row>
    <row r="647" spans="1:8" x14ac:dyDescent="0.3">
      <c r="A647" s="3">
        <v>46262.864629629628</v>
      </c>
      <c r="B647" s="1">
        <v>36.96</v>
      </c>
      <c r="C647" s="1">
        <v>31.9</v>
      </c>
      <c r="D647" s="1">
        <v>1.93</v>
      </c>
      <c r="E647" s="1" t="s">
        <v>113</v>
      </c>
      <c r="F647" s="1" t="s">
        <v>113</v>
      </c>
      <c r="G647" s="1" t="s">
        <v>113</v>
      </c>
      <c r="H647" s="1" t="str">
        <f>VLOOKUP(F647,Countries!$A$1:$B$161,2,0)</f>
        <v>United States of America</v>
      </c>
    </row>
    <row r="648" spans="1:8" x14ac:dyDescent="0.3">
      <c r="A648" s="3">
        <v>46262.861238425918</v>
      </c>
      <c r="B648" s="1">
        <v>10.85</v>
      </c>
      <c r="C648" s="1">
        <v>9.36</v>
      </c>
      <c r="D648" s="1">
        <v>0.74</v>
      </c>
      <c r="E648" s="1" t="s">
        <v>115</v>
      </c>
      <c r="F648" s="1" t="s">
        <v>115</v>
      </c>
      <c r="G648" s="1" t="s">
        <v>115</v>
      </c>
      <c r="H648" s="1" t="str">
        <f>VLOOKUP(F648,Countries!$A$1:$B$161,2,0)</f>
        <v>Switzerland</v>
      </c>
    </row>
    <row r="649" spans="1:8" x14ac:dyDescent="0.3">
      <c r="A649" s="3">
        <v>46262.86010416667</v>
      </c>
      <c r="B649" s="1">
        <v>10.62</v>
      </c>
      <c r="C649" s="1">
        <v>9.17</v>
      </c>
      <c r="D649" s="1">
        <v>0.73</v>
      </c>
      <c r="E649" s="1" t="s">
        <v>113</v>
      </c>
      <c r="F649" s="1" t="s">
        <v>113</v>
      </c>
      <c r="G649" s="1" t="s">
        <v>113</v>
      </c>
      <c r="H649" s="1" t="str">
        <f>VLOOKUP(F649,Countries!$A$1:$B$161,2,0)</f>
        <v>United States of America</v>
      </c>
    </row>
    <row r="650" spans="1:8" x14ac:dyDescent="0.3">
      <c r="A650" s="3">
        <v>46262.858229166668</v>
      </c>
      <c r="B650" s="1">
        <v>14.77</v>
      </c>
      <c r="C650" s="1">
        <v>12.75</v>
      </c>
      <c r="D650" s="1">
        <v>0.92</v>
      </c>
      <c r="E650" s="1" t="s">
        <v>113</v>
      </c>
      <c r="F650" s="1" t="s">
        <v>113</v>
      </c>
      <c r="G650" s="1" t="s">
        <v>113</v>
      </c>
      <c r="H650" s="1" t="str">
        <f>VLOOKUP(F650,Countries!$A$1:$B$161,2,0)</f>
        <v>United States of America</v>
      </c>
    </row>
    <row r="651" spans="1:8" x14ac:dyDescent="0.3">
      <c r="A651" s="3">
        <v>46262.857025462959</v>
      </c>
      <c r="B651" s="1">
        <v>14.77</v>
      </c>
      <c r="C651" s="1">
        <v>12.75</v>
      </c>
      <c r="D651" s="1">
        <v>0.92</v>
      </c>
      <c r="E651" s="1" t="s">
        <v>113</v>
      </c>
      <c r="F651" s="1" t="s">
        <v>113</v>
      </c>
      <c r="G651" s="1" t="s">
        <v>113</v>
      </c>
      <c r="H651" s="1" t="str">
        <f>VLOOKUP(F651,Countries!$A$1:$B$161,2,0)</f>
        <v>United States of America</v>
      </c>
    </row>
    <row r="652" spans="1:8" x14ac:dyDescent="0.3">
      <c r="A652" s="3">
        <v>46262.856203703697</v>
      </c>
      <c r="B652" s="1">
        <v>7.67</v>
      </c>
      <c r="C652" s="1">
        <v>6.62</v>
      </c>
      <c r="D652" s="1">
        <v>0.48</v>
      </c>
      <c r="E652" s="1" t="s">
        <v>124</v>
      </c>
      <c r="F652" s="1" t="s">
        <v>124</v>
      </c>
      <c r="G652" s="1" t="s">
        <v>124</v>
      </c>
      <c r="H652" s="1" t="str">
        <f>VLOOKUP(F652,Countries!$A$1:$B$161,2,0)</f>
        <v>Italy</v>
      </c>
    </row>
    <row r="653" spans="1:8" x14ac:dyDescent="0.3">
      <c r="A653" s="3">
        <v>46262.85565972222</v>
      </c>
      <c r="B653" s="1">
        <v>10.85</v>
      </c>
      <c r="C653" s="1">
        <v>9.36</v>
      </c>
      <c r="D653" s="1">
        <v>0.74</v>
      </c>
      <c r="E653" s="1" t="s">
        <v>115</v>
      </c>
      <c r="F653" s="1" t="s">
        <v>115</v>
      </c>
      <c r="G653" s="1" t="s">
        <v>115</v>
      </c>
      <c r="H653" s="1" t="str">
        <f>VLOOKUP(F653,Countries!$A$1:$B$161,2,0)</f>
        <v>Switzerland</v>
      </c>
    </row>
    <row r="654" spans="1:8" x14ac:dyDescent="0.3">
      <c r="A654" s="3">
        <v>46262.854108796288</v>
      </c>
      <c r="B654" s="1">
        <v>10.62</v>
      </c>
      <c r="C654" s="1">
        <v>9.17</v>
      </c>
      <c r="D654" s="1">
        <v>0.73</v>
      </c>
      <c r="E654" s="1" t="s">
        <v>113</v>
      </c>
      <c r="F654" s="1" t="s">
        <v>113</v>
      </c>
      <c r="G654" s="1" t="s">
        <v>113</v>
      </c>
      <c r="H654" s="1" t="str">
        <f>VLOOKUP(F654,Countries!$A$1:$B$161,2,0)</f>
        <v>United States of America</v>
      </c>
    </row>
    <row r="655" spans="1:8" x14ac:dyDescent="0.3">
      <c r="A655" s="3">
        <v>46262.852465277778</v>
      </c>
      <c r="B655" s="1">
        <v>22.18</v>
      </c>
      <c r="C655" s="1">
        <v>19.14</v>
      </c>
      <c r="D655" s="1">
        <v>1.25</v>
      </c>
      <c r="E655" s="1" t="s">
        <v>113</v>
      </c>
      <c r="F655" s="1" t="s">
        <v>113</v>
      </c>
      <c r="G655" s="1" t="s">
        <v>113</v>
      </c>
      <c r="H655" s="1" t="str">
        <f>VLOOKUP(F655,Countries!$A$1:$B$161,2,0)</f>
        <v>United States of America</v>
      </c>
    </row>
    <row r="656" spans="1:8" x14ac:dyDescent="0.3">
      <c r="A656" s="3">
        <v>46262.847199074073</v>
      </c>
      <c r="B656" s="1">
        <v>7.58</v>
      </c>
      <c r="C656" s="1">
        <v>6.54</v>
      </c>
      <c r="D656" s="1">
        <v>0.48</v>
      </c>
      <c r="E656" s="1" t="s">
        <v>116</v>
      </c>
      <c r="F656" s="1" t="s">
        <v>116</v>
      </c>
      <c r="G656" s="1" t="s">
        <v>116</v>
      </c>
      <c r="H656" s="1" t="str">
        <f>VLOOKUP(F656,Countries!$A$1:$B$161,2,0)</f>
        <v>Spain</v>
      </c>
    </row>
    <row r="657" spans="1:8" x14ac:dyDescent="0.3">
      <c r="A657" s="3">
        <v>46262.846365740741</v>
      </c>
      <c r="B657" s="1">
        <v>3.18</v>
      </c>
      <c r="C657" s="1">
        <v>2.74</v>
      </c>
      <c r="D657" s="1">
        <v>0.39</v>
      </c>
      <c r="E657" s="1" t="s">
        <v>113</v>
      </c>
      <c r="F657" s="1" t="s">
        <v>113</v>
      </c>
      <c r="G657" s="1" t="s">
        <v>113</v>
      </c>
      <c r="H657" s="1" t="str">
        <f>VLOOKUP(F657,Countries!$A$1:$B$161,2,0)</f>
        <v>United States of America</v>
      </c>
    </row>
    <row r="658" spans="1:8" x14ac:dyDescent="0.3">
      <c r="A658" s="3">
        <v>46262.84578703704</v>
      </c>
      <c r="B658" s="1">
        <v>10.85</v>
      </c>
      <c r="C658" s="1">
        <v>9.36</v>
      </c>
      <c r="D658" s="1">
        <v>0.74</v>
      </c>
      <c r="E658" s="1" t="s">
        <v>115</v>
      </c>
      <c r="F658" s="1" t="s">
        <v>115</v>
      </c>
      <c r="G658" s="1" t="s">
        <v>115</v>
      </c>
      <c r="H658" s="1" t="str">
        <f>VLOOKUP(F658,Countries!$A$1:$B$161,2,0)</f>
        <v>Switzerland</v>
      </c>
    </row>
    <row r="659" spans="1:8" x14ac:dyDescent="0.3">
      <c r="A659" s="3">
        <v>46262.84065972222</v>
      </c>
      <c r="B659" s="1">
        <v>157.88</v>
      </c>
      <c r="C659" s="1">
        <v>136.26</v>
      </c>
      <c r="D659" s="1">
        <v>7.41</v>
      </c>
      <c r="E659" s="1" t="s">
        <v>143</v>
      </c>
      <c r="F659" s="1" t="s">
        <v>143</v>
      </c>
      <c r="G659" s="1" t="s">
        <v>143</v>
      </c>
      <c r="H659" s="1" t="str">
        <f>VLOOKUP(F659,Countries!$A$1:$B$161,2,0)</f>
        <v>United Arab Emirates</v>
      </c>
    </row>
    <row r="660" spans="1:8" x14ac:dyDescent="0.3">
      <c r="A660" s="3">
        <v>46262.839270833327</v>
      </c>
      <c r="B660" s="1">
        <v>10.62</v>
      </c>
      <c r="C660" s="1">
        <v>9.17</v>
      </c>
      <c r="D660" s="1">
        <v>0.73</v>
      </c>
      <c r="E660" s="1" t="s">
        <v>113</v>
      </c>
      <c r="F660" s="1" t="s">
        <v>113</v>
      </c>
      <c r="G660" s="1" t="s">
        <v>113</v>
      </c>
      <c r="H660" s="1" t="str">
        <f>VLOOKUP(F660,Countries!$A$1:$B$161,2,0)</f>
        <v>United States of America</v>
      </c>
    </row>
    <row r="661" spans="1:8" x14ac:dyDescent="0.3">
      <c r="A661" s="3">
        <v>46262.836759259262</v>
      </c>
      <c r="B661" s="1">
        <v>5.99</v>
      </c>
      <c r="C661" s="1">
        <v>5.17</v>
      </c>
      <c r="D661" s="1">
        <v>0.52</v>
      </c>
      <c r="E661" s="1" t="s">
        <v>113</v>
      </c>
      <c r="F661" s="1" t="s">
        <v>113</v>
      </c>
      <c r="G661" s="1" t="s">
        <v>113</v>
      </c>
      <c r="H661" s="1" t="str">
        <f>VLOOKUP(F661,Countries!$A$1:$B$161,2,0)</f>
        <v>United States of America</v>
      </c>
    </row>
    <row r="662" spans="1:8" x14ac:dyDescent="0.3">
      <c r="A662" s="3">
        <v>46262.832268518519</v>
      </c>
      <c r="B662" s="1">
        <v>7.04</v>
      </c>
      <c r="C662" s="1">
        <v>6.08</v>
      </c>
      <c r="D662" s="1">
        <v>0.56999999999999995</v>
      </c>
      <c r="E662" s="1" t="s">
        <v>160</v>
      </c>
      <c r="F662" s="1" t="s">
        <v>160</v>
      </c>
      <c r="G662" s="1" t="s">
        <v>160</v>
      </c>
      <c r="H662" s="1" t="str">
        <f>VLOOKUP(F662,Countries!$A$1:$B$161,2,0)</f>
        <v>New Zealand</v>
      </c>
    </row>
    <row r="663" spans="1:8" x14ac:dyDescent="0.3">
      <c r="A663" s="3">
        <v>46262.828460648147</v>
      </c>
      <c r="B663" s="1">
        <v>10.85</v>
      </c>
      <c r="C663" s="1">
        <v>9.3699999999999992</v>
      </c>
      <c r="D663" s="1">
        <v>0.74</v>
      </c>
      <c r="E663" s="1" t="s">
        <v>115</v>
      </c>
      <c r="F663" s="1" t="s">
        <v>115</v>
      </c>
      <c r="G663" s="1" t="s">
        <v>115</v>
      </c>
      <c r="H663" s="1" t="str">
        <f>VLOOKUP(F663,Countries!$A$1:$B$161,2,0)</f>
        <v>Switzerland</v>
      </c>
    </row>
    <row r="664" spans="1:8" x14ac:dyDescent="0.3">
      <c r="A664" s="3">
        <v>46262.816979166673</v>
      </c>
      <c r="B664" s="1">
        <v>6.37</v>
      </c>
      <c r="C664" s="1">
        <v>5.5</v>
      </c>
      <c r="D664" s="1">
        <v>0.54</v>
      </c>
      <c r="E664" s="1" t="s">
        <v>113</v>
      </c>
      <c r="F664" s="1" t="s">
        <v>113</v>
      </c>
      <c r="G664" s="1" t="s">
        <v>113</v>
      </c>
      <c r="H664" s="1" t="str">
        <f>VLOOKUP(F664,Countries!$A$1:$B$161,2,0)</f>
        <v>United States of America</v>
      </c>
    </row>
    <row r="665" spans="1:8" x14ac:dyDescent="0.3">
      <c r="A665" s="3">
        <v>46262.814756944441</v>
      </c>
      <c r="B665" s="1">
        <v>10.62</v>
      </c>
      <c r="C665" s="1">
        <v>9.17</v>
      </c>
      <c r="D665" s="1">
        <v>0.73</v>
      </c>
      <c r="E665" s="1" t="s">
        <v>113</v>
      </c>
      <c r="F665" s="1" t="s">
        <v>113</v>
      </c>
      <c r="G665" s="1" t="s">
        <v>113</v>
      </c>
      <c r="H665" s="1" t="str">
        <f>VLOOKUP(F665,Countries!$A$1:$B$161,2,0)</f>
        <v>United States of America</v>
      </c>
    </row>
    <row r="666" spans="1:8" x14ac:dyDescent="0.3">
      <c r="A666" s="3">
        <v>46262.81417824074</v>
      </c>
      <c r="B666" s="1">
        <v>6.3</v>
      </c>
      <c r="C666" s="1">
        <v>5.44</v>
      </c>
      <c r="D666" s="1">
        <v>0.54</v>
      </c>
      <c r="E666" s="1" t="s">
        <v>132</v>
      </c>
      <c r="F666" s="1" t="s">
        <v>132</v>
      </c>
      <c r="G666" s="1" t="s">
        <v>132</v>
      </c>
      <c r="H666" s="1" t="str">
        <f>VLOOKUP(F666,Countries!$A$1:$B$161,2,0)</f>
        <v>Canada</v>
      </c>
    </row>
    <row r="667" spans="1:8" x14ac:dyDescent="0.3">
      <c r="A667" s="3">
        <v>46262.811851851853</v>
      </c>
      <c r="B667" s="1">
        <v>6.37</v>
      </c>
      <c r="C667" s="1">
        <v>5.5</v>
      </c>
      <c r="D667" s="1">
        <v>0.54</v>
      </c>
      <c r="E667" s="1" t="s">
        <v>113</v>
      </c>
      <c r="F667" s="1" t="s">
        <v>113</v>
      </c>
      <c r="G667" s="1" t="s">
        <v>113</v>
      </c>
      <c r="H667" s="1" t="str">
        <f>VLOOKUP(F667,Countries!$A$1:$B$161,2,0)</f>
        <v>United States of America</v>
      </c>
    </row>
    <row r="668" spans="1:8" x14ac:dyDescent="0.3">
      <c r="A668" s="3">
        <v>46262.809062499997</v>
      </c>
      <c r="B668" s="1">
        <v>36.96</v>
      </c>
      <c r="C668" s="1">
        <v>31.92</v>
      </c>
      <c r="D668" s="1">
        <v>1.93</v>
      </c>
      <c r="E668" s="1" t="s">
        <v>113</v>
      </c>
      <c r="F668" s="1" t="s">
        <v>113</v>
      </c>
      <c r="G668" s="1" t="s">
        <v>113</v>
      </c>
      <c r="H668" s="1" t="str">
        <f>VLOOKUP(F668,Countries!$A$1:$B$161,2,0)</f>
        <v>United States of America</v>
      </c>
    </row>
    <row r="669" spans="1:8" x14ac:dyDescent="0.3">
      <c r="A669" s="3">
        <v>46262.807442129633</v>
      </c>
      <c r="B669" s="1">
        <v>6.37</v>
      </c>
      <c r="C669" s="1">
        <v>5.5</v>
      </c>
      <c r="D669" s="1">
        <v>0.54</v>
      </c>
      <c r="E669" s="1" t="s">
        <v>113</v>
      </c>
      <c r="F669" s="1" t="s">
        <v>113</v>
      </c>
      <c r="G669" s="1" t="s">
        <v>113</v>
      </c>
      <c r="H669" s="1" t="str">
        <f>VLOOKUP(F669,Countries!$A$1:$B$161,2,0)</f>
        <v>United States of America</v>
      </c>
    </row>
    <row r="670" spans="1:8" x14ac:dyDescent="0.3">
      <c r="A670" s="3">
        <v>46262.804629629631</v>
      </c>
      <c r="B670" s="1">
        <v>6.37</v>
      </c>
      <c r="C670" s="1">
        <v>5.5</v>
      </c>
      <c r="D670" s="1">
        <v>0.54</v>
      </c>
      <c r="E670" s="1" t="s">
        <v>113</v>
      </c>
      <c r="F670" s="1" t="s">
        <v>113</v>
      </c>
      <c r="G670" s="1" t="s">
        <v>113</v>
      </c>
      <c r="H670" s="1" t="str">
        <f>VLOOKUP(F670,Countries!$A$1:$B$161,2,0)</f>
        <v>United States of America</v>
      </c>
    </row>
    <row r="671" spans="1:8" x14ac:dyDescent="0.3">
      <c r="A671" s="3">
        <v>46262.804375</v>
      </c>
      <c r="B671" s="1">
        <v>6.37</v>
      </c>
      <c r="C671" s="1">
        <v>5.5</v>
      </c>
      <c r="D671" s="1">
        <v>0.54</v>
      </c>
      <c r="E671" s="1" t="s">
        <v>113</v>
      </c>
      <c r="F671" s="1" t="s">
        <v>113</v>
      </c>
      <c r="G671" s="1" t="s">
        <v>113</v>
      </c>
      <c r="H671" s="1" t="str">
        <f>VLOOKUP(F671,Countries!$A$1:$B$161,2,0)</f>
        <v>United States of America</v>
      </c>
    </row>
    <row r="672" spans="1:8" x14ac:dyDescent="0.3">
      <c r="A672" s="3">
        <v>46262.80195601852</v>
      </c>
      <c r="B672" s="1">
        <v>17.579999999999998</v>
      </c>
      <c r="C672" s="1">
        <v>15.18</v>
      </c>
      <c r="D672" s="1">
        <v>0.78</v>
      </c>
      <c r="E672" s="1" t="s">
        <v>154</v>
      </c>
      <c r="F672" s="1" t="s">
        <v>154</v>
      </c>
      <c r="G672" s="1" t="s">
        <v>154</v>
      </c>
      <c r="H672" s="1" t="str">
        <f>VLOOKUP(F672,Countries!$A$1:$B$161,2,0)</f>
        <v>Belgium</v>
      </c>
    </row>
    <row r="673" spans="1:8" x14ac:dyDescent="0.3">
      <c r="A673" s="3">
        <v>46262.799513888887</v>
      </c>
      <c r="B673" s="1">
        <v>14.77</v>
      </c>
      <c r="C673" s="1">
        <v>12.75</v>
      </c>
      <c r="D673" s="1">
        <v>0.92</v>
      </c>
      <c r="E673" s="1" t="s">
        <v>113</v>
      </c>
      <c r="F673" s="1" t="s">
        <v>113</v>
      </c>
      <c r="G673" s="1" t="s">
        <v>113</v>
      </c>
      <c r="H673" s="1" t="str">
        <f>VLOOKUP(F673,Countries!$A$1:$B$161,2,0)</f>
        <v>United States of America</v>
      </c>
    </row>
    <row r="674" spans="1:8" x14ac:dyDescent="0.3">
      <c r="A674" s="3">
        <v>46262.799340277779</v>
      </c>
      <c r="B674" s="1">
        <v>6.37</v>
      </c>
      <c r="C674" s="1">
        <v>5.5</v>
      </c>
      <c r="D674" s="1">
        <v>0.54</v>
      </c>
      <c r="E674" s="1" t="s">
        <v>113</v>
      </c>
      <c r="F674" s="1" t="s">
        <v>113</v>
      </c>
      <c r="G674" s="1" t="s">
        <v>113</v>
      </c>
      <c r="H674" s="1" t="str">
        <f>VLOOKUP(F674,Countries!$A$1:$B$161,2,0)</f>
        <v>United States of America</v>
      </c>
    </row>
    <row r="675" spans="1:8" x14ac:dyDescent="0.3">
      <c r="A675" s="3">
        <v>46262.798344907409</v>
      </c>
      <c r="B675" s="1">
        <v>6.37</v>
      </c>
      <c r="C675" s="1">
        <v>5.5</v>
      </c>
      <c r="D675" s="1">
        <v>0.54</v>
      </c>
      <c r="E675" s="1" t="s">
        <v>113</v>
      </c>
      <c r="F675" s="1" t="s">
        <v>113</v>
      </c>
      <c r="G675" s="1" t="s">
        <v>113</v>
      </c>
      <c r="H675" s="1" t="str">
        <f>VLOOKUP(F675,Countries!$A$1:$B$161,2,0)</f>
        <v>United States of America</v>
      </c>
    </row>
    <row r="676" spans="1:8" x14ac:dyDescent="0.3">
      <c r="A676" s="3">
        <v>46262.796863425923</v>
      </c>
      <c r="B676" s="1">
        <v>6.37</v>
      </c>
      <c r="C676" s="1">
        <v>5.5</v>
      </c>
      <c r="D676" s="1">
        <v>0.54</v>
      </c>
      <c r="E676" s="1" t="s">
        <v>113</v>
      </c>
      <c r="F676" s="1" t="s">
        <v>113</v>
      </c>
      <c r="G676" s="1" t="s">
        <v>113</v>
      </c>
      <c r="H676" s="1" t="str">
        <f>VLOOKUP(F676,Countries!$A$1:$B$161,2,0)</f>
        <v>United States of America</v>
      </c>
    </row>
    <row r="677" spans="1:8" x14ac:dyDescent="0.3">
      <c r="A677" s="3">
        <v>46262.785810185182</v>
      </c>
      <c r="B677" s="1">
        <v>12.64</v>
      </c>
      <c r="C677" s="1">
        <v>10.92</v>
      </c>
      <c r="D677" s="1">
        <v>0.63</v>
      </c>
      <c r="E677" s="1" t="s">
        <v>154</v>
      </c>
      <c r="F677" s="1" t="s">
        <v>154</v>
      </c>
      <c r="G677" s="1" t="s">
        <v>154</v>
      </c>
      <c r="H677" s="1" t="str">
        <f>VLOOKUP(F677,Countries!$A$1:$B$161,2,0)</f>
        <v>Belgium</v>
      </c>
    </row>
    <row r="678" spans="1:8" x14ac:dyDescent="0.3">
      <c r="A678" s="3">
        <v>46262.779699074083</v>
      </c>
      <c r="B678" s="1">
        <v>6.37</v>
      </c>
      <c r="C678" s="1">
        <v>5.5</v>
      </c>
      <c r="D678" s="1">
        <v>0.54</v>
      </c>
      <c r="E678" s="1" t="s">
        <v>113</v>
      </c>
      <c r="F678" s="1" t="s">
        <v>113</v>
      </c>
      <c r="G678" s="1" t="s">
        <v>113</v>
      </c>
      <c r="H678" s="1" t="str">
        <f>VLOOKUP(F678,Countries!$A$1:$B$161,2,0)</f>
        <v>United States of America</v>
      </c>
    </row>
    <row r="679" spans="1:8" x14ac:dyDescent="0.3">
      <c r="A679" s="3">
        <v>46262.748749999999</v>
      </c>
      <c r="B679" s="1">
        <v>2.11</v>
      </c>
      <c r="C679" s="1">
        <v>1.82</v>
      </c>
      <c r="D679" s="1">
        <v>0.35</v>
      </c>
      <c r="E679" s="1" t="s">
        <v>113</v>
      </c>
      <c r="F679" s="1" t="s">
        <v>113</v>
      </c>
      <c r="G679" s="1" t="s">
        <v>113</v>
      </c>
      <c r="H679" s="1" t="str">
        <f>VLOOKUP(F679,Countries!$A$1:$B$161,2,0)</f>
        <v>United States of America</v>
      </c>
    </row>
    <row r="680" spans="1:8" x14ac:dyDescent="0.3">
      <c r="A680" s="3">
        <v>46262.746967592589</v>
      </c>
      <c r="B680" s="1">
        <v>14.77</v>
      </c>
      <c r="C680" s="1">
        <v>12.75</v>
      </c>
      <c r="D680" s="1">
        <v>0.92</v>
      </c>
      <c r="E680" s="1" t="s">
        <v>113</v>
      </c>
      <c r="F680" s="1" t="s">
        <v>113</v>
      </c>
      <c r="G680" s="1" t="s">
        <v>113</v>
      </c>
      <c r="H680" s="1" t="str">
        <f>VLOOKUP(F680,Countries!$A$1:$B$161,2,0)</f>
        <v>United States of America</v>
      </c>
    </row>
    <row r="681" spans="1:8" x14ac:dyDescent="0.3">
      <c r="A681" s="3">
        <v>46262.746620370373</v>
      </c>
      <c r="B681" s="1">
        <v>3.18</v>
      </c>
      <c r="C681" s="1">
        <v>2.74</v>
      </c>
      <c r="D681" s="1">
        <v>0.39</v>
      </c>
      <c r="E681" s="1" t="s">
        <v>113</v>
      </c>
      <c r="F681" s="1" t="s">
        <v>113</v>
      </c>
      <c r="G681" s="1" t="s">
        <v>113</v>
      </c>
      <c r="H681" s="1" t="str">
        <f>VLOOKUP(F681,Countries!$A$1:$B$161,2,0)</f>
        <v>United States of America</v>
      </c>
    </row>
    <row r="682" spans="1:8" x14ac:dyDescent="0.3">
      <c r="A682" s="3">
        <v>46262.745115740741</v>
      </c>
      <c r="B682" s="1">
        <v>157.88</v>
      </c>
      <c r="C682" s="1">
        <v>136.26</v>
      </c>
      <c r="D682" s="1">
        <v>7.41</v>
      </c>
      <c r="E682" s="1" t="s">
        <v>143</v>
      </c>
      <c r="F682" s="1" t="s">
        <v>143</v>
      </c>
      <c r="G682" s="1" t="s">
        <v>143</v>
      </c>
      <c r="H682" s="1" t="str">
        <f>VLOOKUP(F682,Countries!$A$1:$B$161,2,0)</f>
        <v>United Arab Emirates</v>
      </c>
    </row>
    <row r="683" spans="1:8" x14ac:dyDescent="0.3">
      <c r="A683" s="3">
        <v>46262.741840277777</v>
      </c>
      <c r="B683" s="1">
        <v>7.48</v>
      </c>
      <c r="C683" s="1">
        <v>6.46</v>
      </c>
      <c r="D683" s="1">
        <v>0.48</v>
      </c>
      <c r="E683" s="1" t="s">
        <v>123</v>
      </c>
      <c r="F683" s="1" t="s">
        <v>123</v>
      </c>
      <c r="G683" s="1" t="s">
        <v>123</v>
      </c>
      <c r="H683" s="1" t="str">
        <f>VLOOKUP(F683,Countries!$A$1:$B$161,2,0)</f>
        <v>France</v>
      </c>
    </row>
    <row r="684" spans="1:8" x14ac:dyDescent="0.3">
      <c r="A684" s="3">
        <v>46262.736898148149</v>
      </c>
      <c r="B684" s="1">
        <v>28.4</v>
      </c>
      <c r="C684" s="1">
        <v>24.51</v>
      </c>
      <c r="D684" s="1">
        <v>1.54</v>
      </c>
      <c r="E684" s="1" t="s">
        <v>114</v>
      </c>
      <c r="F684" s="1" t="s">
        <v>114</v>
      </c>
      <c r="G684" s="1" t="s">
        <v>114</v>
      </c>
      <c r="H684" s="1" t="str">
        <f>VLOOKUP(F684,Countries!$A$1:$B$161,2,0)</f>
        <v>Philippines</v>
      </c>
    </row>
    <row r="685" spans="1:8" x14ac:dyDescent="0.3">
      <c r="A685" s="3">
        <v>46262.735185185193</v>
      </c>
      <c r="B685" s="1">
        <v>7.99</v>
      </c>
      <c r="C685" s="1">
        <v>6.9</v>
      </c>
      <c r="D685" s="1">
        <v>0.61</v>
      </c>
      <c r="E685" s="1" t="s">
        <v>114</v>
      </c>
      <c r="F685" s="1" t="s">
        <v>114</v>
      </c>
      <c r="G685" s="1" t="s">
        <v>114</v>
      </c>
      <c r="H685" s="1" t="str">
        <f>VLOOKUP(F685,Countries!$A$1:$B$161,2,0)</f>
        <v>Philippines</v>
      </c>
    </row>
    <row r="686" spans="1:8" x14ac:dyDescent="0.3">
      <c r="A686" s="3">
        <v>46262.732673611114</v>
      </c>
      <c r="B686" s="1">
        <v>5.99</v>
      </c>
      <c r="C686" s="1">
        <v>5.17</v>
      </c>
      <c r="D686" s="1">
        <v>0.52</v>
      </c>
      <c r="E686" s="1" t="s">
        <v>135</v>
      </c>
      <c r="F686" s="1" t="s">
        <v>135</v>
      </c>
      <c r="G686" s="1" t="s">
        <v>135</v>
      </c>
      <c r="H686" s="1" t="str">
        <f>VLOOKUP(F686,Countries!$A$1:$B$161,2,0)</f>
        <v>Kuwait</v>
      </c>
    </row>
    <row r="687" spans="1:8" x14ac:dyDescent="0.3">
      <c r="A687" s="3">
        <v>46262.730023148149</v>
      </c>
      <c r="B687" s="1">
        <v>6.37</v>
      </c>
      <c r="C687" s="1">
        <v>5.5</v>
      </c>
      <c r="D687" s="1">
        <v>0.54</v>
      </c>
      <c r="E687" s="1" t="s">
        <v>113</v>
      </c>
      <c r="F687" s="1" t="s">
        <v>113</v>
      </c>
      <c r="G687" s="1" t="s">
        <v>113</v>
      </c>
      <c r="H687" s="1" t="str">
        <f>VLOOKUP(F687,Countries!$A$1:$B$161,2,0)</f>
        <v>United States of America</v>
      </c>
    </row>
    <row r="688" spans="1:8" x14ac:dyDescent="0.3">
      <c r="A688" s="3">
        <v>46262.729421296302</v>
      </c>
      <c r="B688" s="1">
        <v>2.99</v>
      </c>
      <c r="C688" s="1">
        <v>2.58</v>
      </c>
      <c r="D688" s="1">
        <v>0.38</v>
      </c>
      <c r="E688" s="1" t="s">
        <v>130</v>
      </c>
      <c r="F688" s="1" t="s">
        <v>130</v>
      </c>
      <c r="G688" s="1" t="s">
        <v>130</v>
      </c>
      <c r="H688" s="1" t="str">
        <f>VLOOKUP(F688,Countries!$A$1:$B$161,2,0)</f>
        <v>Australia</v>
      </c>
    </row>
    <row r="689" spans="1:8" x14ac:dyDescent="0.3">
      <c r="A689" s="3">
        <v>46262.719722222217</v>
      </c>
      <c r="B689" s="1">
        <v>7.48</v>
      </c>
      <c r="C689" s="1">
        <v>6.46</v>
      </c>
      <c r="D689" s="1">
        <v>0.54</v>
      </c>
      <c r="E689" s="1" t="s">
        <v>119</v>
      </c>
      <c r="F689" s="1" t="s">
        <v>119</v>
      </c>
      <c r="G689" s="1" t="s">
        <v>119</v>
      </c>
      <c r="H689" s="1" t="str">
        <f>VLOOKUP(F689,Countries!$A$1:$B$161,2,0)</f>
        <v>Great Britain (United Kingdom)</v>
      </c>
    </row>
    <row r="690" spans="1:8" x14ac:dyDescent="0.3">
      <c r="A690" s="3">
        <v>46262.718368055554</v>
      </c>
      <c r="B690" s="1">
        <v>6.65</v>
      </c>
      <c r="C690" s="1">
        <v>5.74</v>
      </c>
      <c r="D690" s="1">
        <v>0.55000000000000004</v>
      </c>
      <c r="E690" s="1" t="s">
        <v>130</v>
      </c>
      <c r="F690" s="1" t="s">
        <v>130</v>
      </c>
      <c r="G690" s="1" t="s">
        <v>130</v>
      </c>
      <c r="H690" s="1" t="str">
        <f>VLOOKUP(F690,Countries!$A$1:$B$161,2,0)</f>
        <v>Australia</v>
      </c>
    </row>
    <row r="691" spans="1:8" x14ac:dyDescent="0.3">
      <c r="A691" s="3">
        <v>46262.716585648152</v>
      </c>
      <c r="B691" s="1">
        <v>69.5</v>
      </c>
      <c r="C691" s="1">
        <v>59.98</v>
      </c>
      <c r="D691" s="1">
        <v>3.4</v>
      </c>
      <c r="E691" s="1" t="s">
        <v>130</v>
      </c>
      <c r="F691" s="1" t="s">
        <v>130</v>
      </c>
      <c r="G691" s="1" t="s">
        <v>130</v>
      </c>
      <c r="H691" s="1" t="str">
        <f>VLOOKUP(F691,Countries!$A$1:$B$161,2,0)</f>
        <v>Australia</v>
      </c>
    </row>
    <row r="692" spans="1:8" x14ac:dyDescent="0.3">
      <c r="A692" s="3">
        <v>46262.713159722232</v>
      </c>
      <c r="B692" s="1">
        <v>17.010000000000002</v>
      </c>
      <c r="C692" s="1">
        <v>14.68</v>
      </c>
      <c r="D692" s="1">
        <v>1.02</v>
      </c>
      <c r="E692" s="1" t="s">
        <v>113</v>
      </c>
      <c r="F692" s="1" t="s">
        <v>113</v>
      </c>
      <c r="G692" s="1" t="s">
        <v>113</v>
      </c>
      <c r="H692" s="1" t="str">
        <f>VLOOKUP(F692,Countries!$A$1:$B$161,2,0)</f>
        <v>United States of America</v>
      </c>
    </row>
    <row r="693" spans="1:8" x14ac:dyDescent="0.3">
      <c r="A693" s="3">
        <v>46262.712314814817</v>
      </c>
      <c r="B693" s="1">
        <v>7.04</v>
      </c>
      <c r="C693" s="1">
        <v>6.08</v>
      </c>
      <c r="D693" s="1">
        <v>0.56999999999999995</v>
      </c>
      <c r="E693" s="1" t="s">
        <v>160</v>
      </c>
      <c r="F693" s="1" t="s">
        <v>160</v>
      </c>
      <c r="G693" s="1" t="s">
        <v>160</v>
      </c>
      <c r="H693" s="1" t="str">
        <f>VLOOKUP(F693,Countries!$A$1:$B$161,2,0)</f>
        <v>New Zealand</v>
      </c>
    </row>
    <row r="694" spans="1:8" x14ac:dyDescent="0.3">
      <c r="A694" s="3">
        <v>46262.7109837963</v>
      </c>
      <c r="B694" s="1">
        <v>15.43</v>
      </c>
      <c r="C694" s="1">
        <v>13.32</v>
      </c>
      <c r="D694" s="1">
        <v>0.95</v>
      </c>
      <c r="E694" s="1" t="s">
        <v>130</v>
      </c>
      <c r="F694" s="1" t="s">
        <v>130</v>
      </c>
      <c r="G694" s="1" t="s">
        <v>130</v>
      </c>
      <c r="H694" s="1" t="str">
        <f>VLOOKUP(F694,Countries!$A$1:$B$161,2,0)</f>
        <v>Australia</v>
      </c>
    </row>
    <row r="695" spans="1:8" x14ac:dyDescent="0.3">
      <c r="A695" s="3">
        <v>46262.710312499999</v>
      </c>
      <c r="B695" s="1">
        <v>61.65</v>
      </c>
      <c r="C695" s="1">
        <v>53.16</v>
      </c>
      <c r="D695" s="1">
        <v>3.04</v>
      </c>
      <c r="E695" s="1" t="s">
        <v>130</v>
      </c>
      <c r="F695" s="1" t="s">
        <v>130</v>
      </c>
      <c r="G695" s="1" t="s">
        <v>130</v>
      </c>
      <c r="H695" s="1" t="str">
        <f>VLOOKUP(F695,Countries!$A$1:$B$161,2,0)</f>
        <v>Australia</v>
      </c>
    </row>
    <row r="696" spans="1:8" x14ac:dyDescent="0.3">
      <c r="A696" s="3">
        <v>46262.708020833343</v>
      </c>
      <c r="B696" s="1">
        <v>69.5</v>
      </c>
      <c r="C696" s="1">
        <v>59.92</v>
      </c>
      <c r="D696" s="1">
        <v>3.4</v>
      </c>
      <c r="E696" s="1" t="s">
        <v>130</v>
      </c>
      <c r="F696" s="1" t="s">
        <v>130</v>
      </c>
      <c r="G696" s="1" t="s">
        <v>130</v>
      </c>
      <c r="H696" s="1" t="str">
        <f>VLOOKUP(F696,Countries!$A$1:$B$161,2,0)</f>
        <v>Australia</v>
      </c>
    </row>
    <row r="697" spans="1:8" x14ac:dyDescent="0.3">
      <c r="A697" s="3">
        <v>46262.707314814812</v>
      </c>
      <c r="B697" s="1">
        <v>69.5</v>
      </c>
      <c r="C697" s="1">
        <v>59.92</v>
      </c>
      <c r="D697" s="1">
        <v>3.4</v>
      </c>
      <c r="E697" s="1" t="s">
        <v>130</v>
      </c>
      <c r="F697" s="1" t="s">
        <v>130</v>
      </c>
      <c r="G697" s="1" t="s">
        <v>130</v>
      </c>
      <c r="H697" s="1" t="str">
        <f>VLOOKUP(F697,Countries!$A$1:$B$161,2,0)</f>
        <v>Australia</v>
      </c>
    </row>
    <row r="698" spans="1:8" x14ac:dyDescent="0.3">
      <c r="A698" s="3">
        <v>46262.70584490741</v>
      </c>
      <c r="B698" s="1">
        <v>69.5</v>
      </c>
      <c r="C698" s="1">
        <v>59.92</v>
      </c>
      <c r="D698" s="1">
        <v>3.4</v>
      </c>
      <c r="E698" s="1" t="s">
        <v>130</v>
      </c>
      <c r="F698" s="1" t="s">
        <v>130</v>
      </c>
      <c r="G698" s="1" t="s">
        <v>130</v>
      </c>
      <c r="H698" s="1" t="str">
        <f>VLOOKUP(F698,Countries!$A$1:$B$161,2,0)</f>
        <v>Australia</v>
      </c>
    </row>
    <row r="699" spans="1:8" x14ac:dyDescent="0.3">
      <c r="A699" s="3">
        <v>46262.703935185193</v>
      </c>
      <c r="B699" s="1">
        <v>69.5</v>
      </c>
      <c r="C699" s="1">
        <v>59.92</v>
      </c>
      <c r="D699" s="1">
        <v>3.4</v>
      </c>
      <c r="E699" s="1" t="s">
        <v>130</v>
      </c>
      <c r="F699" s="1" t="s">
        <v>130</v>
      </c>
      <c r="G699" s="1" t="s">
        <v>130</v>
      </c>
      <c r="H699" s="1" t="str">
        <f>VLOOKUP(F699,Countries!$A$1:$B$161,2,0)</f>
        <v>Australia</v>
      </c>
    </row>
    <row r="700" spans="1:8" x14ac:dyDescent="0.3">
      <c r="A700" s="3">
        <v>46262.693692129629</v>
      </c>
      <c r="B700" s="1">
        <v>17.010000000000002</v>
      </c>
      <c r="C700" s="1">
        <v>14.67</v>
      </c>
      <c r="D700" s="1">
        <v>1.02</v>
      </c>
      <c r="E700" s="1" t="s">
        <v>113</v>
      </c>
      <c r="F700" s="1" t="s">
        <v>113</v>
      </c>
      <c r="G700" s="1" t="s">
        <v>113</v>
      </c>
      <c r="H700" s="1" t="str">
        <f>VLOOKUP(F700,Countries!$A$1:$B$161,2,0)</f>
        <v>United States of America</v>
      </c>
    </row>
    <row r="701" spans="1:8" x14ac:dyDescent="0.3">
      <c r="A701" s="3">
        <v>46262.693206018521</v>
      </c>
      <c r="B701" s="1">
        <v>4.43</v>
      </c>
      <c r="C701" s="1">
        <v>3.82</v>
      </c>
      <c r="D701" s="1">
        <v>0.45</v>
      </c>
      <c r="E701" s="1" t="s">
        <v>121</v>
      </c>
      <c r="F701" s="1" t="s">
        <v>121</v>
      </c>
      <c r="G701" s="1" t="s">
        <v>121</v>
      </c>
      <c r="H701" s="1" t="str">
        <f>VLOOKUP(F701,Countries!$A$1:$B$161,2,0)</f>
        <v>Japan</v>
      </c>
    </row>
    <row r="702" spans="1:8" x14ac:dyDescent="0.3">
      <c r="A702" s="3">
        <v>46262.688738425917</v>
      </c>
      <c r="B702" s="1">
        <v>123.32</v>
      </c>
      <c r="C702" s="1">
        <v>106.33</v>
      </c>
      <c r="D702" s="1">
        <v>5.84</v>
      </c>
      <c r="E702" s="1" t="s">
        <v>130</v>
      </c>
      <c r="F702" s="1" t="s">
        <v>130</v>
      </c>
      <c r="G702" s="1" t="s">
        <v>130</v>
      </c>
      <c r="H702" s="1" t="str">
        <f>VLOOKUP(F702,Countries!$A$1:$B$161,2,0)</f>
        <v>Australia</v>
      </c>
    </row>
    <row r="703" spans="1:8" x14ac:dyDescent="0.3">
      <c r="A703" s="3">
        <v>46262.684861111113</v>
      </c>
      <c r="B703" s="1">
        <v>3.18</v>
      </c>
      <c r="C703" s="1">
        <v>2.74</v>
      </c>
      <c r="D703" s="1">
        <v>0.39</v>
      </c>
      <c r="E703" s="1" t="s">
        <v>113</v>
      </c>
      <c r="F703" s="1" t="s">
        <v>113</v>
      </c>
      <c r="G703" s="1" t="s">
        <v>113</v>
      </c>
      <c r="H703" s="1" t="str">
        <f>VLOOKUP(F703,Countries!$A$1:$B$161,2,0)</f>
        <v>United States of America</v>
      </c>
    </row>
    <row r="704" spans="1:8" x14ac:dyDescent="0.3">
      <c r="A704" s="3">
        <v>46262.682222222233</v>
      </c>
      <c r="B704" s="1">
        <v>3.39</v>
      </c>
      <c r="C704" s="1">
        <v>2.92</v>
      </c>
      <c r="D704" s="1">
        <v>0.4</v>
      </c>
      <c r="E704" s="1" t="s">
        <v>114</v>
      </c>
      <c r="F704" s="1" t="s">
        <v>114</v>
      </c>
      <c r="G704" s="1" t="s">
        <v>114</v>
      </c>
      <c r="H704" s="1" t="str">
        <f>VLOOKUP(F704,Countries!$A$1:$B$161,2,0)</f>
        <v>Philippines</v>
      </c>
    </row>
    <row r="705" spans="1:8" x14ac:dyDescent="0.3">
      <c r="A705" s="3">
        <v>46262.681226851862</v>
      </c>
      <c r="B705" s="1">
        <v>739.35</v>
      </c>
      <c r="C705" s="1">
        <v>637.47</v>
      </c>
      <c r="D705" s="1">
        <v>33.72</v>
      </c>
      <c r="E705" s="1" t="s">
        <v>113</v>
      </c>
      <c r="F705" s="1" t="s">
        <v>113</v>
      </c>
      <c r="G705" s="1" t="s">
        <v>113</v>
      </c>
      <c r="H705" s="1" t="str">
        <f>VLOOKUP(F705,Countries!$A$1:$B$161,2,0)</f>
        <v>United States of America</v>
      </c>
    </row>
    <row r="706" spans="1:8" x14ac:dyDescent="0.3">
      <c r="A706" s="3">
        <v>46262.680821759262</v>
      </c>
      <c r="B706" s="1">
        <v>739.35</v>
      </c>
      <c r="C706" s="1">
        <v>637.47</v>
      </c>
      <c r="D706" s="1">
        <v>33.72</v>
      </c>
      <c r="E706" s="1" t="s">
        <v>113</v>
      </c>
      <c r="F706" s="1" t="s">
        <v>113</v>
      </c>
      <c r="G706" s="1" t="s">
        <v>113</v>
      </c>
      <c r="H706" s="1" t="str">
        <f>VLOOKUP(F706,Countries!$A$1:$B$161,2,0)</f>
        <v>United States of America</v>
      </c>
    </row>
    <row r="707" spans="1:8" x14ac:dyDescent="0.3">
      <c r="A707" s="3">
        <v>46262.678668981483</v>
      </c>
      <c r="B707" s="1">
        <v>6.65</v>
      </c>
      <c r="C707" s="1">
        <v>5.73</v>
      </c>
      <c r="D707" s="1">
        <v>0.55000000000000004</v>
      </c>
      <c r="E707" s="1" t="s">
        <v>130</v>
      </c>
      <c r="F707" s="1" t="s">
        <v>130</v>
      </c>
      <c r="G707" s="1" t="s">
        <v>130</v>
      </c>
      <c r="H707" s="1" t="str">
        <f>VLOOKUP(F707,Countries!$A$1:$B$161,2,0)</f>
        <v>Australia</v>
      </c>
    </row>
    <row r="708" spans="1:8" x14ac:dyDescent="0.3">
      <c r="A708" s="3">
        <v>46262.659629629627</v>
      </c>
      <c r="B708" s="1">
        <v>739.35</v>
      </c>
      <c r="C708" s="1">
        <v>636.46</v>
      </c>
      <c r="D708" s="1">
        <v>33.659999999999997</v>
      </c>
      <c r="E708" s="1" t="s">
        <v>113</v>
      </c>
      <c r="F708" s="1" t="s">
        <v>113</v>
      </c>
      <c r="G708" s="1" t="s">
        <v>113</v>
      </c>
      <c r="H708" s="1" t="str">
        <f>VLOOKUP(F708,Countries!$A$1:$B$161,2,0)</f>
        <v>United States of America</v>
      </c>
    </row>
    <row r="709" spans="1:8" x14ac:dyDescent="0.3">
      <c r="A709" s="3">
        <v>46262.655370370368</v>
      </c>
      <c r="B709" s="1">
        <v>96.11</v>
      </c>
      <c r="C709" s="1">
        <v>82.74</v>
      </c>
      <c r="D709" s="1">
        <v>4.59</v>
      </c>
      <c r="E709" s="1" t="s">
        <v>113</v>
      </c>
      <c r="F709" s="1" t="s">
        <v>113</v>
      </c>
      <c r="G709" s="1" t="s">
        <v>113</v>
      </c>
      <c r="H709" s="1" t="str">
        <f>VLOOKUP(F709,Countries!$A$1:$B$161,2,0)</f>
        <v>United States of America</v>
      </c>
    </row>
    <row r="710" spans="1:8" x14ac:dyDescent="0.3">
      <c r="A710" s="3">
        <v>46262.653587962966</v>
      </c>
      <c r="B710" s="1">
        <v>7.48</v>
      </c>
      <c r="C710" s="1">
        <v>6.44</v>
      </c>
      <c r="D710" s="1">
        <v>0.54</v>
      </c>
      <c r="E710" s="1" t="s">
        <v>119</v>
      </c>
      <c r="F710" s="1" t="s">
        <v>119</v>
      </c>
      <c r="G710" s="1" t="s">
        <v>119</v>
      </c>
      <c r="H710" s="1" t="str">
        <f>VLOOKUP(F710,Countries!$A$1:$B$161,2,0)</f>
        <v>Great Britain (United Kingdom)</v>
      </c>
    </row>
    <row r="711" spans="1:8" x14ac:dyDescent="0.3">
      <c r="A711" s="3">
        <v>46262.649270833332</v>
      </c>
      <c r="B711" s="1">
        <v>2.2599999999999998</v>
      </c>
      <c r="C711" s="1">
        <v>1.95</v>
      </c>
      <c r="D711" s="1">
        <v>0.35</v>
      </c>
      <c r="E711" s="1" t="s">
        <v>170</v>
      </c>
      <c r="F711" s="1" t="s">
        <v>170</v>
      </c>
      <c r="G711" s="1" t="s">
        <v>170</v>
      </c>
      <c r="H711" s="1" t="str">
        <f>VLOOKUP(F711,Countries!$A$1:$B$161,2,0)</f>
        <v>Kyrgyzstan</v>
      </c>
    </row>
    <row r="712" spans="1:8" x14ac:dyDescent="0.3">
      <c r="A712" s="3">
        <v>46262.648541666669</v>
      </c>
      <c r="B712" s="1">
        <v>6.37</v>
      </c>
      <c r="C712" s="1">
        <v>5.48</v>
      </c>
      <c r="D712" s="1">
        <v>0.54</v>
      </c>
      <c r="E712" s="1" t="s">
        <v>113</v>
      </c>
      <c r="F712" s="1" t="s">
        <v>113</v>
      </c>
      <c r="G712" s="1" t="s">
        <v>113</v>
      </c>
      <c r="H712" s="1" t="str">
        <f>VLOOKUP(F712,Countries!$A$1:$B$161,2,0)</f>
        <v>United States of America</v>
      </c>
    </row>
    <row r="713" spans="1:8" x14ac:dyDescent="0.3">
      <c r="A713" s="3">
        <v>46262.648356481477</v>
      </c>
      <c r="B713" s="1">
        <v>6.37</v>
      </c>
      <c r="C713" s="1">
        <v>5.48</v>
      </c>
      <c r="D713" s="1">
        <v>0.54</v>
      </c>
      <c r="E713" s="1" t="s">
        <v>113</v>
      </c>
      <c r="F713" s="1" t="s">
        <v>113</v>
      </c>
      <c r="G713" s="1" t="s">
        <v>113</v>
      </c>
      <c r="H713" s="1" t="str">
        <f>VLOOKUP(F713,Countries!$A$1:$B$161,2,0)</f>
        <v>United States of America</v>
      </c>
    </row>
    <row r="714" spans="1:8" x14ac:dyDescent="0.3">
      <c r="A714" s="3">
        <v>46262.646296296298</v>
      </c>
      <c r="B714" s="1">
        <v>14.77</v>
      </c>
      <c r="C714" s="1">
        <v>12.71</v>
      </c>
      <c r="D714" s="1">
        <v>0.91</v>
      </c>
      <c r="E714" s="1" t="s">
        <v>113</v>
      </c>
      <c r="F714" s="1" t="s">
        <v>113</v>
      </c>
      <c r="G714" s="1" t="s">
        <v>113</v>
      </c>
      <c r="H714" s="1" t="str">
        <f>VLOOKUP(F714,Countries!$A$1:$B$161,2,0)</f>
        <v>United States of America</v>
      </c>
    </row>
    <row r="715" spans="1:8" x14ac:dyDescent="0.3">
      <c r="A715" s="3">
        <v>46262.645451388889</v>
      </c>
      <c r="B715" s="1">
        <v>221.26</v>
      </c>
      <c r="C715" s="1">
        <v>190.47</v>
      </c>
      <c r="D715" s="1">
        <v>10.25</v>
      </c>
      <c r="E715" s="1" t="s">
        <v>113</v>
      </c>
      <c r="F715" s="1" t="s">
        <v>113</v>
      </c>
      <c r="G715" s="1" t="s">
        <v>113</v>
      </c>
      <c r="H715" s="1" t="str">
        <f>VLOOKUP(F715,Countries!$A$1:$B$161,2,0)</f>
        <v>United States of America</v>
      </c>
    </row>
    <row r="716" spans="1:8" x14ac:dyDescent="0.3">
      <c r="A716" s="3">
        <v>46262.642916666657</v>
      </c>
      <c r="B716" s="1">
        <v>49.98</v>
      </c>
      <c r="C716" s="1">
        <v>43.02</v>
      </c>
      <c r="D716" s="1">
        <v>2.19</v>
      </c>
      <c r="E716" s="1" t="s">
        <v>119</v>
      </c>
      <c r="F716" s="1" t="s">
        <v>119</v>
      </c>
      <c r="G716" s="1" t="s">
        <v>119</v>
      </c>
      <c r="H716" s="1" t="str">
        <f>VLOOKUP(F716,Countries!$A$1:$B$161,2,0)</f>
        <v>Great Britain (United Kingdom)</v>
      </c>
    </row>
    <row r="717" spans="1:8" x14ac:dyDescent="0.3">
      <c r="A717" s="3">
        <v>46262.642546296287</v>
      </c>
      <c r="B717" s="1">
        <v>1.99</v>
      </c>
      <c r="C717" s="1">
        <v>1.71</v>
      </c>
      <c r="D717" s="1">
        <v>0.34</v>
      </c>
      <c r="E717" s="1" t="s">
        <v>126</v>
      </c>
      <c r="F717" s="1" t="s">
        <v>126</v>
      </c>
      <c r="G717" s="1" t="s">
        <v>126</v>
      </c>
      <c r="H717" s="1" t="str">
        <f>VLOOKUP(F717,Countries!$A$1:$B$161,2,0)</f>
        <v>Cambodia</v>
      </c>
    </row>
    <row r="718" spans="1:8" x14ac:dyDescent="0.3">
      <c r="A718" s="3">
        <v>46262.640590277777</v>
      </c>
      <c r="B718" s="1">
        <v>14.77</v>
      </c>
      <c r="C718" s="1">
        <v>12.71</v>
      </c>
      <c r="D718" s="1">
        <v>0.91</v>
      </c>
      <c r="E718" s="1" t="s">
        <v>113</v>
      </c>
      <c r="F718" s="1" t="s">
        <v>113</v>
      </c>
      <c r="G718" s="1" t="s">
        <v>113</v>
      </c>
      <c r="H718" s="1" t="str">
        <f>VLOOKUP(F718,Countries!$A$1:$B$161,2,0)</f>
        <v>United States of America</v>
      </c>
    </row>
    <row r="719" spans="1:8" x14ac:dyDescent="0.3">
      <c r="A719" s="3">
        <v>46262.635763888888</v>
      </c>
      <c r="B719" s="1">
        <v>6.37</v>
      </c>
      <c r="C719" s="1">
        <v>5.48</v>
      </c>
      <c r="D719" s="1">
        <v>0.54</v>
      </c>
      <c r="E719" s="1" t="s">
        <v>113</v>
      </c>
      <c r="F719" s="1" t="s">
        <v>113</v>
      </c>
      <c r="G719" s="1" t="s">
        <v>113</v>
      </c>
      <c r="H719" s="1" t="str">
        <f>VLOOKUP(F719,Countries!$A$1:$B$161,2,0)</f>
        <v>United States of America</v>
      </c>
    </row>
    <row r="720" spans="1:8" x14ac:dyDescent="0.3">
      <c r="A720" s="3">
        <v>46262.629733796297</v>
      </c>
      <c r="B720" s="1">
        <v>14.77</v>
      </c>
      <c r="C720" s="1">
        <v>12.71</v>
      </c>
      <c r="D720" s="1">
        <v>0.91</v>
      </c>
      <c r="E720" s="1" t="s">
        <v>113</v>
      </c>
      <c r="F720" s="1" t="s">
        <v>113</v>
      </c>
      <c r="G720" s="1" t="s">
        <v>113</v>
      </c>
      <c r="H720" s="1" t="str">
        <f>VLOOKUP(F720,Countries!$A$1:$B$161,2,0)</f>
        <v>United States of America</v>
      </c>
    </row>
    <row r="721" spans="1:8" x14ac:dyDescent="0.3">
      <c r="A721" s="3">
        <v>46262.62777777778</v>
      </c>
      <c r="B721" s="1">
        <v>6.37</v>
      </c>
      <c r="C721" s="1">
        <v>5.48</v>
      </c>
      <c r="D721" s="1">
        <v>0.54</v>
      </c>
      <c r="E721" s="1" t="s">
        <v>113</v>
      </c>
      <c r="F721" s="1" t="s">
        <v>113</v>
      </c>
      <c r="G721" s="1" t="s">
        <v>113</v>
      </c>
      <c r="H721" s="1" t="str">
        <f>VLOOKUP(F721,Countries!$A$1:$B$161,2,0)</f>
        <v>United States of America</v>
      </c>
    </row>
    <row r="722" spans="1:8" x14ac:dyDescent="0.3">
      <c r="A722" s="3">
        <v>46262.627372685187</v>
      </c>
      <c r="B722" s="1">
        <v>4.43</v>
      </c>
      <c r="C722" s="1">
        <v>3.81</v>
      </c>
      <c r="D722" s="1">
        <v>0.45</v>
      </c>
      <c r="E722" s="1" t="s">
        <v>121</v>
      </c>
      <c r="F722" s="1" t="s">
        <v>121</v>
      </c>
      <c r="G722" s="1" t="s">
        <v>121</v>
      </c>
      <c r="H722" s="1" t="str">
        <f>VLOOKUP(F722,Countries!$A$1:$B$161,2,0)</f>
        <v>Japan</v>
      </c>
    </row>
    <row r="723" spans="1:8" x14ac:dyDescent="0.3">
      <c r="A723" s="3">
        <v>46262.626319444447</v>
      </c>
      <c r="B723" s="1">
        <v>10.62</v>
      </c>
      <c r="C723" s="1">
        <v>9.1199999999999992</v>
      </c>
      <c r="D723" s="1">
        <v>0.73</v>
      </c>
      <c r="E723" s="1" t="s">
        <v>113</v>
      </c>
      <c r="F723" s="1" t="s">
        <v>113</v>
      </c>
      <c r="G723" s="1" t="s">
        <v>113</v>
      </c>
      <c r="H723" s="1" t="str">
        <f>VLOOKUP(F723,Countries!$A$1:$B$161,2,0)</f>
        <v>United States of America</v>
      </c>
    </row>
    <row r="724" spans="1:8" x14ac:dyDescent="0.3">
      <c r="A724" s="3">
        <v>46262.625844907408</v>
      </c>
      <c r="B724" s="1">
        <v>17.36</v>
      </c>
      <c r="C724" s="1">
        <v>14.91</v>
      </c>
      <c r="D724" s="1">
        <v>0.77</v>
      </c>
      <c r="E724" s="1" t="s">
        <v>123</v>
      </c>
      <c r="F724" s="1" t="s">
        <v>123</v>
      </c>
      <c r="G724" s="1" t="s">
        <v>123</v>
      </c>
      <c r="H724" s="1" t="str">
        <f>VLOOKUP(F724,Countries!$A$1:$B$161,2,0)</f>
        <v>France</v>
      </c>
    </row>
    <row r="725" spans="1:8" x14ac:dyDescent="0.3">
      <c r="A725" s="3">
        <v>46262.625717592593</v>
      </c>
      <c r="B725" s="1">
        <v>7.39</v>
      </c>
      <c r="C725" s="1">
        <v>6.35</v>
      </c>
      <c r="D725" s="1">
        <v>0.48</v>
      </c>
      <c r="E725" s="1" t="s">
        <v>147</v>
      </c>
      <c r="F725" s="1" t="s">
        <v>147</v>
      </c>
      <c r="G725" s="1" t="s">
        <v>147</v>
      </c>
      <c r="H725" s="1" t="str">
        <f>VLOOKUP(F725,Countries!$A$1:$B$161,2,0)</f>
        <v>Germany</v>
      </c>
    </row>
    <row r="726" spans="1:8" x14ac:dyDescent="0.3">
      <c r="A726" s="3">
        <v>46262.621446759258</v>
      </c>
      <c r="B726" s="1">
        <v>3.69</v>
      </c>
      <c r="C726" s="1">
        <v>3.17</v>
      </c>
      <c r="D726" s="1">
        <v>0.36</v>
      </c>
      <c r="E726" s="1" t="s">
        <v>159</v>
      </c>
      <c r="F726" s="1" t="s">
        <v>147</v>
      </c>
      <c r="G726" s="1" t="s">
        <v>147</v>
      </c>
      <c r="H726" s="1" t="str">
        <f>VLOOKUP(F726,Countries!$A$1:$B$161,2,0)</f>
        <v>Germany</v>
      </c>
    </row>
    <row r="727" spans="1:8" x14ac:dyDescent="0.3">
      <c r="A727" s="3">
        <v>46262.617048611108</v>
      </c>
      <c r="B727" s="1">
        <v>221.26</v>
      </c>
      <c r="C727" s="1">
        <v>190.08</v>
      </c>
      <c r="D727" s="1">
        <v>10.23</v>
      </c>
      <c r="E727" s="1" t="s">
        <v>113</v>
      </c>
      <c r="F727" s="1" t="s">
        <v>113</v>
      </c>
      <c r="G727" s="1" t="s">
        <v>113</v>
      </c>
      <c r="H727" s="1" t="str">
        <f>VLOOKUP(F727,Countries!$A$1:$B$161,2,0)</f>
        <v>United States of America</v>
      </c>
    </row>
    <row r="728" spans="1:8" x14ac:dyDescent="0.3">
      <c r="A728" s="3">
        <v>46262.616944444453</v>
      </c>
      <c r="B728" s="1">
        <v>14.77</v>
      </c>
      <c r="C728" s="1">
        <v>12.69</v>
      </c>
      <c r="D728" s="1">
        <v>0.91</v>
      </c>
      <c r="E728" s="1" t="s">
        <v>113</v>
      </c>
      <c r="F728" s="1" t="s">
        <v>113</v>
      </c>
      <c r="G728" s="1" t="s">
        <v>113</v>
      </c>
      <c r="H728" s="1" t="str">
        <f>VLOOKUP(F728,Countries!$A$1:$B$161,2,0)</f>
        <v>United States of America</v>
      </c>
    </row>
    <row r="729" spans="1:8" x14ac:dyDescent="0.3">
      <c r="A729" s="3">
        <v>46262.609282407408</v>
      </c>
      <c r="B729" s="1">
        <v>51.75</v>
      </c>
      <c r="C729" s="1">
        <v>44.46</v>
      </c>
      <c r="D729" s="1">
        <v>2.58</v>
      </c>
      <c r="E729" s="1" t="s">
        <v>113</v>
      </c>
      <c r="F729" s="1" t="s">
        <v>113</v>
      </c>
      <c r="G729" s="1" t="s">
        <v>113</v>
      </c>
      <c r="H729" s="1" t="str">
        <f>VLOOKUP(F729,Countries!$A$1:$B$161,2,0)</f>
        <v>United States of America</v>
      </c>
    </row>
    <row r="730" spans="1:8" x14ac:dyDescent="0.3">
      <c r="A730" s="3">
        <v>46262.606817129628</v>
      </c>
      <c r="B730" s="1">
        <v>14.77</v>
      </c>
      <c r="C730" s="1">
        <v>12.69</v>
      </c>
      <c r="D730" s="1">
        <v>0.91</v>
      </c>
      <c r="E730" s="1" t="s">
        <v>113</v>
      </c>
      <c r="F730" s="1" t="s">
        <v>113</v>
      </c>
      <c r="G730" s="1" t="s">
        <v>113</v>
      </c>
      <c r="H730" s="1" t="str">
        <f>VLOOKUP(F730,Countries!$A$1:$B$161,2,0)</f>
        <v>United States of America</v>
      </c>
    </row>
    <row r="731" spans="1:8" x14ac:dyDescent="0.3">
      <c r="A731" s="3">
        <v>46262.606238425928</v>
      </c>
      <c r="B731" s="1">
        <v>6.37</v>
      </c>
      <c r="C731" s="1">
        <v>5.47</v>
      </c>
      <c r="D731" s="1">
        <v>0.54</v>
      </c>
      <c r="E731" s="1" t="s">
        <v>113</v>
      </c>
      <c r="F731" s="1" t="s">
        <v>113</v>
      </c>
      <c r="G731" s="1" t="s">
        <v>113</v>
      </c>
      <c r="H731" s="1" t="str">
        <f>VLOOKUP(F731,Countries!$A$1:$B$161,2,0)</f>
        <v>United States of America</v>
      </c>
    </row>
    <row r="732" spans="1:8" x14ac:dyDescent="0.3">
      <c r="A732" s="3">
        <v>46262.602303240739</v>
      </c>
      <c r="B732" s="1">
        <v>3.69</v>
      </c>
      <c r="C732" s="1">
        <v>3.17</v>
      </c>
      <c r="D732" s="1">
        <v>0.36</v>
      </c>
      <c r="E732" s="1" t="s">
        <v>159</v>
      </c>
      <c r="F732" s="1" t="s">
        <v>159</v>
      </c>
      <c r="G732" s="1" t="s">
        <v>159</v>
      </c>
      <c r="H732" s="1" t="str">
        <f>VLOOKUP(F732,Countries!$A$1:$B$161,2,0)</f>
        <v>Romania</v>
      </c>
    </row>
    <row r="733" spans="1:8" x14ac:dyDescent="0.3">
      <c r="A733" s="3">
        <v>46262.59746527778</v>
      </c>
      <c r="B733" s="1">
        <v>3.88</v>
      </c>
      <c r="C733" s="1">
        <v>3.33</v>
      </c>
      <c r="D733" s="1">
        <v>0.37</v>
      </c>
      <c r="E733" s="1" t="s">
        <v>137</v>
      </c>
      <c r="F733" s="1" t="s">
        <v>137</v>
      </c>
      <c r="G733" s="1" t="s">
        <v>137</v>
      </c>
      <c r="H733" s="1" t="str">
        <f>VLOOKUP(F733,Countries!$A$1:$B$161,2,0)</f>
        <v>Poland</v>
      </c>
    </row>
    <row r="734" spans="1:8" x14ac:dyDescent="0.3">
      <c r="A734" s="3">
        <v>46262.592268518521</v>
      </c>
      <c r="B734" s="1">
        <v>29.57</v>
      </c>
      <c r="C734" s="1">
        <v>25.4</v>
      </c>
      <c r="D734" s="1">
        <v>1.59</v>
      </c>
      <c r="E734" s="1" t="s">
        <v>113</v>
      </c>
      <c r="F734" s="1" t="s">
        <v>113</v>
      </c>
      <c r="G734" s="1" t="s">
        <v>113</v>
      </c>
      <c r="H734" s="1" t="str">
        <f>VLOOKUP(F734,Countries!$A$1:$B$161,2,0)</f>
        <v>United States of America</v>
      </c>
    </row>
    <row r="735" spans="1:8" x14ac:dyDescent="0.3">
      <c r="A735" s="3">
        <v>46262.591574074067</v>
      </c>
      <c r="B735" s="1">
        <v>14.77</v>
      </c>
      <c r="C735" s="1">
        <v>12.69</v>
      </c>
      <c r="D735" s="1">
        <v>0.91</v>
      </c>
      <c r="E735" s="1" t="s">
        <v>113</v>
      </c>
      <c r="F735" s="1" t="s">
        <v>113</v>
      </c>
      <c r="G735" s="1" t="s">
        <v>113</v>
      </c>
      <c r="H735" s="1" t="str">
        <f>VLOOKUP(F735,Countries!$A$1:$B$161,2,0)</f>
        <v>United States of America</v>
      </c>
    </row>
    <row r="736" spans="1:8" x14ac:dyDescent="0.3">
      <c r="A736" s="3">
        <v>46262.587442129632</v>
      </c>
      <c r="B736" s="1">
        <v>6.37</v>
      </c>
      <c r="C736" s="1">
        <v>5.47</v>
      </c>
      <c r="D736" s="1">
        <v>0.54</v>
      </c>
      <c r="E736" s="1" t="s">
        <v>113</v>
      </c>
      <c r="F736" s="1" t="s">
        <v>113</v>
      </c>
      <c r="G736" s="1" t="s">
        <v>113</v>
      </c>
      <c r="H736" s="1" t="str">
        <f>VLOOKUP(F736,Countries!$A$1:$B$161,2,0)</f>
        <v>United States of America</v>
      </c>
    </row>
    <row r="737" spans="1:8" x14ac:dyDescent="0.3">
      <c r="A737" s="3">
        <v>46262.58153935185</v>
      </c>
      <c r="B737" s="1">
        <v>3.99</v>
      </c>
      <c r="C737" s="1">
        <v>3.43</v>
      </c>
      <c r="D737" s="1">
        <v>0.43</v>
      </c>
      <c r="E737" s="1"/>
      <c r="F737" s="1" t="s">
        <v>113</v>
      </c>
      <c r="G737" s="1" t="s">
        <v>113</v>
      </c>
      <c r="H737" s="1" t="str">
        <f>VLOOKUP(F737,Countries!$A$1:$B$161,2,0)</f>
        <v>United States of America</v>
      </c>
    </row>
    <row r="738" spans="1:8" x14ac:dyDescent="0.3">
      <c r="A738" s="3">
        <v>46262.581018518518</v>
      </c>
      <c r="B738" s="1">
        <v>6.65</v>
      </c>
      <c r="C738" s="1">
        <v>5.71</v>
      </c>
      <c r="D738" s="1">
        <v>0.55000000000000004</v>
      </c>
      <c r="E738" s="1" t="s">
        <v>130</v>
      </c>
      <c r="F738" s="1" t="s">
        <v>130</v>
      </c>
      <c r="G738" s="1" t="s">
        <v>130</v>
      </c>
      <c r="H738" s="1" t="str">
        <f>VLOOKUP(F738,Countries!$A$1:$B$161,2,0)</f>
        <v>Australia</v>
      </c>
    </row>
    <row r="739" spans="1:8" x14ac:dyDescent="0.3">
      <c r="A739" s="3">
        <v>46262.578125</v>
      </c>
      <c r="B739" s="1">
        <v>6.37</v>
      </c>
      <c r="C739" s="1">
        <v>5.47</v>
      </c>
      <c r="D739" s="1">
        <v>0.54</v>
      </c>
      <c r="E739" s="1" t="s">
        <v>113</v>
      </c>
      <c r="F739" s="1" t="s">
        <v>113</v>
      </c>
      <c r="G739" s="1" t="s">
        <v>113</v>
      </c>
      <c r="H739" s="1" t="str">
        <f>VLOOKUP(F739,Countries!$A$1:$B$161,2,0)</f>
        <v>United States of America</v>
      </c>
    </row>
    <row r="740" spans="1:8" x14ac:dyDescent="0.3">
      <c r="A740" s="3">
        <v>46262.571076388893</v>
      </c>
      <c r="B740" s="1">
        <v>6.65</v>
      </c>
      <c r="C740" s="1">
        <v>5.71</v>
      </c>
      <c r="D740" s="1">
        <v>0.55000000000000004</v>
      </c>
      <c r="E740" s="1" t="s">
        <v>171</v>
      </c>
      <c r="F740" s="1" t="s">
        <v>171</v>
      </c>
      <c r="G740" s="1" t="s">
        <v>171</v>
      </c>
      <c r="H740" s="1" t="str">
        <f>VLOOKUP(F740,Countries!$A$1:$B$161,2,0)</f>
        <v>Korea (South)</v>
      </c>
    </row>
    <row r="741" spans="1:8" x14ac:dyDescent="0.3">
      <c r="A741" s="3">
        <v>46262.55804398148</v>
      </c>
      <c r="B741" s="1">
        <v>17.010000000000002</v>
      </c>
      <c r="C741" s="1">
        <v>14.6</v>
      </c>
      <c r="D741" s="1">
        <v>1.01</v>
      </c>
      <c r="E741" s="1" t="s">
        <v>113</v>
      </c>
      <c r="F741" s="1" t="s">
        <v>113</v>
      </c>
      <c r="G741" s="1" t="s">
        <v>113</v>
      </c>
      <c r="H741" s="1" t="str">
        <f>VLOOKUP(F741,Countries!$A$1:$B$161,2,0)</f>
        <v>United States of America</v>
      </c>
    </row>
    <row r="742" spans="1:8" x14ac:dyDescent="0.3">
      <c r="A742" s="3">
        <v>46262.556712962964</v>
      </c>
      <c r="B742" s="1">
        <v>10.65</v>
      </c>
      <c r="C742" s="1">
        <v>9.14</v>
      </c>
      <c r="D742" s="1">
        <v>0.56999999999999995</v>
      </c>
      <c r="E742" s="1" t="s">
        <v>172</v>
      </c>
      <c r="F742" s="1" t="s">
        <v>172</v>
      </c>
      <c r="G742" s="1" t="s">
        <v>172</v>
      </c>
      <c r="H742" s="1" t="str">
        <f>VLOOKUP(F742,Countries!$A$1:$B$161,2,0)</f>
        <v>Croatia</v>
      </c>
    </row>
    <row r="743" spans="1:8" x14ac:dyDescent="0.3">
      <c r="A743" s="3">
        <v>46262.542812500003</v>
      </c>
      <c r="B743" s="1">
        <v>7.39</v>
      </c>
      <c r="C743" s="1">
        <v>6.35</v>
      </c>
      <c r="D743" s="1">
        <v>0.48</v>
      </c>
      <c r="E743" s="1" t="s">
        <v>147</v>
      </c>
      <c r="F743" s="1" t="s">
        <v>147</v>
      </c>
      <c r="G743" s="1" t="s">
        <v>147</v>
      </c>
      <c r="H743" s="1" t="str">
        <f>VLOOKUP(F743,Countries!$A$1:$B$161,2,0)</f>
        <v>Germany</v>
      </c>
    </row>
    <row r="744" spans="1:8" x14ac:dyDescent="0.3">
      <c r="A744" s="3">
        <v>46262.538391203707</v>
      </c>
      <c r="B744" s="1">
        <v>2.11</v>
      </c>
      <c r="C744" s="1">
        <v>1.81</v>
      </c>
      <c r="D744" s="1">
        <v>0.35</v>
      </c>
      <c r="E744" s="1" t="s">
        <v>113</v>
      </c>
      <c r="F744" s="1" t="s">
        <v>113</v>
      </c>
      <c r="G744" s="1" t="s">
        <v>113</v>
      </c>
      <c r="H744" s="1" t="str">
        <f>VLOOKUP(F744,Countries!$A$1:$B$161,2,0)</f>
        <v>United States of America</v>
      </c>
    </row>
    <row r="745" spans="1:8" x14ac:dyDescent="0.3">
      <c r="A745" s="3">
        <v>46262.536736111113</v>
      </c>
      <c r="B745" s="1">
        <v>49.98</v>
      </c>
      <c r="C745" s="1">
        <v>42.92</v>
      </c>
      <c r="D745" s="1">
        <v>1.75</v>
      </c>
      <c r="E745" s="1" t="s">
        <v>173</v>
      </c>
      <c r="F745" s="1" t="s">
        <v>123</v>
      </c>
      <c r="G745" s="1" t="s">
        <v>123</v>
      </c>
      <c r="H745" s="1" t="str">
        <f>VLOOKUP(F745,Countries!$A$1:$B$161,2,0)</f>
        <v>France</v>
      </c>
    </row>
    <row r="746" spans="1:8" x14ac:dyDescent="0.3">
      <c r="A746" s="3">
        <v>46262.533599537041</v>
      </c>
      <c r="B746" s="1">
        <v>6.65</v>
      </c>
      <c r="C746" s="1">
        <v>5.71</v>
      </c>
      <c r="D746" s="1">
        <v>0.55000000000000004</v>
      </c>
      <c r="E746" s="1" t="s">
        <v>130</v>
      </c>
      <c r="F746" s="1" t="s">
        <v>130</v>
      </c>
      <c r="G746" s="1" t="s">
        <v>130</v>
      </c>
      <c r="H746" s="1" t="str">
        <f>VLOOKUP(F746,Countries!$A$1:$B$161,2,0)</f>
        <v>Australia</v>
      </c>
    </row>
    <row r="747" spans="1:8" x14ac:dyDescent="0.3">
      <c r="A747" s="3">
        <v>46262.531006944453</v>
      </c>
      <c r="B747" s="1">
        <v>4.9800000000000004</v>
      </c>
      <c r="C747" s="1">
        <v>4.28</v>
      </c>
      <c r="D747" s="1">
        <v>0.4</v>
      </c>
      <c r="E747" s="1" t="s">
        <v>173</v>
      </c>
      <c r="F747" s="1" t="s">
        <v>123</v>
      </c>
      <c r="G747" s="1" t="s">
        <v>123</v>
      </c>
      <c r="H747" s="1" t="str">
        <f>VLOOKUP(F747,Countries!$A$1:$B$161,2,0)</f>
        <v>France</v>
      </c>
    </row>
    <row r="748" spans="1:8" x14ac:dyDescent="0.3">
      <c r="A748" s="3">
        <v>46262.52988425926</v>
      </c>
      <c r="B748" s="1">
        <v>49.98</v>
      </c>
      <c r="C748" s="1">
        <v>42.92</v>
      </c>
      <c r="D748" s="1">
        <v>1.75</v>
      </c>
      <c r="E748" s="1" t="s">
        <v>173</v>
      </c>
      <c r="F748" s="1" t="s">
        <v>123</v>
      </c>
      <c r="G748" s="1" t="s">
        <v>123</v>
      </c>
      <c r="H748" s="1" t="str">
        <f>VLOOKUP(F748,Countries!$A$1:$B$161,2,0)</f>
        <v>France</v>
      </c>
    </row>
    <row r="749" spans="1:8" x14ac:dyDescent="0.3">
      <c r="A749" s="3">
        <v>46262.527488425927</v>
      </c>
      <c r="B749" s="1">
        <v>59.03</v>
      </c>
      <c r="C749" s="1">
        <v>50.69</v>
      </c>
      <c r="D749" s="1">
        <v>2.91</v>
      </c>
      <c r="E749" s="1" t="s">
        <v>113</v>
      </c>
      <c r="F749" s="1" t="s">
        <v>113</v>
      </c>
      <c r="G749" s="1" t="s">
        <v>113</v>
      </c>
      <c r="H749" s="1" t="str">
        <f>VLOOKUP(F749,Countries!$A$1:$B$161,2,0)</f>
        <v>United States of America</v>
      </c>
    </row>
    <row r="750" spans="1:8" x14ac:dyDescent="0.3">
      <c r="A750" s="3">
        <v>46262.526562500003</v>
      </c>
      <c r="B750" s="1">
        <v>6.23</v>
      </c>
      <c r="C750" s="1">
        <v>5.35</v>
      </c>
      <c r="D750" s="1">
        <v>0.49</v>
      </c>
      <c r="E750" s="1" t="s">
        <v>174</v>
      </c>
      <c r="F750" s="1" t="s">
        <v>119</v>
      </c>
      <c r="G750" s="1" t="s">
        <v>119</v>
      </c>
      <c r="H750" s="1" t="str">
        <f>VLOOKUP(F750,Countries!$A$1:$B$161,2,0)</f>
        <v>Great Britain (United Kingdom)</v>
      </c>
    </row>
    <row r="751" spans="1:8" x14ac:dyDescent="0.3">
      <c r="A751" s="3">
        <v>46262.524571759262</v>
      </c>
      <c r="B751" s="1">
        <v>526.29999999999995</v>
      </c>
      <c r="C751" s="1">
        <v>451.94</v>
      </c>
      <c r="D751" s="1">
        <v>23.98</v>
      </c>
      <c r="E751" s="1" t="s">
        <v>143</v>
      </c>
      <c r="F751" s="1" t="s">
        <v>143</v>
      </c>
      <c r="G751" s="1" t="s">
        <v>143</v>
      </c>
      <c r="H751" s="1" t="str">
        <f>VLOOKUP(F751,Countries!$A$1:$B$161,2,0)</f>
        <v>United Arab Emirates</v>
      </c>
    </row>
    <row r="752" spans="1:8" x14ac:dyDescent="0.3">
      <c r="A752" s="3">
        <v>46262.518182870372</v>
      </c>
      <c r="B752" s="1">
        <v>12.97</v>
      </c>
      <c r="C752" s="1">
        <v>11.14</v>
      </c>
      <c r="D752" s="1">
        <v>0.64</v>
      </c>
      <c r="E752" s="1" t="s">
        <v>112</v>
      </c>
      <c r="F752" s="1" t="s">
        <v>112</v>
      </c>
      <c r="G752" s="1" t="s">
        <v>112</v>
      </c>
      <c r="H752" s="1" t="str">
        <f>VLOOKUP(F752,Countries!$A$1:$B$161,2,0)</f>
        <v>Ireland</v>
      </c>
    </row>
    <row r="753" spans="1:8" x14ac:dyDescent="0.3">
      <c r="A753" s="3">
        <v>46262.517430555563</v>
      </c>
      <c r="B753" s="1">
        <v>6.37</v>
      </c>
      <c r="C753" s="1">
        <v>5.47</v>
      </c>
      <c r="D753" s="1">
        <v>0.54</v>
      </c>
      <c r="E753" s="1" t="s">
        <v>113</v>
      </c>
      <c r="F753" s="1" t="s">
        <v>113</v>
      </c>
      <c r="G753" s="1" t="s">
        <v>113</v>
      </c>
      <c r="H753" s="1" t="str">
        <f>VLOOKUP(F753,Countries!$A$1:$B$161,2,0)</f>
        <v>United States of America</v>
      </c>
    </row>
    <row r="754" spans="1:8" x14ac:dyDescent="0.3">
      <c r="A754" s="3">
        <v>46262.511620370373</v>
      </c>
      <c r="B754" s="1">
        <v>10.62</v>
      </c>
      <c r="C754" s="1">
        <v>9.1199999999999992</v>
      </c>
      <c r="D754" s="1">
        <v>0.73</v>
      </c>
      <c r="E754" s="1" t="s">
        <v>113</v>
      </c>
      <c r="F754" s="1" t="s">
        <v>113</v>
      </c>
      <c r="G754" s="1" t="s">
        <v>113</v>
      </c>
      <c r="H754" s="1" t="str">
        <f>VLOOKUP(F754,Countries!$A$1:$B$161,2,0)</f>
        <v>United States of America</v>
      </c>
    </row>
    <row r="755" spans="1:8" x14ac:dyDescent="0.3">
      <c r="A755" s="3">
        <v>46262.508634259262</v>
      </c>
      <c r="B755" s="1">
        <v>10.51</v>
      </c>
      <c r="C755" s="1">
        <v>9.0299999999999994</v>
      </c>
      <c r="D755" s="1">
        <v>0.72</v>
      </c>
      <c r="E755" s="1" t="s">
        <v>143</v>
      </c>
      <c r="F755" s="1" t="s">
        <v>143</v>
      </c>
      <c r="G755" s="1" t="s">
        <v>143</v>
      </c>
      <c r="H755" s="1" t="str">
        <f>VLOOKUP(F755,Countries!$A$1:$B$161,2,0)</f>
        <v>United Arab Emirates</v>
      </c>
    </row>
    <row r="756" spans="1:8" x14ac:dyDescent="0.3">
      <c r="A756" s="3">
        <v>46262.507638888892</v>
      </c>
      <c r="B756" s="1">
        <v>12.63</v>
      </c>
      <c r="C756" s="1">
        <v>10.85</v>
      </c>
      <c r="D756" s="1">
        <v>0.82</v>
      </c>
      <c r="E756" s="1" t="s">
        <v>143</v>
      </c>
      <c r="F756" s="1" t="s">
        <v>143</v>
      </c>
      <c r="G756" s="1" t="s">
        <v>143</v>
      </c>
      <c r="H756" s="1" t="str">
        <f>VLOOKUP(F756,Countries!$A$1:$B$161,2,0)</f>
        <v>United Arab Emirates</v>
      </c>
    </row>
    <row r="757" spans="1:8" x14ac:dyDescent="0.3">
      <c r="A757" s="3">
        <v>46262.503495370373</v>
      </c>
      <c r="B757" s="1">
        <v>10.62</v>
      </c>
      <c r="C757" s="1">
        <v>9.1199999999999992</v>
      </c>
      <c r="D757" s="1">
        <v>0.73</v>
      </c>
      <c r="E757" s="1" t="s">
        <v>113</v>
      </c>
      <c r="F757" s="1" t="s">
        <v>113</v>
      </c>
      <c r="G757" s="1" t="s">
        <v>113</v>
      </c>
      <c r="H757" s="1" t="str">
        <f>VLOOKUP(F757,Countries!$A$1:$B$161,2,0)</f>
        <v>United States of America</v>
      </c>
    </row>
    <row r="758" spans="1:8" x14ac:dyDescent="0.3">
      <c r="A758" s="3">
        <v>46262.49763888889</v>
      </c>
      <c r="B758" s="1">
        <v>10.62</v>
      </c>
      <c r="C758" s="1">
        <v>9.1199999999999992</v>
      </c>
      <c r="D758" s="1">
        <v>0.73</v>
      </c>
      <c r="E758" s="1" t="s">
        <v>113</v>
      </c>
      <c r="F758" s="1" t="s">
        <v>113</v>
      </c>
      <c r="G758" s="1" t="s">
        <v>113</v>
      </c>
      <c r="H758" s="1" t="str">
        <f>VLOOKUP(F758,Countries!$A$1:$B$161,2,0)</f>
        <v>United States of America</v>
      </c>
    </row>
    <row r="759" spans="1:8" x14ac:dyDescent="0.3">
      <c r="A759" s="3">
        <v>46262.488587962973</v>
      </c>
      <c r="B759" s="1">
        <v>6.37</v>
      </c>
      <c r="C759" s="1">
        <v>5.47</v>
      </c>
      <c r="D759" s="1">
        <v>0.54</v>
      </c>
      <c r="E759" s="1" t="s">
        <v>113</v>
      </c>
      <c r="F759" s="1" t="s">
        <v>113</v>
      </c>
      <c r="G759" s="1" t="s">
        <v>113</v>
      </c>
      <c r="H759" s="1" t="str">
        <f>VLOOKUP(F759,Countries!$A$1:$B$161,2,0)</f>
        <v>United States of America</v>
      </c>
    </row>
    <row r="760" spans="1:8" x14ac:dyDescent="0.3">
      <c r="A760" s="3">
        <v>46262.484189814822</v>
      </c>
      <c r="B760" s="1">
        <v>6.37</v>
      </c>
      <c r="C760" s="1">
        <v>5.47</v>
      </c>
      <c r="D760" s="1">
        <v>0.54</v>
      </c>
      <c r="E760" s="1" t="s">
        <v>113</v>
      </c>
      <c r="F760" s="1" t="s">
        <v>113</v>
      </c>
      <c r="G760" s="1" t="s">
        <v>113</v>
      </c>
      <c r="H760" s="1" t="str">
        <f>VLOOKUP(F760,Countries!$A$1:$B$161,2,0)</f>
        <v>United States of America</v>
      </c>
    </row>
    <row r="761" spans="1:8" x14ac:dyDescent="0.3">
      <c r="A761" s="3">
        <v>46262.482662037037</v>
      </c>
      <c r="B761" s="1">
        <v>51.93</v>
      </c>
      <c r="C761" s="1">
        <v>44.58</v>
      </c>
      <c r="D761" s="1">
        <v>1.81</v>
      </c>
      <c r="E761" s="1" t="s">
        <v>112</v>
      </c>
      <c r="F761" s="1" t="s">
        <v>112</v>
      </c>
      <c r="G761" s="1" t="s">
        <v>112</v>
      </c>
      <c r="H761" s="1" t="str">
        <f>VLOOKUP(F761,Countries!$A$1:$B$161,2,0)</f>
        <v>Ireland</v>
      </c>
    </row>
    <row r="762" spans="1:8" x14ac:dyDescent="0.3">
      <c r="A762" s="3">
        <v>46262.46875</v>
      </c>
      <c r="B762" s="1">
        <v>14.77</v>
      </c>
      <c r="C762" s="1">
        <v>12.68</v>
      </c>
      <c r="D762" s="1">
        <v>0.91</v>
      </c>
      <c r="E762" s="1" t="s">
        <v>113</v>
      </c>
      <c r="F762" s="1" t="s">
        <v>113</v>
      </c>
      <c r="G762" s="1" t="s">
        <v>113</v>
      </c>
      <c r="H762" s="1" t="str">
        <f>VLOOKUP(F762,Countries!$A$1:$B$161,2,0)</f>
        <v>United States of America</v>
      </c>
    </row>
    <row r="763" spans="1:8" x14ac:dyDescent="0.3">
      <c r="A763" s="3">
        <v>46262.463946759257</v>
      </c>
      <c r="B763" s="1">
        <v>2.99</v>
      </c>
      <c r="C763" s="1">
        <v>2.57</v>
      </c>
      <c r="D763" s="1">
        <v>0.38</v>
      </c>
      <c r="E763" s="1" t="s">
        <v>135</v>
      </c>
      <c r="F763" s="1" t="s">
        <v>135</v>
      </c>
      <c r="G763" s="1" t="s">
        <v>135</v>
      </c>
      <c r="H763" s="1" t="str">
        <f>VLOOKUP(F763,Countries!$A$1:$B$161,2,0)</f>
        <v>Kuwait</v>
      </c>
    </row>
    <row r="764" spans="1:8" x14ac:dyDescent="0.3">
      <c r="A764" s="3">
        <v>46262.460451388892</v>
      </c>
      <c r="B764" s="1">
        <v>60.81</v>
      </c>
      <c r="C764" s="1">
        <v>52.2</v>
      </c>
      <c r="D764" s="1">
        <v>2.6</v>
      </c>
      <c r="E764" s="1" t="s">
        <v>119</v>
      </c>
      <c r="F764" s="1" t="s">
        <v>119</v>
      </c>
      <c r="G764" s="1" t="s">
        <v>119</v>
      </c>
      <c r="H764" s="1" t="str">
        <f>VLOOKUP(F764,Countries!$A$1:$B$161,2,0)</f>
        <v>Great Britain (United Kingdom)</v>
      </c>
    </row>
    <row r="765" spans="1:8" x14ac:dyDescent="0.3">
      <c r="A765" s="3">
        <v>46262.451527777783</v>
      </c>
      <c r="B765" s="1">
        <v>63.15</v>
      </c>
      <c r="C765" s="1">
        <v>54.25</v>
      </c>
      <c r="D765" s="1">
        <v>3.1</v>
      </c>
      <c r="E765" s="1" t="s">
        <v>143</v>
      </c>
      <c r="F765" s="1" t="s">
        <v>143</v>
      </c>
      <c r="G765" s="1" t="s">
        <v>143</v>
      </c>
      <c r="H765" s="1" t="str">
        <f>VLOOKUP(F765,Countries!$A$1:$B$161,2,0)</f>
        <v>United Arab Emirates</v>
      </c>
    </row>
    <row r="766" spans="1:8" x14ac:dyDescent="0.3">
      <c r="A766" s="3">
        <v>46262.447314814817</v>
      </c>
      <c r="B766" s="1">
        <v>6.37</v>
      </c>
      <c r="C766" s="1">
        <v>5.47</v>
      </c>
      <c r="D766" s="1">
        <v>0.5</v>
      </c>
      <c r="E766" s="1" t="s">
        <v>119</v>
      </c>
      <c r="F766" s="1" t="s">
        <v>119</v>
      </c>
      <c r="G766" s="1" t="s">
        <v>119</v>
      </c>
      <c r="H766" s="1" t="str">
        <f>VLOOKUP(F766,Countries!$A$1:$B$161,2,0)</f>
        <v>Great Britain (United Kingdom)</v>
      </c>
    </row>
    <row r="767" spans="1:8" x14ac:dyDescent="0.3">
      <c r="A767" s="3">
        <v>46262.437037037038</v>
      </c>
      <c r="B767" s="1">
        <v>6.37</v>
      </c>
      <c r="C767" s="1">
        <v>5.47</v>
      </c>
      <c r="D767" s="1">
        <v>0.54</v>
      </c>
      <c r="E767" s="1" t="s">
        <v>113</v>
      </c>
      <c r="F767" s="1" t="s">
        <v>113</v>
      </c>
      <c r="G767" s="1" t="s">
        <v>113</v>
      </c>
      <c r="H767" s="1" t="str">
        <f>VLOOKUP(F767,Countries!$A$1:$B$161,2,0)</f>
        <v>United States of America</v>
      </c>
    </row>
    <row r="768" spans="1:8" x14ac:dyDescent="0.3">
      <c r="A768" s="3">
        <v>46262.435983796298</v>
      </c>
      <c r="B768" s="1">
        <v>10.51</v>
      </c>
      <c r="C768" s="1">
        <v>9.0299999999999994</v>
      </c>
      <c r="D768" s="1">
        <v>0.72</v>
      </c>
      <c r="E768" s="1" t="s">
        <v>143</v>
      </c>
      <c r="F768" s="1" t="s">
        <v>143</v>
      </c>
      <c r="G768" s="1" t="s">
        <v>143</v>
      </c>
      <c r="H768" s="1" t="str">
        <f>VLOOKUP(F768,Countries!$A$1:$B$161,2,0)</f>
        <v>United Arab Emirates</v>
      </c>
    </row>
    <row r="769" spans="1:8" x14ac:dyDescent="0.3">
      <c r="A769" s="3">
        <v>46262.431296296287</v>
      </c>
      <c r="B769" s="1">
        <v>51.93</v>
      </c>
      <c r="C769" s="1">
        <v>44.61</v>
      </c>
      <c r="D769" s="1">
        <v>1.81</v>
      </c>
      <c r="E769" s="1" t="s">
        <v>112</v>
      </c>
      <c r="F769" s="1" t="s">
        <v>112</v>
      </c>
      <c r="G769" s="1" t="s">
        <v>112</v>
      </c>
      <c r="H769" s="1" t="str">
        <f>VLOOKUP(F769,Countries!$A$1:$B$161,2,0)</f>
        <v>Ireland</v>
      </c>
    </row>
    <row r="770" spans="1:8" x14ac:dyDescent="0.3">
      <c r="A770" s="3">
        <v>46262.423680555563</v>
      </c>
      <c r="B770" s="1">
        <v>2.99</v>
      </c>
      <c r="C770" s="1">
        <v>2.57</v>
      </c>
      <c r="D770" s="1">
        <v>0.38</v>
      </c>
      <c r="E770" s="1" t="s">
        <v>113</v>
      </c>
      <c r="F770" s="1" t="s">
        <v>113</v>
      </c>
      <c r="G770" s="1" t="s">
        <v>113</v>
      </c>
      <c r="H770" s="1" t="str">
        <f>VLOOKUP(F770,Countries!$A$1:$B$161,2,0)</f>
        <v>United States of America</v>
      </c>
    </row>
    <row r="771" spans="1:8" x14ac:dyDescent="0.3">
      <c r="A771" s="3">
        <v>46262.422685185193</v>
      </c>
      <c r="B771" s="1">
        <v>2.48</v>
      </c>
      <c r="C771" s="1">
        <v>2.13</v>
      </c>
      <c r="D771" s="1">
        <v>0.32</v>
      </c>
      <c r="E771" s="1" t="s">
        <v>123</v>
      </c>
      <c r="F771" s="1" t="s">
        <v>123</v>
      </c>
      <c r="G771" s="1" t="s">
        <v>123</v>
      </c>
      <c r="H771" s="1" t="str">
        <f>VLOOKUP(F771,Countries!$A$1:$B$161,2,0)</f>
        <v>France</v>
      </c>
    </row>
    <row r="772" spans="1:8" x14ac:dyDescent="0.3">
      <c r="A772" s="3">
        <v>46262.418611111112</v>
      </c>
      <c r="B772" s="1">
        <v>10.51</v>
      </c>
      <c r="C772" s="1">
        <v>9.0299999999999994</v>
      </c>
      <c r="D772" s="1">
        <v>0.72</v>
      </c>
      <c r="E772" s="1" t="s">
        <v>143</v>
      </c>
      <c r="F772" s="1" t="s">
        <v>143</v>
      </c>
      <c r="G772" s="1" t="s">
        <v>143</v>
      </c>
      <c r="H772" s="1" t="str">
        <f>VLOOKUP(F772,Countries!$A$1:$B$161,2,0)</f>
        <v>United Arab Emirates</v>
      </c>
    </row>
    <row r="773" spans="1:8" x14ac:dyDescent="0.3">
      <c r="A773" s="3">
        <v>46262.416979166657</v>
      </c>
      <c r="B773" s="1">
        <v>6.37</v>
      </c>
      <c r="C773" s="1">
        <v>5.47</v>
      </c>
      <c r="D773" s="1">
        <v>0.54</v>
      </c>
      <c r="E773" s="1" t="s">
        <v>113</v>
      </c>
      <c r="F773" s="1" t="s">
        <v>113</v>
      </c>
      <c r="G773" s="1" t="s">
        <v>113</v>
      </c>
      <c r="H773" s="1" t="str">
        <f>VLOOKUP(F773,Countries!$A$1:$B$161,2,0)</f>
        <v>United States of America</v>
      </c>
    </row>
    <row r="774" spans="1:8" x14ac:dyDescent="0.3">
      <c r="A774" s="3">
        <v>46262.412557870368</v>
      </c>
      <c r="B774" s="1">
        <v>6.37</v>
      </c>
      <c r="C774" s="1">
        <v>5.47</v>
      </c>
      <c r="D774" s="1">
        <v>0.54</v>
      </c>
      <c r="E774" s="1" t="s">
        <v>113</v>
      </c>
      <c r="F774" s="1" t="s">
        <v>113</v>
      </c>
      <c r="G774" s="1" t="s">
        <v>113</v>
      </c>
      <c r="H774" s="1" t="str">
        <f>VLOOKUP(F774,Countries!$A$1:$B$161,2,0)</f>
        <v>United States of America</v>
      </c>
    </row>
    <row r="775" spans="1:8" x14ac:dyDescent="0.3">
      <c r="A775" s="3">
        <v>46262.41238425926</v>
      </c>
      <c r="B775" s="1">
        <v>12.63</v>
      </c>
      <c r="C775" s="1">
        <v>10.85</v>
      </c>
      <c r="D775" s="1">
        <v>0.82</v>
      </c>
      <c r="E775" s="1" t="s">
        <v>143</v>
      </c>
      <c r="F775" s="1" t="s">
        <v>143</v>
      </c>
      <c r="G775" s="1" t="s">
        <v>143</v>
      </c>
      <c r="H775" s="1" t="str">
        <f>VLOOKUP(F775,Countries!$A$1:$B$161,2,0)</f>
        <v>United Arab Emirates</v>
      </c>
    </row>
    <row r="776" spans="1:8" x14ac:dyDescent="0.3">
      <c r="A776" s="3">
        <v>46262.411574074067</v>
      </c>
      <c r="B776" s="1">
        <v>10.51</v>
      </c>
      <c r="C776" s="1">
        <v>9.0299999999999994</v>
      </c>
      <c r="D776" s="1">
        <v>0.72</v>
      </c>
      <c r="E776" s="1" t="s">
        <v>143</v>
      </c>
      <c r="F776" s="1" t="s">
        <v>143</v>
      </c>
      <c r="G776" s="1" t="s">
        <v>143</v>
      </c>
      <c r="H776" s="1" t="str">
        <f>VLOOKUP(F776,Countries!$A$1:$B$161,2,0)</f>
        <v>United Arab Emirates</v>
      </c>
    </row>
    <row r="777" spans="1:8" x14ac:dyDescent="0.3">
      <c r="A777" s="3">
        <v>46262.410266203697</v>
      </c>
      <c r="B777" s="1">
        <v>9.99</v>
      </c>
      <c r="C777" s="1">
        <v>8.58</v>
      </c>
      <c r="D777" s="1">
        <v>0.7</v>
      </c>
      <c r="E777" s="1" t="s">
        <v>175</v>
      </c>
      <c r="F777" s="1" t="s">
        <v>175</v>
      </c>
      <c r="G777" s="1" t="s">
        <v>175</v>
      </c>
      <c r="H777" s="1" t="str">
        <f>VLOOKUP(F777,Countries!$A$1:$B$161,2,0)</f>
        <v>Guam</v>
      </c>
    </row>
    <row r="778" spans="1:8" x14ac:dyDescent="0.3">
      <c r="A778" s="3">
        <v>46262.410081018519</v>
      </c>
      <c r="B778" s="1">
        <v>6.37</v>
      </c>
      <c r="C778" s="1">
        <v>5.47</v>
      </c>
      <c r="D778" s="1">
        <v>0.54</v>
      </c>
      <c r="E778" s="1" t="s">
        <v>113</v>
      </c>
      <c r="F778" s="1" t="s">
        <v>113</v>
      </c>
      <c r="G778" s="1" t="s">
        <v>113</v>
      </c>
      <c r="H778" s="1" t="str">
        <f>VLOOKUP(F778,Countries!$A$1:$B$161,2,0)</f>
        <v>United States of America</v>
      </c>
    </row>
    <row r="779" spans="1:8" x14ac:dyDescent="0.3">
      <c r="A779" s="3">
        <v>46262.409467592603</v>
      </c>
      <c r="B779" s="1">
        <v>6.37</v>
      </c>
      <c r="C779" s="1">
        <v>5.47</v>
      </c>
      <c r="D779" s="1">
        <v>0.54</v>
      </c>
      <c r="E779" s="1" t="s">
        <v>113</v>
      </c>
      <c r="F779" s="1" t="s">
        <v>113</v>
      </c>
      <c r="G779" s="1" t="s">
        <v>113</v>
      </c>
      <c r="H779" s="1" t="str">
        <f>VLOOKUP(F779,Countries!$A$1:$B$161,2,0)</f>
        <v>United States of America</v>
      </c>
    </row>
    <row r="780" spans="1:8" x14ac:dyDescent="0.3">
      <c r="A780" s="3">
        <v>46262.40898148148</v>
      </c>
      <c r="B780" s="1">
        <v>2.99</v>
      </c>
      <c r="C780" s="1">
        <v>2.57</v>
      </c>
      <c r="D780" s="1">
        <v>0.38</v>
      </c>
      <c r="E780" s="1" t="s">
        <v>132</v>
      </c>
      <c r="F780" s="1" t="s">
        <v>132</v>
      </c>
      <c r="G780" s="1" t="s">
        <v>132</v>
      </c>
      <c r="H780" s="1" t="str">
        <f>VLOOKUP(F780,Countries!$A$1:$B$161,2,0)</f>
        <v>Canada</v>
      </c>
    </row>
    <row r="781" spans="1:8" x14ac:dyDescent="0.3">
      <c r="A781" s="3">
        <v>46262.406527777777</v>
      </c>
      <c r="B781" s="1">
        <v>25</v>
      </c>
      <c r="C781" s="1">
        <v>21.47</v>
      </c>
      <c r="D781" s="1">
        <v>1.38</v>
      </c>
      <c r="E781" s="1" t="s">
        <v>175</v>
      </c>
      <c r="F781" s="1" t="s">
        <v>175</v>
      </c>
      <c r="G781" s="1" t="s">
        <v>175</v>
      </c>
      <c r="H781" s="1" t="str">
        <f>VLOOKUP(F781,Countries!$A$1:$B$161,2,0)</f>
        <v>Guam</v>
      </c>
    </row>
    <row r="782" spans="1:8" x14ac:dyDescent="0.3">
      <c r="A782" s="3">
        <v>46262.396111111113</v>
      </c>
      <c r="B782" s="1">
        <v>9.99</v>
      </c>
      <c r="C782" s="1">
        <v>8.58</v>
      </c>
      <c r="D782" s="1">
        <v>0.7</v>
      </c>
      <c r="E782" s="1" t="s">
        <v>175</v>
      </c>
      <c r="F782" s="1" t="s">
        <v>175</v>
      </c>
      <c r="G782" s="1" t="s">
        <v>175</v>
      </c>
      <c r="H782" s="1" t="str">
        <f>VLOOKUP(F782,Countries!$A$1:$B$161,2,0)</f>
        <v>Guam</v>
      </c>
    </row>
    <row r="783" spans="1:8" x14ac:dyDescent="0.3">
      <c r="A783" s="3">
        <v>46262.3905787037</v>
      </c>
      <c r="B783" s="1">
        <v>9.99</v>
      </c>
      <c r="C783" s="1">
        <v>8.58</v>
      </c>
      <c r="D783" s="1">
        <v>0.7</v>
      </c>
      <c r="E783" s="1" t="s">
        <v>175</v>
      </c>
      <c r="F783" s="1" t="s">
        <v>175</v>
      </c>
      <c r="G783" s="1" t="s">
        <v>175</v>
      </c>
      <c r="H783" s="1" t="str">
        <f>VLOOKUP(F783,Countries!$A$1:$B$161,2,0)</f>
        <v>Guam</v>
      </c>
    </row>
    <row r="784" spans="1:8" x14ac:dyDescent="0.3">
      <c r="A784" s="3">
        <v>46262.390046296299</v>
      </c>
      <c r="B784" s="1">
        <v>12</v>
      </c>
      <c r="C784" s="1">
        <v>10.31</v>
      </c>
      <c r="D784" s="1">
        <v>0.8</v>
      </c>
      <c r="E784" s="1" t="s">
        <v>175</v>
      </c>
      <c r="F784" s="1" t="s">
        <v>175</v>
      </c>
      <c r="G784" s="1" t="s">
        <v>175</v>
      </c>
      <c r="H784" s="1" t="str">
        <f>VLOOKUP(F784,Countries!$A$1:$B$161,2,0)</f>
        <v>Guam</v>
      </c>
    </row>
    <row r="785" spans="1:8" x14ac:dyDescent="0.3">
      <c r="A785" s="3">
        <v>46262.389282407406</v>
      </c>
      <c r="B785" s="1">
        <v>25</v>
      </c>
      <c r="C785" s="1">
        <v>21.47</v>
      </c>
      <c r="D785" s="1">
        <v>1.38</v>
      </c>
      <c r="E785" s="1" t="s">
        <v>175</v>
      </c>
      <c r="F785" s="1" t="s">
        <v>175</v>
      </c>
      <c r="G785" s="1" t="s">
        <v>175</v>
      </c>
      <c r="H785" s="1" t="str">
        <f>VLOOKUP(F785,Countries!$A$1:$B$161,2,0)</f>
        <v>Guam</v>
      </c>
    </row>
    <row r="786" spans="1:8" x14ac:dyDescent="0.3">
      <c r="A786" s="3">
        <v>46262.38795138889</v>
      </c>
      <c r="B786" s="1">
        <v>2.99</v>
      </c>
      <c r="C786" s="1">
        <v>2.57</v>
      </c>
      <c r="D786" s="1">
        <v>0.38</v>
      </c>
      <c r="E786" s="1" t="s">
        <v>175</v>
      </c>
      <c r="F786" s="1" t="s">
        <v>175</v>
      </c>
      <c r="G786" s="1" t="s">
        <v>175</v>
      </c>
      <c r="H786" s="1" t="str">
        <f>VLOOKUP(F786,Countries!$A$1:$B$161,2,0)</f>
        <v>Guam</v>
      </c>
    </row>
    <row r="787" spans="1:8" x14ac:dyDescent="0.3">
      <c r="A787" s="3">
        <v>46262.386828703697</v>
      </c>
      <c r="B787" s="1">
        <v>2.99</v>
      </c>
      <c r="C787" s="1">
        <v>2.57</v>
      </c>
      <c r="D787" s="1">
        <v>0.38</v>
      </c>
      <c r="E787" s="1" t="s">
        <v>175</v>
      </c>
      <c r="F787" s="1" t="s">
        <v>175</v>
      </c>
      <c r="G787" s="1" t="s">
        <v>175</v>
      </c>
      <c r="H787" s="1" t="str">
        <f>VLOOKUP(F787,Countries!$A$1:$B$161,2,0)</f>
        <v>Guam</v>
      </c>
    </row>
    <row r="788" spans="1:8" x14ac:dyDescent="0.3">
      <c r="A788" s="3">
        <v>46262.385462962957</v>
      </c>
      <c r="B788" s="1">
        <v>15.09</v>
      </c>
      <c r="C788" s="1">
        <v>12.96</v>
      </c>
      <c r="D788" s="1">
        <v>0.93</v>
      </c>
      <c r="E788" s="1" t="s">
        <v>115</v>
      </c>
      <c r="F788" s="1" t="s">
        <v>115</v>
      </c>
      <c r="G788" s="1" t="s">
        <v>115</v>
      </c>
      <c r="H788" s="1" t="str">
        <f>VLOOKUP(F788,Countries!$A$1:$B$161,2,0)</f>
        <v>Switzerland</v>
      </c>
    </row>
    <row r="789" spans="1:8" x14ac:dyDescent="0.3">
      <c r="A789" s="3">
        <v>46262.384606481479</v>
      </c>
      <c r="B789" s="1">
        <v>22.66</v>
      </c>
      <c r="C789" s="1">
        <v>19.46</v>
      </c>
      <c r="D789" s="1">
        <v>1.27</v>
      </c>
      <c r="E789" s="1" t="s">
        <v>115</v>
      </c>
      <c r="F789" s="1" t="s">
        <v>115</v>
      </c>
      <c r="G789" s="1" t="s">
        <v>115</v>
      </c>
      <c r="H789" s="1" t="str">
        <f>VLOOKUP(F789,Countries!$A$1:$B$161,2,0)</f>
        <v>Switzerland</v>
      </c>
    </row>
    <row r="790" spans="1:8" x14ac:dyDescent="0.3">
      <c r="A790" s="3">
        <v>46262.382488425923</v>
      </c>
      <c r="B790" s="1">
        <v>7.48</v>
      </c>
      <c r="C790" s="1">
        <v>6.42</v>
      </c>
      <c r="D790" s="1">
        <v>0.48</v>
      </c>
      <c r="E790" s="1" t="s">
        <v>123</v>
      </c>
      <c r="F790" s="1" t="s">
        <v>123</v>
      </c>
      <c r="G790" s="1" t="s">
        <v>123</v>
      </c>
      <c r="H790" s="1" t="str">
        <f>VLOOKUP(F790,Countries!$A$1:$B$161,2,0)</f>
        <v>France</v>
      </c>
    </row>
    <row r="791" spans="1:8" x14ac:dyDescent="0.3">
      <c r="A791" s="3">
        <v>46262.382395833331</v>
      </c>
      <c r="B791" s="1">
        <v>6.37</v>
      </c>
      <c r="C791" s="1">
        <v>5.47</v>
      </c>
      <c r="D791" s="1">
        <v>0.54</v>
      </c>
      <c r="E791" s="1" t="s">
        <v>113</v>
      </c>
      <c r="F791" s="1" t="s">
        <v>113</v>
      </c>
      <c r="G791" s="1" t="s">
        <v>113</v>
      </c>
      <c r="H791" s="1" t="str">
        <f>VLOOKUP(F791,Countries!$A$1:$B$161,2,0)</f>
        <v>United States of America</v>
      </c>
    </row>
    <row r="792" spans="1:8" x14ac:dyDescent="0.3">
      <c r="A792" s="3">
        <v>46262.378240740742</v>
      </c>
      <c r="B792" s="1">
        <v>18.13</v>
      </c>
      <c r="C792" s="1">
        <v>15.57</v>
      </c>
      <c r="D792" s="1">
        <v>1.07</v>
      </c>
      <c r="E792" s="1" t="s">
        <v>115</v>
      </c>
      <c r="F792" s="1" t="s">
        <v>115</v>
      </c>
      <c r="G792" s="1" t="s">
        <v>115</v>
      </c>
      <c r="H792" s="1" t="str">
        <f>VLOOKUP(F792,Countries!$A$1:$B$161,2,0)</f>
        <v>Switzerland</v>
      </c>
    </row>
    <row r="793" spans="1:8" x14ac:dyDescent="0.3">
      <c r="A793" s="3">
        <v>46262.377881944441</v>
      </c>
      <c r="B793" s="1">
        <v>15.09</v>
      </c>
      <c r="C793" s="1">
        <v>12.96</v>
      </c>
      <c r="D793" s="1">
        <v>0.93</v>
      </c>
      <c r="E793" s="1" t="s">
        <v>115</v>
      </c>
      <c r="F793" s="1" t="s">
        <v>115</v>
      </c>
      <c r="G793" s="1" t="s">
        <v>115</v>
      </c>
      <c r="H793" s="1" t="str">
        <f>VLOOKUP(F793,Countries!$A$1:$B$161,2,0)</f>
        <v>Switzerland</v>
      </c>
    </row>
    <row r="794" spans="1:8" x14ac:dyDescent="0.3">
      <c r="A794" s="3">
        <v>46262.37636574074</v>
      </c>
      <c r="B794" s="1">
        <v>2.99</v>
      </c>
      <c r="C794" s="1">
        <v>2.57</v>
      </c>
      <c r="D794" s="1">
        <v>0.38</v>
      </c>
      <c r="E794" s="1" t="s">
        <v>135</v>
      </c>
      <c r="F794" s="1" t="s">
        <v>135</v>
      </c>
      <c r="G794" s="1" t="s">
        <v>135</v>
      </c>
      <c r="H794" s="1" t="str">
        <f>VLOOKUP(F794,Countries!$A$1:$B$161,2,0)</f>
        <v>Kuwait</v>
      </c>
    </row>
    <row r="795" spans="1:8" x14ac:dyDescent="0.3">
      <c r="A795" s="3">
        <v>46262.368796296287</v>
      </c>
      <c r="B795" s="1">
        <v>10.62</v>
      </c>
      <c r="C795" s="1">
        <v>9.1199999999999992</v>
      </c>
      <c r="D795" s="1">
        <v>0.73</v>
      </c>
      <c r="E795" s="1" t="s">
        <v>113</v>
      </c>
      <c r="F795" s="1" t="s">
        <v>113</v>
      </c>
      <c r="G795" s="1" t="s">
        <v>113</v>
      </c>
      <c r="H795" s="1" t="str">
        <f>VLOOKUP(F795,Countries!$A$1:$B$161,2,0)</f>
        <v>United States of America</v>
      </c>
    </row>
    <row r="796" spans="1:8" x14ac:dyDescent="0.3">
      <c r="A796" s="3">
        <v>46262.363078703696</v>
      </c>
      <c r="B796" s="1">
        <v>7.39</v>
      </c>
      <c r="C796" s="1">
        <v>6.35</v>
      </c>
      <c r="D796" s="1">
        <v>0.48</v>
      </c>
      <c r="E796" s="1" t="s">
        <v>147</v>
      </c>
      <c r="F796" s="1" t="s">
        <v>147</v>
      </c>
      <c r="G796" s="1" t="s">
        <v>147</v>
      </c>
      <c r="H796" s="1" t="str">
        <f>VLOOKUP(F796,Countries!$A$1:$B$161,2,0)</f>
        <v>Germany</v>
      </c>
    </row>
    <row r="797" spans="1:8" x14ac:dyDescent="0.3">
      <c r="A797" s="3">
        <v>46262.36041666667</v>
      </c>
      <c r="B797" s="1">
        <v>10.62</v>
      </c>
      <c r="C797" s="1">
        <v>9.1199999999999992</v>
      </c>
      <c r="D797" s="1">
        <v>0.73</v>
      </c>
      <c r="E797" s="1" t="s">
        <v>113</v>
      </c>
      <c r="F797" s="1" t="s">
        <v>113</v>
      </c>
      <c r="G797" s="1" t="s">
        <v>113</v>
      </c>
      <c r="H797" s="1" t="str">
        <f>VLOOKUP(F797,Countries!$A$1:$B$161,2,0)</f>
        <v>United States of America</v>
      </c>
    </row>
    <row r="798" spans="1:8" x14ac:dyDescent="0.3">
      <c r="A798" s="3">
        <v>46262.359039351853</v>
      </c>
      <c r="B798" s="1">
        <v>2.99</v>
      </c>
      <c r="C798" s="1">
        <v>2.57</v>
      </c>
      <c r="D798" s="1">
        <v>0.38</v>
      </c>
      <c r="E798" s="1" t="s">
        <v>113</v>
      </c>
      <c r="F798" s="1" t="s">
        <v>113</v>
      </c>
      <c r="G798" s="1" t="s">
        <v>113</v>
      </c>
      <c r="H798" s="1" t="str">
        <f>VLOOKUP(F798,Countries!$A$1:$B$161,2,0)</f>
        <v>United States of America</v>
      </c>
    </row>
    <row r="799" spans="1:8" x14ac:dyDescent="0.3">
      <c r="A799" s="3">
        <v>46262.351631944453</v>
      </c>
      <c r="B799" s="1">
        <v>10.62</v>
      </c>
      <c r="C799" s="1">
        <v>9.1199999999999992</v>
      </c>
      <c r="D799" s="1">
        <v>0.73</v>
      </c>
      <c r="E799" s="1" t="s">
        <v>113</v>
      </c>
      <c r="F799" s="1" t="s">
        <v>113</v>
      </c>
      <c r="G799" s="1" t="s">
        <v>113</v>
      </c>
      <c r="H799" s="1" t="str">
        <f>VLOOKUP(F799,Countries!$A$1:$B$161,2,0)</f>
        <v>United States of America</v>
      </c>
    </row>
    <row r="800" spans="1:8" x14ac:dyDescent="0.3">
      <c r="A800" s="3">
        <v>46262.333310185182</v>
      </c>
      <c r="B800" s="1">
        <v>10.51</v>
      </c>
      <c r="C800" s="1">
        <v>9.02</v>
      </c>
      <c r="D800" s="1">
        <v>0.72</v>
      </c>
      <c r="E800" s="1" t="s">
        <v>143</v>
      </c>
      <c r="F800" s="1" t="s">
        <v>143</v>
      </c>
      <c r="G800" s="1" t="s">
        <v>143</v>
      </c>
      <c r="H800" s="1" t="str">
        <f>VLOOKUP(F800,Countries!$A$1:$B$161,2,0)</f>
        <v>United Arab Emirates</v>
      </c>
    </row>
    <row r="801" spans="1:8" x14ac:dyDescent="0.3">
      <c r="A801" s="3">
        <v>46262.323784722219</v>
      </c>
      <c r="B801" s="1">
        <v>12.48</v>
      </c>
      <c r="C801" s="1">
        <v>10.71</v>
      </c>
      <c r="D801" s="1">
        <v>0.73</v>
      </c>
      <c r="E801" s="1" t="s">
        <v>119</v>
      </c>
      <c r="F801" s="1" t="s">
        <v>119</v>
      </c>
      <c r="G801" s="1" t="s">
        <v>119</v>
      </c>
      <c r="H801" s="1" t="str">
        <f>VLOOKUP(F801,Countries!$A$1:$B$161,2,0)</f>
        <v>Great Britain (United Kingdom)</v>
      </c>
    </row>
    <row r="802" spans="1:8" x14ac:dyDescent="0.3">
      <c r="A802" s="3">
        <v>46262.319293981483</v>
      </c>
      <c r="B802" s="1">
        <v>12.63</v>
      </c>
      <c r="C802" s="1">
        <v>10.84</v>
      </c>
      <c r="D802" s="1">
        <v>0.82</v>
      </c>
      <c r="E802" s="1" t="s">
        <v>143</v>
      </c>
      <c r="F802" s="1" t="s">
        <v>143</v>
      </c>
      <c r="G802" s="1" t="s">
        <v>143</v>
      </c>
      <c r="H802" s="1" t="str">
        <f>VLOOKUP(F802,Countries!$A$1:$B$161,2,0)</f>
        <v>United Arab Emirates</v>
      </c>
    </row>
    <row r="803" spans="1:8" x14ac:dyDescent="0.3">
      <c r="A803" s="3">
        <v>46262.317418981482</v>
      </c>
      <c r="B803" s="1">
        <v>10.51</v>
      </c>
      <c r="C803" s="1">
        <v>9.02</v>
      </c>
      <c r="D803" s="1">
        <v>0.72</v>
      </c>
      <c r="E803" s="1" t="s">
        <v>143</v>
      </c>
      <c r="F803" s="1" t="s">
        <v>143</v>
      </c>
      <c r="G803" s="1" t="s">
        <v>143</v>
      </c>
      <c r="H803" s="1" t="str">
        <f>VLOOKUP(F803,Countries!$A$1:$B$161,2,0)</f>
        <v>United Arab Emirates</v>
      </c>
    </row>
    <row r="804" spans="1:8" x14ac:dyDescent="0.3">
      <c r="A804" s="3">
        <v>46262.305069444446</v>
      </c>
      <c r="B804" s="1">
        <v>51.93</v>
      </c>
      <c r="C804" s="1">
        <v>44.58</v>
      </c>
      <c r="D804" s="1">
        <v>1.81</v>
      </c>
      <c r="E804" s="1" t="s">
        <v>112</v>
      </c>
      <c r="F804" s="1" t="s">
        <v>112</v>
      </c>
      <c r="G804" s="1" t="s">
        <v>112</v>
      </c>
      <c r="H804" s="1" t="str">
        <f>VLOOKUP(F804,Countries!$A$1:$B$161,2,0)</f>
        <v>Ireland</v>
      </c>
    </row>
    <row r="805" spans="1:8" x14ac:dyDescent="0.3">
      <c r="A805" s="3">
        <v>46262.303935185177</v>
      </c>
      <c r="B805" s="1">
        <v>2.99</v>
      </c>
      <c r="C805" s="1">
        <v>2.57</v>
      </c>
      <c r="D805" s="1">
        <v>0.38</v>
      </c>
      <c r="E805" s="1" t="s">
        <v>113</v>
      </c>
      <c r="F805" s="1" t="s">
        <v>113</v>
      </c>
      <c r="G805" s="1" t="s">
        <v>113</v>
      </c>
      <c r="H805" s="1" t="str">
        <f>VLOOKUP(F805,Countries!$A$1:$B$161,2,0)</f>
        <v>United States of America</v>
      </c>
    </row>
    <row r="806" spans="1:8" x14ac:dyDescent="0.3">
      <c r="A806" s="3">
        <v>46262.301064814812</v>
      </c>
      <c r="B806" s="1">
        <v>3.14</v>
      </c>
      <c r="C806" s="1">
        <v>2.7</v>
      </c>
      <c r="D806" s="1">
        <v>0.39</v>
      </c>
      <c r="E806" s="1" t="s">
        <v>143</v>
      </c>
      <c r="F806" s="1" t="s">
        <v>143</v>
      </c>
      <c r="G806" s="1" t="s">
        <v>143</v>
      </c>
      <c r="H806" s="1" t="str">
        <f>VLOOKUP(F806,Countries!$A$1:$B$161,2,0)</f>
        <v>United Arab Emirates</v>
      </c>
    </row>
    <row r="807" spans="1:8" x14ac:dyDescent="0.3">
      <c r="A807" s="3">
        <v>46262.299270833333</v>
      </c>
      <c r="B807" s="1">
        <v>2.11</v>
      </c>
      <c r="C807" s="1">
        <v>1.81</v>
      </c>
      <c r="D807" s="1">
        <v>0.35</v>
      </c>
      <c r="E807" s="1" t="s">
        <v>113</v>
      </c>
      <c r="F807" s="1" t="s">
        <v>113</v>
      </c>
      <c r="G807" s="1" t="s">
        <v>113</v>
      </c>
      <c r="H807" s="1" t="str">
        <f>VLOOKUP(F807,Countries!$A$1:$B$161,2,0)</f>
        <v>United States of America</v>
      </c>
    </row>
    <row r="808" spans="1:8" x14ac:dyDescent="0.3">
      <c r="A808" s="3">
        <v>46262.295497685183</v>
      </c>
      <c r="B808" s="1">
        <v>7.67</v>
      </c>
      <c r="C808" s="1">
        <v>6.58</v>
      </c>
      <c r="D808" s="1">
        <v>0.48</v>
      </c>
      <c r="E808" s="1" t="s">
        <v>124</v>
      </c>
      <c r="F808" s="1" t="s">
        <v>124</v>
      </c>
      <c r="G808" s="1" t="s">
        <v>124</v>
      </c>
      <c r="H808" s="1" t="str">
        <f>VLOOKUP(F808,Countries!$A$1:$B$161,2,0)</f>
        <v>Italy</v>
      </c>
    </row>
    <row r="809" spans="1:8" x14ac:dyDescent="0.3">
      <c r="A809" s="3">
        <v>46262.292974537027</v>
      </c>
      <c r="B809" s="1">
        <v>14.77</v>
      </c>
      <c r="C809" s="1">
        <v>12.68</v>
      </c>
      <c r="D809" s="1">
        <v>0.91</v>
      </c>
      <c r="E809" s="1" t="s">
        <v>113</v>
      </c>
      <c r="F809" s="1" t="s">
        <v>113</v>
      </c>
      <c r="G809" s="1" t="s">
        <v>113</v>
      </c>
      <c r="H809" s="1" t="str">
        <f>VLOOKUP(F809,Countries!$A$1:$B$161,2,0)</f>
        <v>United States of America</v>
      </c>
    </row>
    <row r="810" spans="1:8" x14ac:dyDescent="0.3">
      <c r="A810" s="3">
        <v>46262.288784722223</v>
      </c>
      <c r="B810" s="1">
        <v>6.37</v>
      </c>
      <c r="C810" s="1">
        <v>5.47</v>
      </c>
      <c r="D810" s="1">
        <v>0.54</v>
      </c>
      <c r="E810" s="1" t="s">
        <v>113</v>
      </c>
      <c r="F810" s="1" t="s">
        <v>113</v>
      </c>
      <c r="G810" s="1" t="s">
        <v>113</v>
      </c>
      <c r="H810" s="1" t="str">
        <f>VLOOKUP(F810,Countries!$A$1:$B$161,2,0)</f>
        <v>United States of America</v>
      </c>
    </row>
    <row r="811" spans="1:8" x14ac:dyDescent="0.3">
      <c r="A811" s="3">
        <v>46262.280613425923</v>
      </c>
      <c r="B811" s="1">
        <v>2.99</v>
      </c>
      <c r="C811" s="1">
        <v>2.57</v>
      </c>
      <c r="D811" s="1">
        <v>0.38</v>
      </c>
      <c r="E811" s="1" t="s">
        <v>113</v>
      </c>
      <c r="F811" s="1" t="s">
        <v>129</v>
      </c>
      <c r="G811" s="1" t="s">
        <v>129</v>
      </c>
      <c r="H811" s="1" t="str">
        <f>VLOOKUP(F811,Countries!$A$1:$B$161,2,0)</f>
        <v>Qatar</v>
      </c>
    </row>
    <row r="812" spans="1:8" x14ac:dyDescent="0.3">
      <c r="A812" s="3">
        <v>46262.276296296302</v>
      </c>
      <c r="B812" s="1">
        <v>2.11</v>
      </c>
      <c r="C812" s="1">
        <v>1.81</v>
      </c>
      <c r="D812" s="1">
        <v>0.35</v>
      </c>
      <c r="E812" s="1" t="s">
        <v>113</v>
      </c>
      <c r="F812" s="1" t="s">
        <v>113</v>
      </c>
      <c r="G812" s="1" t="s">
        <v>113</v>
      </c>
      <c r="H812" s="1" t="str">
        <f>VLOOKUP(F812,Countries!$A$1:$B$161,2,0)</f>
        <v>United States of America</v>
      </c>
    </row>
    <row r="813" spans="1:8" x14ac:dyDescent="0.3">
      <c r="A813" s="3">
        <v>46262.274074074077</v>
      </c>
      <c r="B813" s="1">
        <v>10.62</v>
      </c>
      <c r="C813" s="1">
        <v>9.1199999999999992</v>
      </c>
      <c r="D813" s="1">
        <v>0.73</v>
      </c>
      <c r="E813" s="1" t="s">
        <v>113</v>
      </c>
      <c r="F813" s="1" t="s">
        <v>113</v>
      </c>
      <c r="G813" s="1" t="s">
        <v>113</v>
      </c>
      <c r="H813" s="1" t="str">
        <f>VLOOKUP(F813,Countries!$A$1:$B$161,2,0)</f>
        <v>United States of America</v>
      </c>
    </row>
    <row r="814" spans="1:8" x14ac:dyDescent="0.3">
      <c r="A814" s="3">
        <v>46262.262673611112</v>
      </c>
      <c r="B814" s="1">
        <v>6.37</v>
      </c>
      <c r="C814" s="1">
        <v>5.47</v>
      </c>
      <c r="D814" s="1">
        <v>0.54</v>
      </c>
      <c r="E814" s="1" t="s">
        <v>113</v>
      </c>
      <c r="F814" s="1" t="s">
        <v>113</v>
      </c>
      <c r="G814" s="1" t="s">
        <v>113</v>
      </c>
      <c r="H814" s="1" t="str">
        <f>VLOOKUP(F814,Countries!$A$1:$B$161,2,0)</f>
        <v>United States of America</v>
      </c>
    </row>
    <row r="815" spans="1:8" x14ac:dyDescent="0.3">
      <c r="A815" s="3">
        <v>46262.260740740741</v>
      </c>
      <c r="B815" s="1">
        <v>14.77</v>
      </c>
      <c r="C815" s="1">
        <v>12.68</v>
      </c>
      <c r="D815" s="1">
        <v>0.91</v>
      </c>
      <c r="E815" s="1" t="s">
        <v>113</v>
      </c>
      <c r="F815" s="1" t="s">
        <v>113</v>
      </c>
      <c r="G815" s="1" t="s">
        <v>113</v>
      </c>
      <c r="H815" s="1" t="str">
        <f>VLOOKUP(F815,Countries!$A$1:$B$161,2,0)</f>
        <v>United States of America</v>
      </c>
    </row>
    <row r="816" spans="1:8" x14ac:dyDescent="0.3">
      <c r="A816" s="3">
        <v>46262.260138888887</v>
      </c>
      <c r="B816" s="1">
        <v>1.99</v>
      </c>
      <c r="C816" s="1">
        <v>1.71</v>
      </c>
      <c r="D816" s="1">
        <v>0.34</v>
      </c>
      <c r="E816" s="1" t="s">
        <v>127</v>
      </c>
      <c r="F816" s="1" t="s">
        <v>127</v>
      </c>
      <c r="G816" s="1" t="s">
        <v>127</v>
      </c>
      <c r="H816" s="1" t="str">
        <f>VLOOKUP(F816,Countries!$A$1:$B$161,2,0)</f>
        <v>Puerto Rico</v>
      </c>
    </row>
    <row r="817" spans="1:8" x14ac:dyDescent="0.3">
      <c r="A817" s="3">
        <v>46262.25886574074</v>
      </c>
      <c r="B817" s="1">
        <v>17.010000000000002</v>
      </c>
      <c r="C817" s="1">
        <v>14.61</v>
      </c>
      <c r="D817" s="1">
        <v>1.01</v>
      </c>
      <c r="E817" s="1" t="s">
        <v>113</v>
      </c>
      <c r="F817" s="1" t="s">
        <v>113</v>
      </c>
      <c r="G817" s="1" t="s">
        <v>113</v>
      </c>
      <c r="H817" s="1" t="str">
        <f>VLOOKUP(F817,Countries!$A$1:$B$161,2,0)</f>
        <v>United States of America</v>
      </c>
    </row>
    <row r="818" spans="1:8" x14ac:dyDescent="0.3">
      <c r="A818" s="3">
        <v>46262.255011574067</v>
      </c>
      <c r="B818" s="1">
        <v>6.37</v>
      </c>
      <c r="C818" s="1">
        <v>5.47</v>
      </c>
      <c r="D818" s="1">
        <v>0.54</v>
      </c>
      <c r="E818" s="1" t="s">
        <v>113</v>
      </c>
      <c r="F818" s="1" t="s">
        <v>113</v>
      </c>
      <c r="G818" s="1" t="s">
        <v>113</v>
      </c>
      <c r="H818" s="1" t="str">
        <f>VLOOKUP(F818,Countries!$A$1:$B$161,2,0)</f>
        <v>United States of America</v>
      </c>
    </row>
    <row r="819" spans="1:8" x14ac:dyDescent="0.3">
      <c r="A819" s="3">
        <v>46262.254490740743</v>
      </c>
      <c r="B819" s="1">
        <v>6.37</v>
      </c>
      <c r="C819" s="1">
        <v>5.47</v>
      </c>
      <c r="D819" s="1">
        <v>0.54</v>
      </c>
      <c r="E819" s="1" t="s">
        <v>113</v>
      </c>
      <c r="F819" s="1" t="s">
        <v>113</v>
      </c>
      <c r="G819" s="1" t="s">
        <v>113</v>
      </c>
      <c r="H819" s="1" t="str">
        <f>VLOOKUP(F819,Countries!$A$1:$B$161,2,0)</f>
        <v>United States of America</v>
      </c>
    </row>
    <row r="820" spans="1:8" x14ac:dyDescent="0.3">
      <c r="A820" s="3">
        <v>46262.251030092593</v>
      </c>
      <c r="B820" s="1">
        <v>2.11</v>
      </c>
      <c r="C820" s="1">
        <v>1.81</v>
      </c>
      <c r="D820" s="1">
        <v>0.35</v>
      </c>
      <c r="E820" s="1" t="s">
        <v>113</v>
      </c>
      <c r="F820" s="1" t="s">
        <v>113</v>
      </c>
      <c r="G820" s="1" t="s">
        <v>113</v>
      </c>
      <c r="H820" s="1" t="str">
        <f>VLOOKUP(F820,Countries!$A$1:$B$161,2,0)</f>
        <v>United States of America</v>
      </c>
    </row>
    <row r="821" spans="1:8" x14ac:dyDescent="0.3">
      <c r="A821" s="3">
        <v>46262.239178240743</v>
      </c>
      <c r="B821" s="1">
        <v>6.37</v>
      </c>
      <c r="C821" s="1">
        <v>5.47</v>
      </c>
      <c r="D821" s="1">
        <v>0.54</v>
      </c>
      <c r="E821" s="1" t="s">
        <v>113</v>
      </c>
      <c r="F821" s="1" t="s">
        <v>113</v>
      </c>
      <c r="G821" s="1" t="s">
        <v>113</v>
      </c>
      <c r="H821" s="1" t="str">
        <f>VLOOKUP(F821,Countries!$A$1:$B$161,2,0)</f>
        <v>United States of America</v>
      </c>
    </row>
    <row r="822" spans="1:8" x14ac:dyDescent="0.3">
      <c r="A822" s="3">
        <v>46262.238611111112</v>
      </c>
      <c r="B822" s="1">
        <v>6.37</v>
      </c>
      <c r="C822" s="1">
        <v>5.47</v>
      </c>
      <c r="D822" s="1">
        <v>0.54</v>
      </c>
      <c r="E822" s="1" t="s">
        <v>113</v>
      </c>
      <c r="F822" s="1" t="s">
        <v>113</v>
      </c>
      <c r="G822" s="1" t="s">
        <v>113</v>
      </c>
      <c r="H822" s="1" t="str">
        <f>VLOOKUP(F822,Countries!$A$1:$B$161,2,0)</f>
        <v>United States of America</v>
      </c>
    </row>
    <row r="823" spans="1:8" x14ac:dyDescent="0.3">
      <c r="A823" s="3">
        <v>46262.235497685193</v>
      </c>
      <c r="B823" s="1">
        <v>10.62</v>
      </c>
      <c r="C823" s="1">
        <v>9.1199999999999992</v>
      </c>
      <c r="D823" s="1">
        <v>0.73</v>
      </c>
      <c r="E823" s="1" t="s">
        <v>113</v>
      </c>
      <c r="F823" s="1" t="s">
        <v>113</v>
      </c>
      <c r="G823" s="1" t="s">
        <v>113</v>
      </c>
      <c r="H823" s="1" t="str">
        <f>VLOOKUP(F823,Countries!$A$1:$B$161,2,0)</f>
        <v>United States of America</v>
      </c>
    </row>
    <row r="824" spans="1:8" x14ac:dyDescent="0.3">
      <c r="A824" s="3">
        <v>46262.234039351853</v>
      </c>
      <c r="B824" s="1">
        <v>12.97</v>
      </c>
      <c r="C824" s="1">
        <v>11.14</v>
      </c>
      <c r="D824" s="1">
        <v>0.64</v>
      </c>
      <c r="E824" s="1" t="s">
        <v>112</v>
      </c>
      <c r="F824" s="1" t="s">
        <v>112</v>
      </c>
      <c r="G824" s="1" t="s">
        <v>112</v>
      </c>
      <c r="H824" s="1" t="str">
        <f>VLOOKUP(F824,Countries!$A$1:$B$161,2,0)</f>
        <v>Ireland</v>
      </c>
    </row>
    <row r="825" spans="1:8" x14ac:dyDescent="0.3">
      <c r="A825" s="3">
        <v>46262.218032407407</v>
      </c>
      <c r="B825" s="1">
        <v>5.99</v>
      </c>
      <c r="C825" s="1">
        <v>5.14</v>
      </c>
      <c r="D825" s="1">
        <v>0.52</v>
      </c>
      <c r="E825" s="1" t="s">
        <v>134</v>
      </c>
      <c r="F825" s="1" t="s">
        <v>134</v>
      </c>
      <c r="G825" s="1" t="s">
        <v>134</v>
      </c>
      <c r="H825" s="1" t="str">
        <f>VLOOKUP(F825,Countries!$A$1:$B$161,2,0)</f>
        <v>Hong Kong</v>
      </c>
    </row>
    <row r="826" spans="1:8" x14ac:dyDescent="0.3">
      <c r="A826" s="3">
        <v>46262.215960648151</v>
      </c>
      <c r="B826" s="1">
        <v>2.99</v>
      </c>
      <c r="C826" s="1">
        <v>2.57</v>
      </c>
      <c r="D826" s="1">
        <v>0.38</v>
      </c>
      <c r="E826" s="1" t="s">
        <v>113</v>
      </c>
      <c r="F826" s="1" t="s">
        <v>113</v>
      </c>
      <c r="G826" s="1" t="s">
        <v>113</v>
      </c>
      <c r="H826" s="1" t="str">
        <f>VLOOKUP(F826,Countries!$A$1:$B$161,2,0)</f>
        <v>United States of America</v>
      </c>
    </row>
    <row r="827" spans="1:8" x14ac:dyDescent="0.3">
      <c r="A827" s="3">
        <v>46262.212627314817</v>
      </c>
      <c r="B827" s="1">
        <v>6.3</v>
      </c>
      <c r="C827" s="1">
        <v>5.41</v>
      </c>
      <c r="D827" s="1">
        <v>0.54</v>
      </c>
      <c r="E827" s="1" t="s">
        <v>132</v>
      </c>
      <c r="F827" s="1" t="s">
        <v>132</v>
      </c>
      <c r="G827" s="1" t="s">
        <v>132</v>
      </c>
      <c r="H827" s="1" t="str">
        <f>VLOOKUP(F827,Countries!$A$1:$B$161,2,0)</f>
        <v>Canada</v>
      </c>
    </row>
    <row r="828" spans="1:8" x14ac:dyDescent="0.3">
      <c r="A828" s="3">
        <v>46262.209756944438</v>
      </c>
      <c r="B828" s="1">
        <v>6.37</v>
      </c>
      <c r="C828" s="1">
        <v>5.47</v>
      </c>
      <c r="D828" s="1">
        <v>0.54</v>
      </c>
      <c r="E828" s="1" t="s">
        <v>113</v>
      </c>
      <c r="F828" s="1" t="s">
        <v>113</v>
      </c>
      <c r="G828" s="1" t="s">
        <v>113</v>
      </c>
      <c r="H828" s="1" t="str">
        <f>VLOOKUP(F828,Countries!$A$1:$B$161,2,0)</f>
        <v>United States of America</v>
      </c>
    </row>
    <row r="829" spans="1:8" x14ac:dyDescent="0.3">
      <c r="A829" s="3">
        <v>46262.202638888892</v>
      </c>
      <c r="B829" s="1">
        <v>6.37</v>
      </c>
      <c r="C829" s="1">
        <v>5.47</v>
      </c>
      <c r="D829" s="1">
        <v>0.54</v>
      </c>
      <c r="E829" s="1" t="s">
        <v>113</v>
      </c>
      <c r="F829" s="1" t="s">
        <v>113</v>
      </c>
      <c r="G829" s="1" t="s">
        <v>113</v>
      </c>
      <c r="H829" s="1" t="str">
        <f>VLOOKUP(F829,Countries!$A$1:$B$161,2,0)</f>
        <v>United States of America</v>
      </c>
    </row>
    <row r="830" spans="1:8" x14ac:dyDescent="0.3">
      <c r="A830" s="3">
        <v>46262.198599537027</v>
      </c>
      <c r="B830" s="1">
        <v>17.36</v>
      </c>
      <c r="C830" s="1">
        <v>14.91</v>
      </c>
      <c r="D830" s="1">
        <v>0.92</v>
      </c>
      <c r="E830" s="1" t="s">
        <v>119</v>
      </c>
      <c r="F830" s="1" t="s">
        <v>119</v>
      </c>
      <c r="G830" s="1" t="s">
        <v>119</v>
      </c>
      <c r="H830" s="1" t="str">
        <f>VLOOKUP(F830,Countries!$A$1:$B$161,2,0)</f>
        <v>Great Britain (United Kingdom)</v>
      </c>
    </row>
    <row r="831" spans="1:8" x14ac:dyDescent="0.3">
      <c r="A831" s="3">
        <v>46262.192511574067</v>
      </c>
      <c r="B831" s="1">
        <v>6.65</v>
      </c>
      <c r="C831" s="1">
        <v>5.71</v>
      </c>
      <c r="D831" s="1">
        <v>0.55000000000000004</v>
      </c>
      <c r="E831" s="1" t="s">
        <v>130</v>
      </c>
      <c r="F831" s="1" t="s">
        <v>130</v>
      </c>
      <c r="G831" s="1" t="s">
        <v>130</v>
      </c>
      <c r="H831" s="1" t="str">
        <f>VLOOKUP(F831,Countries!$A$1:$B$161,2,0)</f>
        <v>Australia</v>
      </c>
    </row>
    <row r="832" spans="1:8" x14ac:dyDescent="0.3">
      <c r="A832" s="3">
        <v>46262.191701388889</v>
      </c>
      <c r="B832" s="1">
        <v>17.010000000000002</v>
      </c>
      <c r="C832" s="1">
        <v>14.6</v>
      </c>
      <c r="D832" s="1">
        <v>1.01</v>
      </c>
      <c r="E832" s="1" t="s">
        <v>113</v>
      </c>
      <c r="F832" s="1" t="s">
        <v>113</v>
      </c>
      <c r="G832" s="1" t="s">
        <v>113</v>
      </c>
      <c r="H832" s="1" t="str">
        <f>VLOOKUP(F832,Countries!$A$1:$B$161,2,0)</f>
        <v>United States of America</v>
      </c>
    </row>
    <row r="833" spans="1:8" x14ac:dyDescent="0.3">
      <c r="A833" s="3">
        <v>46262.176921296297</v>
      </c>
      <c r="B833" s="1">
        <v>10.62</v>
      </c>
      <c r="C833" s="1">
        <v>9.1199999999999992</v>
      </c>
      <c r="D833" s="1">
        <v>0.73</v>
      </c>
      <c r="E833" s="1" t="s">
        <v>113</v>
      </c>
      <c r="F833" s="1" t="s">
        <v>113</v>
      </c>
      <c r="G833" s="1" t="s">
        <v>113</v>
      </c>
      <c r="H833" s="1" t="str">
        <f>VLOOKUP(F833,Countries!$A$1:$B$161,2,0)</f>
        <v>United States of America</v>
      </c>
    </row>
    <row r="834" spans="1:8" x14ac:dyDescent="0.3">
      <c r="A834" s="3">
        <v>46262.165925925918</v>
      </c>
      <c r="B834" s="1">
        <v>29.57</v>
      </c>
      <c r="C834" s="1">
        <v>25.38</v>
      </c>
      <c r="D834" s="1">
        <v>1.58</v>
      </c>
      <c r="E834" s="1" t="s">
        <v>113</v>
      </c>
      <c r="F834" s="1" t="s">
        <v>113</v>
      </c>
      <c r="G834" s="1" t="s">
        <v>113</v>
      </c>
      <c r="H834" s="1" t="str">
        <f>VLOOKUP(F834,Countries!$A$1:$B$161,2,0)</f>
        <v>United States of America</v>
      </c>
    </row>
    <row r="835" spans="1:8" x14ac:dyDescent="0.3">
      <c r="A835" s="3">
        <v>46262.159456018519</v>
      </c>
      <c r="B835" s="1">
        <v>7.04</v>
      </c>
      <c r="C835" s="1">
        <v>6.04</v>
      </c>
      <c r="D835" s="1">
        <v>0.56999999999999995</v>
      </c>
      <c r="E835" s="1" t="s">
        <v>163</v>
      </c>
      <c r="F835" s="1" t="s">
        <v>163</v>
      </c>
      <c r="G835" s="1" t="s">
        <v>163</v>
      </c>
      <c r="H835" s="1" t="str">
        <f>VLOOKUP(F835,Countries!$A$1:$B$161,2,0)</f>
        <v>Saudi Arabia</v>
      </c>
    </row>
    <row r="836" spans="1:8" x14ac:dyDescent="0.3">
      <c r="A836" s="3">
        <v>46262.155069444438</v>
      </c>
      <c r="B836" s="1">
        <v>157.88</v>
      </c>
      <c r="C836" s="1">
        <v>135.51</v>
      </c>
      <c r="D836" s="1">
        <v>7.36</v>
      </c>
      <c r="E836" s="1" t="s">
        <v>143</v>
      </c>
      <c r="F836" s="1" t="s">
        <v>143</v>
      </c>
      <c r="G836" s="1" t="s">
        <v>143</v>
      </c>
      <c r="H836" s="1" t="str">
        <f>VLOOKUP(F836,Countries!$A$1:$B$161,2,0)</f>
        <v>United Arab Emirates</v>
      </c>
    </row>
    <row r="837" spans="1:8" x14ac:dyDescent="0.3">
      <c r="A837" s="3">
        <v>46262.153275462973</v>
      </c>
      <c r="B837" s="1">
        <v>6.37</v>
      </c>
      <c r="C837" s="1">
        <v>5.47</v>
      </c>
      <c r="D837" s="1">
        <v>0.54</v>
      </c>
      <c r="E837" s="1" t="s">
        <v>113</v>
      </c>
      <c r="F837" s="1" t="s">
        <v>113</v>
      </c>
      <c r="G837" s="1" t="s">
        <v>113</v>
      </c>
      <c r="H837" s="1" t="str">
        <f>VLOOKUP(F837,Countries!$A$1:$B$161,2,0)</f>
        <v>United States of America</v>
      </c>
    </row>
    <row r="838" spans="1:8" x14ac:dyDescent="0.3">
      <c r="A838" s="3">
        <v>46262.138958333337</v>
      </c>
      <c r="B838" s="1">
        <v>2.4500000000000002</v>
      </c>
      <c r="C838" s="1">
        <v>2.1</v>
      </c>
      <c r="D838" s="1">
        <v>0.36</v>
      </c>
      <c r="E838" s="1" t="s">
        <v>113</v>
      </c>
      <c r="F838" s="1" t="s">
        <v>113</v>
      </c>
      <c r="G838" s="1" t="s">
        <v>113</v>
      </c>
      <c r="H838" s="1" t="str">
        <f>VLOOKUP(F838,Countries!$A$1:$B$161,2,0)</f>
        <v>United States of America</v>
      </c>
    </row>
    <row r="839" spans="1:8" x14ac:dyDescent="0.3">
      <c r="A839" s="3">
        <v>46262.135000000002</v>
      </c>
      <c r="B839" s="1">
        <v>6.37</v>
      </c>
      <c r="C839" s="1">
        <v>5.47</v>
      </c>
      <c r="D839" s="1">
        <v>0.54</v>
      </c>
      <c r="E839" s="1" t="s">
        <v>113</v>
      </c>
      <c r="F839" s="1" t="s">
        <v>113</v>
      </c>
      <c r="G839" s="1" t="s">
        <v>113</v>
      </c>
      <c r="H839" s="1" t="str">
        <f>VLOOKUP(F839,Countries!$A$1:$B$161,2,0)</f>
        <v>United States of America</v>
      </c>
    </row>
    <row r="840" spans="1:8" x14ac:dyDescent="0.3">
      <c r="A840" s="3">
        <v>46262.134548611109</v>
      </c>
      <c r="B840" s="1">
        <v>2.48</v>
      </c>
      <c r="C840" s="1">
        <v>2.13</v>
      </c>
      <c r="D840" s="1">
        <v>0.34</v>
      </c>
      <c r="E840" s="1" t="s">
        <v>176</v>
      </c>
      <c r="F840" s="1" t="s">
        <v>119</v>
      </c>
      <c r="G840" s="1" t="s">
        <v>119</v>
      </c>
      <c r="H840" s="1" t="str">
        <f>VLOOKUP(F840,Countries!$A$1:$B$161,2,0)</f>
        <v>Great Britain (United Kingdom)</v>
      </c>
    </row>
    <row r="841" spans="1:8" x14ac:dyDescent="0.3">
      <c r="A841" s="3">
        <v>46262.132488425923</v>
      </c>
      <c r="B841" s="1">
        <v>157.88</v>
      </c>
      <c r="C841" s="1">
        <v>135.51</v>
      </c>
      <c r="D841" s="1">
        <v>7.36</v>
      </c>
      <c r="E841" s="1" t="s">
        <v>143</v>
      </c>
      <c r="F841" s="1" t="s">
        <v>143</v>
      </c>
      <c r="G841" s="1" t="s">
        <v>143</v>
      </c>
      <c r="H841" s="1" t="str">
        <f>VLOOKUP(F841,Countries!$A$1:$B$161,2,0)</f>
        <v>United Arab Emirates</v>
      </c>
    </row>
    <row r="842" spans="1:8" x14ac:dyDescent="0.3">
      <c r="A842" s="3">
        <v>46262.123391203713</v>
      </c>
      <c r="B842" s="1">
        <v>3.73</v>
      </c>
      <c r="C842" s="1">
        <v>3.2</v>
      </c>
      <c r="D842" s="1">
        <v>0.39</v>
      </c>
      <c r="E842" s="1" t="s">
        <v>119</v>
      </c>
      <c r="F842" s="1" t="s">
        <v>119</v>
      </c>
      <c r="G842" s="1" t="s">
        <v>119</v>
      </c>
      <c r="H842" s="1" t="str">
        <f>VLOOKUP(F842,Countries!$A$1:$B$161,2,0)</f>
        <v>Great Britain (United Kingdom)</v>
      </c>
    </row>
    <row r="843" spans="1:8" x14ac:dyDescent="0.3">
      <c r="A843" s="3">
        <v>46262.12060185185</v>
      </c>
      <c r="B843" s="1">
        <v>157.88</v>
      </c>
      <c r="C843" s="1">
        <v>135.51</v>
      </c>
      <c r="D843" s="1">
        <v>7.36</v>
      </c>
      <c r="E843" s="1" t="s">
        <v>143</v>
      </c>
      <c r="F843" s="1" t="s">
        <v>143</v>
      </c>
      <c r="G843" s="1" t="s">
        <v>143</v>
      </c>
      <c r="H843" s="1" t="str">
        <f>VLOOKUP(F843,Countries!$A$1:$B$161,2,0)</f>
        <v>United Arab Emirates</v>
      </c>
    </row>
    <row r="844" spans="1:8" x14ac:dyDescent="0.3">
      <c r="A844" s="3">
        <v>46262.118055555547</v>
      </c>
      <c r="B844" s="1">
        <v>6.37</v>
      </c>
      <c r="C844" s="1">
        <v>5.47</v>
      </c>
      <c r="D844" s="1">
        <v>0.54</v>
      </c>
      <c r="E844" s="1" t="s">
        <v>113</v>
      </c>
      <c r="F844" s="1" t="s">
        <v>113</v>
      </c>
      <c r="G844" s="1" t="s">
        <v>113</v>
      </c>
      <c r="H844" s="1" t="str">
        <f>VLOOKUP(F844,Countries!$A$1:$B$161,2,0)</f>
        <v>United States of America</v>
      </c>
    </row>
    <row r="845" spans="1:8" x14ac:dyDescent="0.3">
      <c r="A845" s="3">
        <v>46262.1169212963</v>
      </c>
      <c r="B845" s="1">
        <v>39.770000000000003</v>
      </c>
      <c r="C845" s="1">
        <v>34.14</v>
      </c>
      <c r="D845" s="1">
        <v>2.04</v>
      </c>
      <c r="E845" s="1" t="s">
        <v>114</v>
      </c>
      <c r="F845" s="1" t="s">
        <v>114</v>
      </c>
      <c r="G845" s="1" t="s">
        <v>114</v>
      </c>
      <c r="H845" s="1" t="str">
        <f>VLOOKUP(F845,Countries!$A$1:$B$161,2,0)</f>
        <v>Philippines</v>
      </c>
    </row>
    <row r="846" spans="1:8" x14ac:dyDescent="0.3">
      <c r="A846" s="3">
        <v>46262.116261574083</v>
      </c>
      <c r="B846" s="1">
        <v>6.37</v>
      </c>
      <c r="C846" s="1">
        <v>5.47</v>
      </c>
      <c r="D846" s="1">
        <v>0.54</v>
      </c>
      <c r="E846" s="1" t="s">
        <v>113</v>
      </c>
      <c r="F846" s="1" t="s">
        <v>113</v>
      </c>
      <c r="G846" s="1" t="s">
        <v>113</v>
      </c>
      <c r="H846" s="1" t="str">
        <f>VLOOKUP(F846,Countries!$A$1:$B$161,2,0)</f>
        <v>United States of America</v>
      </c>
    </row>
    <row r="847" spans="1:8" x14ac:dyDescent="0.3">
      <c r="A847" s="3">
        <v>46262.096979166658</v>
      </c>
      <c r="B847" s="1">
        <v>7.48</v>
      </c>
      <c r="C847" s="1">
        <v>6.42</v>
      </c>
      <c r="D847" s="1">
        <v>0.54</v>
      </c>
      <c r="E847" s="1" t="s">
        <v>119</v>
      </c>
      <c r="F847" s="1" t="s">
        <v>119</v>
      </c>
      <c r="G847" s="1" t="s">
        <v>119</v>
      </c>
      <c r="H847" s="1" t="str">
        <f>VLOOKUP(F847,Countries!$A$1:$B$161,2,0)</f>
        <v>Great Britain (United Kingdom)</v>
      </c>
    </row>
    <row r="848" spans="1:8" x14ac:dyDescent="0.3">
      <c r="A848" s="3">
        <v>46262.0940625</v>
      </c>
      <c r="B848" s="1">
        <v>3.99</v>
      </c>
      <c r="C848" s="1">
        <v>3.42</v>
      </c>
      <c r="D848" s="1">
        <v>0.43</v>
      </c>
      <c r="E848" s="1" t="s">
        <v>113</v>
      </c>
      <c r="F848" s="1" t="s">
        <v>113</v>
      </c>
      <c r="G848" s="1" t="s">
        <v>113</v>
      </c>
      <c r="H848" s="1" t="str">
        <f>VLOOKUP(F848,Countries!$A$1:$B$161,2,0)</f>
        <v>United States of America</v>
      </c>
    </row>
    <row r="849" spans="1:8" x14ac:dyDescent="0.3">
      <c r="A849" s="3">
        <v>46262.093726851846</v>
      </c>
      <c r="B849" s="1">
        <v>157.88</v>
      </c>
      <c r="C849" s="1">
        <v>135.51</v>
      </c>
      <c r="D849" s="1">
        <v>7.36</v>
      </c>
      <c r="E849" s="1" t="s">
        <v>143</v>
      </c>
      <c r="F849" s="1" t="s">
        <v>143</v>
      </c>
      <c r="G849" s="1" t="s">
        <v>143</v>
      </c>
      <c r="H849" s="1" t="str">
        <f>VLOOKUP(F849,Countries!$A$1:$B$161,2,0)</f>
        <v>United Arab Emirates</v>
      </c>
    </row>
    <row r="850" spans="1:8" x14ac:dyDescent="0.3">
      <c r="A850" s="3">
        <v>46262.090462962973</v>
      </c>
      <c r="B850" s="1">
        <v>6.37</v>
      </c>
      <c r="C850" s="1">
        <v>5.47</v>
      </c>
      <c r="D850" s="1">
        <v>0.54</v>
      </c>
      <c r="E850" s="1" t="s">
        <v>113</v>
      </c>
      <c r="F850" s="1" t="s">
        <v>113</v>
      </c>
      <c r="G850" s="1" t="s">
        <v>113</v>
      </c>
      <c r="H850" s="1" t="str">
        <f>VLOOKUP(F850,Countries!$A$1:$B$161,2,0)</f>
        <v>United States of America</v>
      </c>
    </row>
    <row r="851" spans="1:8" x14ac:dyDescent="0.3">
      <c r="A851" s="3">
        <v>46262.084594907406</v>
      </c>
      <c r="B851" s="1">
        <v>2.5099999999999998</v>
      </c>
      <c r="C851" s="1">
        <v>2.15</v>
      </c>
      <c r="D851" s="1">
        <v>0.32</v>
      </c>
      <c r="E851" s="1" t="s">
        <v>151</v>
      </c>
      <c r="F851" s="1" t="s">
        <v>151</v>
      </c>
      <c r="G851" s="1" t="s">
        <v>151</v>
      </c>
      <c r="H851" s="1" t="str">
        <f>VLOOKUP(F851,Countries!$A$1:$B$161,2,0)</f>
        <v>Netherlands (Holland)</v>
      </c>
    </row>
    <row r="852" spans="1:8" x14ac:dyDescent="0.3">
      <c r="A852" s="3">
        <v>46262.081238425933</v>
      </c>
      <c r="B852" s="1">
        <v>22.18</v>
      </c>
      <c r="C852" s="1">
        <v>19.03</v>
      </c>
      <c r="D852" s="1">
        <v>1.25</v>
      </c>
      <c r="E852" s="1" t="s">
        <v>113</v>
      </c>
      <c r="F852" s="1" t="s">
        <v>113</v>
      </c>
      <c r="G852" s="1" t="s">
        <v>113</v>
      </c>
      <c r="H852" s="1" t="str">
        <f>VLOOKUP(F852,Countries!$A$1:$B$161,2,0)</f>
        <v>United States of America</v>
      </c>
    </row>
    <row r="853" spans="1:8" x14ac:dyDescent="0.3">
      <c r="A853" s="3">
        <v>46262.077951388892</v>
      </c>
      <c r="B853" s="1">
        <v>7.04</v>
      </c>
      <c r="C853" s="1">
        <v>6.04</v>
      </c>
      <c r="D853" s="1">
        <v>0.56999999999999995</v>
      </c>
      <c r="E853" s="1" t="s">
        <v>163</v>
      </c>
      <c r="F853" s="1" t="s">
        <v>163</v>
      </c>
      <c r="G853" s="1" t="s">
        <v>163</v>
      </c>
      <c r="H853" s="1" t="str">
        <f>VLOOKUP(F853,Countries!$A$1:$B$161,2,0)</f>
        <v>Saudi Arabia</v>
      </c>
    </row>
    <row r="854" spans="1:8" x14ac:dyDescent="0.3">
      <c r="A854" s="3">
        <v>46262.075231481482</v>
      </c>
      <c r="B854" s="1">
        <v>10.62</v>
      </c>
      <c r="C854" s="1">
        <v>9.11</v>
      </c>
      <c r="D854" s="1">
        <v>0.73</v>
      </c>
      <c r="E854" s="1" t="s">
        <v>113</v>
      </c>
      <c r="F854" s="1" t="s">
        <v>113</v>
      </c>
      <c r="G854" s="1" t="s">
        <v>113</v>
      </c>
      <c r="H854" s="1" t="str">
        <f>VLOOKUP(F854,Countries!$A$1:$B$161,2,0)</f>
        <v>United States of America</v>
      </c>
    </row>
    <row r="855" spans="1:8" x14ac:dyDescent="0.3">
      <c r="A855" s="3">
        <v>46262.06658564815</v>
      </c>
      <c r="B855" s="1">
        <v>6.37</v>
      </c>
      <c r="C855" s="1">
        <v>5.47</v>
      </c>
      <c r="D855" s="1">
        <v>0.54</v>
      </c>
      <c r="E855" s="1" t="s">
        <v>113</v>
      </c>
      <c r="F855" s="1" t="s">
        <v>113</v>
      </c>
      <c r="G855" s="1" t="s">
        <v>113</v>
      </c>
      <c r="H855" s="1" t="str">
        <f>VLOOKUP(F855,Countries!$A$1:$B$161,2,0)</f>
        <v>United States of America</v>
      </c>
    </row>
    <row r="856" spans="1:8" x14ac:dyDescent="0.3">
      <c r="A856" s="3">
        <v>46262.055844907409</v>
      </c>
      <c r="B856" s="1">
        <v>3.14</v>
      </c>
      <c r="C856" s="1">
        <v>2.69</v>
      </c>
      <c r="D856" s="1">
        <v>0.39</v>
      </c>
      <c r="E856" s="1" t="s">
        <v>132</v>
      </c>
      <c r="F856" s="1" t="s">
        <v>132</v>
      </c>
      <c r="G856" s="1" t="s">
        <v>132</v>
      </c>
      <c r="H856" s="1" t="str">
        <f>VLOOKUP(F856,Countries!$A$1:$B$161,2,0)</f>
        <v>Canada</v>
      </c>
    </row>
    <row r="857" spans="1:8" x14ac:dyDescent="0.3">
      <c r="A857" s="3">
        <v>46262.038310185177</v>
      </c>
      <c r="B857" s="1">
        <v>17.760000000000002</v>
      </c>
      <c r="C857" s="1">
        <v>15.24</v>
      </c>
      <c r="D857" s="1">
        <v>1.05</v>
      </c>
      <c r="E857" s="1" t="s">
        <v>130</v>
      </c>
      <c r="F857" s="1" t="s">
        <v>130</v>
      </c>
      <c r="G857" s="1" t="s">
        <v>130</v>
      </c>
      <c r="H857" s="1" t="str">
        <f>VLOOKUP(F857,Countries!$A$1:$B$161,2,0)</f>
        <v>Australia</v>
      </c>
    </row>
    <row r="858" spans="1:8" x14ac:dyDescent="0.3">
      <c r="A858" s="3">
        <v>46262.03633101852</v>
      </c>
      <c r="B858" s="1">
        <v>2.11</v>
      </c>
      <c r="C858" s="1">
        <v>1.81</v>
      </c>
      <c r="D858" s="1">
        <v>0.35</v>
      </c>
      <c r="E858" s="1" t="s">
        <v>113</v>
      </c>
      <c r="F858" s="1" t="s">
        <v>113</v>
      </c>
      <c r="G858" s="1" t="s">
        <v>113</v>
      </c>
      <c r="H858" s="1" t="str">
        <f>VLOOKUP(F858,Countries!$A$1:$B$161,2,0)</f>
        <v>United States of America</v>
      </c>
    </row>
    <row r="859" spans="1:8" x14ac:dyDescent="0.3">
      <c r="A859" s="3">
        <v>46262.034930555557</v>
      </c>
      <c r="B859" s="1">
        <v>6.37</v>
      </c>
      <c r="C859" s="1">
        <v>5.47</v>
      </c>
      <c r="D859" s="1">
        <v>0.54</v>
      </c>
      <c r="E859" s="1" t="s">
        <v>113</v>
      </c>
      <c r="F859" s="1" t="s">
        <v>113</v>
      </c>
      <c r="G859" s="1" t="s">
        <v>113</v>
      </c>
      <c r="H859" s="1" t="str">
        <f>VLOOKUP(F859,Countries!$A$1:$B$161,2,0)</f>
        <v>United States of America</v>
      </c>
    </row>
    <row r="860" spans="1:8" x14ac:dyDescent="0.3">
      <c r="A860" s="3">
        <v>46262.020949074067</v>
      </c>
      <c r="B860" s="1">
        <v>1.99</v>
      </c>
      <c r="C860" s="1">
        <v>1.71</v>
      </c>
      <c r="D860" s="1">
        <v>0.31</v>
      </c>
      <c r="E860" s="1" t="s">
        <v>116</v>
      </c>
      <c r="F860" s="1" t="s">
        <v>116</v>
      </c>
      <c r="G860" s="1" t="s">
        <v>116</v>
      </c>
      <c r="H860" s="1" t="str">
        <f>VLOOKUP(F860,Countries!$A$1:$B$161,2,0)</f>
        <v>Spain</v>
      </c>
    </row>
    <row r="861" spans="1:8" x14ac:dyDescent="0.3">
      <c r="A861" s="3">
        <v>46262.020694444444</v>
      </c>
      <c r="B861" s="1">
        <v>2.21</v>
      </c>
      <c r="C861" s="1">
        <v>1.9</v>
      </c>
      <c r="D861" s="1">
        <v>0.35</v>
      </c>
      <c r="E861" s="1" t="s">
        <v>130</v>
      </c>
      <c r="F861" s="1" t="s">
        <v>130</v>
      </c>
      <c r="G861" s="1" t="s">
        <v>130</v>
      </c>
      <c r="H861" s="1" t="str">
        <f>VLOOKUP(F861,Countries!$A$1:$B$161,2,0)</f>
        <v>Australia</v>
      </c>
    </row>
    <row r="862" spans="1:8" x14ac:dyDescent="0.3">
      <c r="A862" s="3">
        <v>46262.01966435185</v>
      </c>
      <c r="B862" s="1">
        <v>6.37</v>
      </c>
      <c r="C862" s="1">
        <v>5.47</v>
      </c>
      <c r="D862" s="1">
        <v>0.54</v>
      </c>
      <c r="E862" s="1" t="s">
        <v>113</v>
      </c>
      <c r="F862" s="1" t="s">
        <v>113</v>
      </c>
      <c r="G862" s="1" t="s">
        <v>113</v>
      </c>
      <c r="H862" s="1" t="str">
        <f>VLOOKUP(F862,Countries!$A$1:$B$161,2,0)</f>
        <v>United States of America</v>
      </c>
    </row>
    <row r="863" spans="1:8" x14ac:dyDescent="0.3">
      <c r="A863" s="3">
        <v>46262.018043981479</v>
      </c>
      <c r="B863" s="1">
        <v>1.99</v>
      </c>
      <c r="C863" s="1">
        <v>1.71</v>
      </c>
      <c r="D863" s="1">
        <v>0.34</v>
      </c>
      <c r="E863" s="1" t="s">
        <v>115</v>
      </c>
      <c r="F863" s="1" t="s">
        <v>115</v>
      </c>
      <c r="G863" s="1" t="s">
        <v>115</v>
      </c>
      <c r="H863" s="1" t="str">
        <f>VLOOKUP(F863,Countries!$A$1:$B$161,2,0)</f>
        <v>Switzerland</v>
      </c>
    </row>
    <row r="864" spans="1:8" x14ac:dyDescent="0.3">
      <c r="A864" s="3">
        <v>46262.009699074071</v>
      </c>
      <c r="B864" s="1">
        <v>157.88</v>
      </c>
      <c r="C864" s="1">
        <v>135.47</v>
      </c>
      <c r="D864" s="1">
        <v>7.36</v>
      </c>
      <c r="E864" s="1" t="s">
        <v>143</v>
      </c>
      <c r="F864" s="1" t="s">
        <v>143</v>
      </c>
      <c r="G864" s="1" t="s">
        <v>143</v>
      </c>
      <c r="H864" s="1" t="str">
        <f>VLOOKUP(F864,Countries!$A$1:$B$161,2,0)</f>
        <v>United Arab Emirates</v>
      </c>
    </row>
    <row r="865" spans="1:8" x14ac:dyDescent="0.3">
      <c r="A865" s="3">
        <v>46261.990381944437</v>
      </c>
      <c r="B865" s="1">
        <v>6.65</v>
      </c>
      <c r="C865" s="1">
        <v>5.71</v>
      </c>
      <c r="D865" s="1">
        <v>0.55000000000000004</v>
      </c>
      <c r="E865" s="1" t="s">
        <v>130</v>
      </c>
      <c r="F865" s="1" t="s">
        <v>130</v>
      </c>
      <c r="G865" s="1" t="s">
        <v>130</v>
      </c>
      <c r="H865" s="1" t="str">
        <f>VLOOKUP(F865,Countries!$A$1:$B$161,2,0)</f>
        <v>Australia</v>
      </c>
    </row>
    <row r="866" spans="1:8" x14ac:dyDescent="0.3">
      <c r="A866" s="3">
        <v>46261.978217592587</v>
      </c>
      <c r="B866" s="1">
        <v>3.99</v>
      </c>
      <c r="C866" s="1">
        <v>3.42</v>
      </c>
      <c r="D866" s="1">
        <v>0.43</v>
      </c>
      <c r="E866" s="1" t="s">
        <v>113</v>
      </c>
      <c r="F866" s="1" t="s">
        <v>113</v>
      </c>
      <c r="G866" s="1" t="s">
        <v>113</v>
      </c>
      <c r="H866" s="1" t="str">
        <f>VLOOKUP(F866,Countries!$A$1:$B$161,2,0)</f>
        <v>United States of America</v>
      </c>
    </row>
    <row r="867" spans="1:8" x14ac:dyDescent="0.3">
      <c r="A867" s="3">
        <v>46261.965717592589</v>
      </c>
      <c r="B867" s="1">
        <v>6.37</v>
      </c>
      <c r="C867" s="1">
        <v>5.47</v>
      </c>
      <c r="D867" s="1">
        <v>0.54</v>
      </c>
      <c r="E867" s="1" t="s">
        <v>113</v>
      </c>
      <c r="F867" s="1" t="s">
        <v>113</v>
      </c>
      <c r="G867" s="1" t="s">
        <v>113</v>
      </c>
      <c r="H867" s="1" t="str">
        <f>VLOOKUP(F867,Countries!$A$1:$B$161,2,0)</f>
        <v>United States of America</v>
      </c>
    </row>
    <row r="868" spans="1:8" x14ac:dyDescent="0.3">
      <c r="A868" s="3">
        <v>46261.95921296296</v>
      </c>
      <c r="B868" s="1">
        <v>157.88</v>
      </c>
      <c r="C868" s="1">
        <v>135.47999999999999</v>
      </c>
      <c r="D868" s="1">
        <v>7.36</v>
      </c>
      <c r="E868" s="1" t="s">
        <v>143</v>
      </c>
      <c r="F868" s="1" t="s">
        <v>143</v>
      </c>
      <c r="G868" s="1" t="s">
        <v>143</v>
      </c>
      <c r="H868" s="1" t="str">
        <f>VLOOKUP(F868,Countries!$A$1:$B$161,2,0)</f>
        <v>United Arab Emirates</v>
      </c>
    </row>
    <row r="869" spans="1:8" x14ac:dyDescent="0.3">
      <c r="A869" s="3">
        <v>46261.951215277782</v>
      </c>
      <c r="B869" s="1">
        <v>4.09</v>
      </c>
      <c r="C869" s="1">
        <v>3.51</v>
      </c>
      <c r="D869" s="1">
        <v>0.37</v>
      </c>
      <c r="E869" s="1" t="s">
        <v>177</v>
      </c>
      <c r="F869" s="1" t="s">
        <v>177</v>
      </c>
      <c r="G869" s="1" t="s">
        <v>177</v>
      </c>
      <c r="H869" s="1" t="str">
        <f>VLOOKUP(F869,Countries!$A$1:$B$161,2,0)</f>
        <v>Hungary</v>
      </c>
    </row>
    <row r="870" spans="1:8" x14ac:dyDescent="0.3">
      <c r="A870" s="3">
        <v>46261.936157407406</v>
      </c>
      <c r="B870" s="1">
        <v>7.48</v>
      </c>
      <c r="C870" s="1">
        <v>6.42</v>
      </c>
      <c r="D870" s="1">
        <v>0.48</v>
      </c>
      <c r="E870" s="1" t="s">
        <v>123</v>
      </c>
      <c r="F870" s="1" t="s">
        <v>123</v>
      </c>
      <c r="G870" s="1" t="s">
        <v>123</v>
      </c>
      <c r="H870" s="1" t="str">
        <f>VLOOKUP(F870,Countries!$A$1:$B$161,2,0)</f>
        <v>France</v>
      </c>
    </row>
    <row r="871" spans="1:8" x14ac:dyDescent="0.3">
      <c r="A871" s="3">
        <v>46261.93445601852</v>
      </c>
      <c r="B871" s="1">
        <v>7.48</v>
      </c>
      <c r="C871" s="1">
        <v>6.42</v>
      </c>
      <c r="D871" s="1">
        <v>0.48</v>
      </c>
      <c r="E871" s="1" t="s">
        <v>123</v>
      </c>
      <c r="F871" s="1" t="s">
        <v>123</v>
      </c>
      <c r="G871" s="1" t="s">
        <v>123</v>
      </c>
      <c r="H871" s="1" t="str">
        <f>VLOOKUP(F871,Countries!$A$1:$B$161,2,0)</f>
        <v>France</v>
      </c>
    </row>
    <row r="872" spans="1:8" x14ac:dyDescent="0.3">
      <c r="A872" s="3">
        <v>46261.93408564815</v>
      </c>
      <c r="B872" s="1">
        <v>6.37</v>
      </c>
      <c r="C872" s="1">
        <v>5.47</v>
      </c>
      <c r="D872" s="1">
        <v>0.54</v>
      </c>
      <c r="E872" s="1" t="s">
        <v>113</v>
      </c>
      <c r="F872" s="1" t="s">
        <v>113</v>
      </c>
      <c r="G872" s="1" t="s">
        <v>113</v>
      </c>
      <c r="H872" s="1" t="str">
        <f>VLOOKUP(F872,Countries!$A$1:$B$161,2,0)</f>
        <v>United States of America</v>
      </c>
    </row>
    <row r="873" spans="1:8" x14ac:dyDescent="0.3">
      <c r="A873" s="3">
        <v>46261.933831018519</v>
      </c>
      <c r="B873" s="1">
        <v>12.48</v>
      </c>
      <c r="C873" s="1">
        <v>10.71</v>
      </c>
      <c r="D873" s="1">
        <v>0.62</v>
      </c>
      <c r="E873" s="1" t="s">
        <v>123</v>
      </c>
      <c r="F873" s="1" t="s">
        <v>123</v>
      </c>
      <c r="G873" s="1" t="s">
        <v>123</v>
      </c>
      <c r="H873" s="1" t="str">
        <f>VLOOKUP(F873,Countries!$A$1:$B$161,2,0)</f>
        <v>France</v>
      </c>
    </row>
    <row r="874" spans="1:8" x14ac:dyDescent="0.3">
      <c r="A874" s="3">
        <v>46261.927511574067</v>
      </c>
      <c r="B874" s="1">
        <v>6.37</v>
      </c>
      <c r="C874" s="1">
        <v>5.47</v>
      </c>
      <c r="D874" s="1">
        <v>0.54</v>
      </c>
      <c r="E874" s="1" t="s">
        <v>113</v>
      </c>
      <c r="F874" s="1" t="s">
        <v>113</v>
      </c>
      <c r="G874" s="1" t="s">
        <v>113</v>
      </c>
      <c r="H874" s="1" t="str">
        <f>VLOOKUP(F874,Countries!$A$1:$B$161,2,0)</f>
        <v>United States of America</v>
      </c>
    </row>
    <row r="875" spans="1:8" x14ac:dyDescent="0.3">
      <c r="A875" s="3">
        <v>46261.925497685188</v>
      </c>
      <c r="B875" s="1">
        <v>6.65</v>
      </c>
      <c r="C875" s="1">
        <v>5.71</v>
      </c>
      <c r="D875" s="1">
        <v>0.55000000000000004</v>
      </c>
      <c r="E875" s="1" t="s">
        <v>121</v>
      </c>
      <c r="F875" s="1" t="s">
        <v>121</v>
      </c>
      <c r="G875" s="1" t="s">
        <v>121</v>
      </c>
      <c r="H875" s="1" t="str">
        <f>VLOOKUP(F875,Countries!$A$1:$B$161,2,0)</f>
        <v>Japan</v>
      </c>
    </row>
    <row r="876" spans="1:8" x14ac:dyDescent="0.3">
      <c r="A876" s="3">
        <v>46261.925185185188</v>
      </c>
      <c r="B876" s="1">
        <v>157.88</v>
      </c>
      <c r="C876" s="1">
        <v>135.47999999999999</v>
      </c>
      <c r="D876" s="1">
        <v>7.36</v>
      </c>
      <c r="E876" s="1" t="s">
        <v>143</v>
      </c>
      <c r="F876" s="1" t="s">
        <v>143</v>
      </c>
      <c r="G876" s="1" t="s">
        <v>143</v>
      </c>
      <c r="H876" s="1" t="str">
        <f>VLOOKUP(F876,Countries!$A$1:$B$161,2,0)</f>
        <v>United Arab Emirates</v>
      </c>
    </row>
    <row r="877" spans="1:8" x14ac:dyDescent="0.3">
      <c r="A877" s="3">
        <v>46261.923993055563</v>
      </c>
      <c r="B877" s="1">
        <v>2.99</v>
      </c>
      <c r="C877" s="1">
        <v>2.57</v>
      </c>
      <c r="D877" s="1">
        <v>0.38</v>
      </c>
      <c r="E877" s="1" t="s">
        <v>113</v>
      </c>
      <c r="F877" s="1" t="s">
        <v>113</v>
      </c>
      <c r="G877" s="1" t="s">
        <v>113</v>
      </c>
      <c r="H877" s="1" t="str">
        <f>VLOOKUP(F877,Countries!$A$1:$B$161,2,0)</f>
        <v>United States of America</v>
      </c>
    </row>
    <row r="878" spans="1:8" x14ac:dyDescent="0.3">
      <c r="A878" s="3">
        <v>46261.910983796297</v>
      </c>
      <c r="B878" s="1">
        <v>1.99</v>
      </c>
      <c r="C878" s="1">
        <v>1.71</v>
      </c>
      <c r="D878" s="1">
        <v>0.31</v>
      </c>
      <c r="E878" s="1" t="s">
        <v>178</v>
      </c>
      <c r="F878" s="1" t="s">
        <v>178</v>
      </c>
      <c r="G878" s="1" t="s">
        <v>178</v>
      </c>
      <c r="H878" s="1" t="str">
        <f>VLOOKUP(F878,Countries!$A$1:$B$161,2,0)</f>
        <v>Sweden</v>
      </c>
    </row>
    <row r="879" spans="1:8" x14ac:dyDescent="0.3">
      <c r="A879" s="3">
        <v>46261.908437500002</v>
      </c>
      <c r="B879" s="1">
        <v>6.37</v>
      </c>
      <c r="C879" s="1">
        <v>5.47</v>
      </c>
      <c r="D879" s="1">
        <v>0.54</v>
      </c>
      <c r="E879" s="1" t="s">
        <v>113</v>
      </c>
      <c r="F879" s="1" t="s">
        <v>113</v>
      </c>
      <c r="G879" s="1" t="s">
        <v>113</v>
      </c>
      <c r="H879" s="1" t="str">
        <f>VLOOKUP(F879,Countries!$A$1:$B$161,2,0)</f>
        <v>United States of America</v>
      </c>
    </row>
    <row r="880" spans="1:8" x14ac:dyDescent="0.3">
      <c r="A880" s="3">
        <v>46261.908043981479</v>
      </c>
      <c r="B880" s="1">
        <v>7.48</v>
      </c>
      <c r="C880" s="1">
        <v>6.42</v>
      </c>
      <c r="D880" s="1">
        <v>0.54</v>
      </c>
      <c r="E880" s="1" t="s">
        <v>119</v>
      </c>
      <c r="F880" s="1" t="s">
        <v>119</v>
      </c>
      <c r="G880" s="1" t="s">
        <v>119</v>
      </c>
      <c r="H880" s="1" t="str">
        <f>VLOOKUP(F880,Countries!$A$1:$B$161,2,0)</f>
        <v>Great Britain (United Kingdom)</v>
      </c>
    </row>
    <row r="881" spans="1:8" x14ac:dyDescent="0.3">
      <c r="A881" s="3">
        <v>46261.906180555547</v>
      </c>
      <c r="B881" s="1">
        <v>2.1800000000000002</v>
      </c>
      <c r="C881" s="1">
        <v>1.87</v>
      </c>
      <c r="D881" s="1">
        <v>0.35</v>
      </c>
      <c r="E881" s="1" t="s">
        <v>152</v>
      </c>
      <c r="F881" s="1" t="s">
        <v>152</v>
      </c>
      <c r="G881" s="1" t="s">
        <v>152</v>
      </c>
      <c r="H881" s="1" t="str">
        <f>VLOOKUP(F881,Countries!$A$1:$B$161,2,0)</f>
        <v>Singapore</v>
      </c>
    </row>
    <row r="882" spans="1:8" x14ac:dyDescent="0.3">
      <c r="A882" s="3">
        <v>46261.90079861111</v>
      </c>
      <c r="B882" s="1">
        <v>6.37</v>
      </c>
      <c r="C882" s="1">
        <v>5.47</v>
      </c>
      <c r="D882" s="1">
        <v>0.54</v>
      </c>
      <c r="E882" s="1" t="s">
        <v>113</v>
      </c>
      <c r="F882" s="1" t="s">
        <v>113</v>
      </c>
      <c r="G882" s="1" t="s">
        <v>113</v>
      </c>
      <c r="H882" s="1" t="str">
        <f>VLOOKUP(F882,Countries!$A$1:$B$161,2,0)</f>
        <v>United States of America</v>
      </c>
    </row>
    <row r="883" spans="1:8" x14ac:dyDescent="0.3">
      <c r="A883" s="3">
        <v>46261.899976851862</v>
      </c>
      <c r="B883" s="1">
        <v>42.54</v>
      </c>
      <c r="C883" s="1">
        <v>36.51</v>
      </c>
      <c r="D883" s="1">
        <v>2.17</v>
      </c>
      <c r="E883" s="1" t="s">
        <v>113</v>
      </c>
      <c r="F883" s="1" t="s">
        <v>113</v>
      </c>
      <c r="G883" s="1" t="s">
        <v>113</v>
      </c>
      <c r="H883" s="1" t="str">
        <f>VLOOKUP(F883,Countries!$A$1:$B$161,2,0)</f>
        <v>United States of America</v>
      </c>
    </row>
    <row r="884" spans="1:8" x14ac:dyDescent="0.3">
      <c r="A884" s="3">
        <v>46261.89707175926</v>
      </c>
      <c r="B884" s="1">
        <v>6.37</v>
      </c>
      <c r="C884" s="1">
        <v>5.47</v>
      </c>
      <c r="D884" s="1">
        <v>0.54</v>
      </c>
      <c r="E884" s="1" t="s">
        <v>113</v>
      </c>
      <c r="F884" s="1" t="s">
        <v>113</v>
      </c>
      <c r="G884" s="1" t="s">
        <v>113</v>
      </c>
      <c r="H884" s="1" t="str">
        <f>VLOOKUP(F884,Countries!$A$1:$B$161,2,0)</f>
        <v>United States of America</v>
      </c>
    </row>
    <row r="885" spans="1:8" x14ac:dyDescent="0.3">
      <c r="A885" s="3">
        <v>46261.895324074067</v>
      </c>
      <c r="B885" s="1">
        <v>6.37</v>
      </c>
      <c r="C885" s="1">
        <v>5.47</v>
      </c>
      <c r="D885" s="1">
        <v>0.54</v>
      </c>
      <c r="E885" s="1" t="s">
        <v>113</v>
      </c>
      <c r="F885" s="1" t="s">
        <v>113</v>
      </c>
      <c r="G885" s="1" t="s">
        <v>113</v>
      </c>
      <c r="H885" s="1" t="str">
        <f>VLOOKUP(F885,Countries!$A$1:$B$161,2,0)</f>
        <v>United States of America</v>
      </c>
    </row>
    <row r="886" spans="1:8" x14ac:dyDescent="0.3">
      <c r="A886" s="3">
        <v>46261.894699074073</v>
      </c>
      <c r="B886" s="1">
        <v>10.62</v>
      </c>
      <c r="C886" s="1">
        <v>9.11</v>
      </c>
      <c r="D886" s="1">
        <v>0.73</v>
      </c>
      <c r="E886" s="1" t="s">
        <v>113</v>
      </c>
      <c r="F886" s="1" t="s">
        <v>113</v>
      </c>
      <c r="G886" s="1" t="s">
        <v>113</v>
      </c>
      <c r="H886" s="1" t="str">
        <f>VLOOKUP(F886,Countries!$A$1:$B$161,2,0)</f>
        <v>United States of America</v>
      </c>
    </row>
    <row r="887" spans="1:8" x14ac:dyDescent="0.3">
      <c r="A887" s="3">
        <v>46261.893576388888</v>
      </c>
      <c r="B887" s="1">
        <v>3.69</v>
      </c>
      <c r="C887" s="1">
        <v>3.17</v>
      </c>
      <c r="D887" s="1">
        <v>0.36</v>
      </c>
      <c r="E887" s="1" t="s">
        <v>137</v>
      </c>
      <c r="F887" s="1" t="s">
        <v>137</v>
      </c>
      <c r="G887" s="1" t="s">
        <v>137</v>
      </c>
      <c r="H887" s="1" t="str">
        <f>VLOOKUP(F887,Countries!$A$1:$B$161,2,0)</f>
        <v>Poland</v>
      </c>
    </row>
    <row r="888" spans="1:8" x14ac:dyDescent="0.3">
      <c r="A888" s="3">
        <v>46261.889861111107</v>
      </c>
      <c r="B888" s="1">
        <v>6.65</v>
      </c>
      <c r="C888" s="1">
        <v>5.71</v>
      </c>
      <c r="D888" s="1">
        <v>0.55000000000000004</v>
      </c>
      <c r="E888" s="1" t="s">
        <v>130</v>
      </c>
      <c r="F888" s="1" t="s">
        <v>130</v>
      </c>
      <c r="G888" s="1" t="s">
        <v>130</v>
      </c>
      <c r="H888" s="1" t="str">
        <f>VLOOKUP(F888,Countries!$A$1:$B$161,2,0)</f>
        <v>Australia</v>
      </c>
    </row>
    <row r="889" spans="1:8" x14ac:dyDescent="0.3">
      <c r="A889" s="3">
        <v>46261.888136574067</v>
      </c>
      <c r="B889" s="1">
        <v>2.5099999999999998</v>
      </c>
      <c r="C889" s="1">
        <v>2.15</v>
      </c>
      <c r="D889" s="1">
        <v>0.32</v>
      </c>
      <c r="E889" s="1" t="s">
        <v>151</v>
      </c>
      <c r="F889" s="1" t="s">
        <v>151</v>
      </c>
      <c r="G889" s="1" t="s">
        <v>151</v>
      </c>
      <c r="H889" s="1" t="str">
        <f>VLOOKUP(F889,Countries!$A$1:$B$161,2,0)</f>
        <v>Netherlands (Holland)</v>
      </c>
    </row>
    <row r="890" spans="1:8" x14ac:dyDescent="0.3">
      <c r="A890" s="3">
        <v>46261.88621527778</v>
      </c>
      <c r="B890" s="1">
        <v>1.99</v>
      </c>
      <c r="C890" s="1">
        <v>1.71</v>
      </c>
      <c r="D890" s="1">
        <v>0.31</v>
      </c>
      <c r="E890" s="1" t="s">
        <v>179</v>
      </c>
      <c r="F890" s="1" t="s">
        <v>133</v>
      </c>
      <c r="G890" s="1" t="s">
        <v>133</v>
      </c>
      <c r="H890" s="1" t="str">
        <f>VLOOKUP(F890,Countries!$A$1:$B$161,2,0)</f>
        <v>Denmark</v>
      </c>
    </row>
    <row r="891" spans="1:8" x14ac:dyDescent="0.3">
      <c r="A891" s="3">
        <v>46261.885613425933</v>
      </c>
      <c r="B891" s="1">
        <v>2.5099999999999998</v>
      </c>
      <c r="C891" s="1">
        <v>2.15</v>
      </c>
      <c r="D891" s="1">
        <v>0.32</v>
      </c>
      <c r="E891" s="1" t="s">
        <v>151</v>
      </c>
      <c r="F891" s="1" t="s">
        <v>151</v>
      </c>
      <c r="G891" s="1" t="s">
        <v>151</v>
      </c>
      <c r="H891" s="1" t="str">
        <f>VLOOKUP(F891,Countries!$A$1:$B$161,2,0)</f>
        <v>Netherlands (Holland)</v>
      </c>
    </row>
    <row r="892" spans="1:8" x14ac:dyDescent="0.3">
      <c r="A892" s="3">
        <v>46261.885381944441</v>
      </c>
      <c r="B892" s="1">
        <v>6.37</v>
      </c>
      <c r="C892" s="1">
        <v>5.47</v>
      </c>
      <c r="D892" s="1">
        <v>0.54</v>
      </c>
      <c r="E892" s="1" t="s">
        <v>113</v>
      </c>
      <c r="F892" s="1" t="s">
        <v>113</v>
      </c>
      <c r="G892" s="1" t="s">
        <v>113</v>
      </c>
      <c r="H892" s="1" t="str">
        <f>VLOOKUP(F892,Countries!$A$1:$B$161,2,0)</f>
        <v>United States of America</v>
      </c>
    </row>
    <row r="893" spans="1:8" x14ac:dyDescent="0.3">
      <c r="A893" s="3">
        <v>46261.885138888887</v>
      </c>
      <c r="B893" s="1">
        <v>7.48</v>
      </c>
      <c r="C893" s="1">
        <v>6.42</v>
      </c>
      <c r="D893" s="1">
        <v>0.54</v>
      </c>
      <c r="E893" s="1" t="s">
        <v>119</v>
      </c>
      <c r="F893" s="1" t="s">
        <v>119</v>
      </c>
      <c r="G893" s="1" t="s">
        <v>119</v>
      </c>
      <c r="H893" s="1" t="str">
        <f>VLOOKUP(F893,Countries!$A$1:$B$161,2,0)</f>
        <v>Great Britain (United Kingdom)</v>
      </c>
    </row>
    <row r="894" spans="1:8" x14ac:dyDescent="0.3">
      <c r="A894" s="3">
        <v>46261.880277777767</v>
      </c>
      <c r="B894" s="1">
        <v>3.18</v>
      </c>
      <c r="C894" s="1">
        <v>2.73</v>
      </c>
      <c r="D894" s="1">
        <v>0.39</v>
      </c>
      <c r="E894" s="1" t="s">
        <v>113</v>
      </c>
      <c r="F894" s="1" t="s">
        <v>113</v>
      </c>
      <c r="G894" s="1" t="s">
        <v>113</v>
      </c>
      <c r="H894" s="1" t="str">
        <f>VLOOKUP(F894,Countries!$A$1:$B$161,2,0)</f>
        <v>United States of America</v>
      </c>
    </row>
    <row r="895" spans="1:8" x14ac:dyDescent="0.3">
      <c r="A895" s="3">
        <v>46261.877615740741</v>
      </c>
      <c r="B895" s="1">
        <v>2.11</v>
      </c>
      <c r="C895" s="1">
        <v>1.81</v>
      </c>
      <c r="D895" s="1">
        <v>0.35</v>
      </c>
      <c r="E895" s="1" t="s">
        <v>113</v>
      </c>
      <c r="F895" s="1" t="s">
        <v>113</v>
      </c>
      <c r="G895" s="1" t="s">
        <v>113</v>
      </c>
      <c r="H895" s="1" t="str">
        <f>VLOOKUP(F895,Countries!$A$1:$B$161,2,0)</f>
        <v>United States of America</v>
      </c>
    </row>
    <row r="896" spans="1:8" x14ac:dyDescent="0.3">
      <c r="A896" s="3">
        <v>46261.876736111109</v>
      </c>
      <c r="B896" s="1">
        <v>6.37</v>
      </c>
      <c r="C896" s="1">
        <v>5.47</v>
      </c>
      <c r="D896" s="1">
        <v>0.54</v>
      </c>
      <c r="E896" s="1" t="s">
        <v>113</v>
      </c>
      <c r="F896" s="1" t="s">
        <v>113</v>
      </c>
      <c r="G896" s="1" t="s">
        <v>113</v>
      </c>
      <c r="H896" s="1" t="str">
        <f>VLOOKUP(F896,Countries!$A$1:$B$161,2,0)</f>
        <v>United States of America</v>
      </c>
    </row>
    <row r="897" spans="1:8" x14ac:dyDescent="0.3">
      <c r="A897" s="3">
        <v>46261.873078703713</v>
      </c>
      <c r="B897" s="1">
        <v>17.36</v>
      </c>
      <c r="C897" s="1">
        <v>14.9</v>
      </c>
      <c r="D897" s="1">
        <v>0.92</v>
      </c>
      <c r="E897" s="1" t="s">
        <v>119</v>
      </c>
      <c r="F897" s="1" t="s">
        <v>119</v>
      </c>
      <c r="G897" s="1" t="s">
        <v>119</v>
      </c>
      <c r="H897" s="1" t="str">
        <f>VLOOKUP(F897,Countries!$A$1:$B$161,2,0)</f>
        <v>Great Britain (United Kingdom)</v>
      </c>
    </row>
    <row r="898" spans="1:8" x14ac:dyDescent="0.3">
      <c r="A898" s="3">
        <v>46261.872534722221</v>
      </c>
      <c r="B898" s="1">
        <v>12.48</v>
      </c>
      <c r="C898" s="1">
        <v>10.71</v>
      </c>
      <c r="D898" s="1">
        <v>0.73</v>
      </c>
      <c r="E898" s="1" t="s">
        <v>119</v>
      </c>
      <c r="F898" s="1" t="s">
        <v>119</v>
      </c>
      <c r="G898" s="1" t="s">
        <v>119</v>
      </c>
      <c r="H898" s="1" t="str">
        <f>VLOOKUP(F898,Countries!$A$1:$B$161,2,0)</f>
        <v>Great Britain (United Kingdom)</v>
      </c>
    </row>
    <row r="899" spans="1:8" x14ac:dyDescent="0.3">
      <c r="A899" s="3">
        <v>46261.868773148148</v>
      </c>
      <c r="B899" s="1">
        <v>36.96</v>
      </c>
      <c r="C899" s="1">
        <v>31.73</v>
      </c>
      <c r="D899" s="1">
        <v>1.91</v>
      </c>
      <c r="E899" s="1" t="s">
        <v>113</v>
      </c>
      <c r="F899" s="1" t="s">
        <v>113</v>
      </c>
      <c r="G899" s="1" t="s">
        <v>113</v>
      </c>
      <c r="H899" s="1" t="str">
        <f>VLOOKUP(F899,Countries!$A$1:$B$161,2,0)</f>
        <v>United States of America</v>
      </c>
    </row>
    <row r="900" spans="1:8" x14ac:dyDescent="0.3">
      <c r="A900" s="3">
        <v>46261.866932870369</v>
      </c>
      <c r="B900" s="1">
        <v>7.48</v>
      </c>
      <c r="C900" s="1">
        <v>6.42</v>
      </c>
      <c r="D900" s="1">
        <v>0.54</v>
      </c>
      <c r="E900" s="1" t="s">
        <v>119</v>
      </c>
      <c r="F900" s="1" t="s">
        <v>119</v>
      </c>
      <c r="G900" s="1" t="s">
        <v>119</v>
      </c>
      <c r="H900" s="1" t="str">
        <f>VLOOKUP(F900,Countries!$A$1:$B$161,2,0)</f>
        <v>Great Britain (United Kingdom)</v>
      </c>
    </row>
    <row r="901" spans="1:8" x14ac:dyDescent="0.3">
      <c r="A901" s="3">
        <v>46261.866516203707</v>
      </c>
      <c r="B901" s="1">
        <v>15.43</v>
      </c>
      <c r="C901" s="1">
        <v>13.25</v>
      </c>
      <c r="D901" s="1">
        <v>0.95</v>
      </c>
      <c r="E901" s="1" t="s">
        <v>130</v>
      </c>
      <c r="F901" s="1" t="s">
        <v>130</v>
      </c>
      <c r="G901" s="1" t="s">
        <v>130</v>
      </c>
      <c r="H901" s="1" t="str">
        <f>VLOOKUP(F901,Countries!$A$1:$B$161,2,0)</f>
        <v>Australia</v>
      </c>
    </row>
    <row r="902" spans="1:8" x14ac:dyDescent="0.3">
      <c r="A902" s="3">
        <v>46261.864236111112</v>
      </c>
      <c r="B902" s="1">
        <v>15.44</v>
      </c>
      <c r="C902" s="1">
        <v>13.25</v>
      </c>
      <c r="D902" s="1">
        <v>0.95</v>
      </c>
      <c r="E902" s="1" t="s">
        <v>130</v>
      </c>
      <c r="F902" s="1" t="s">
        <v>130</v>
      </c>
      <c r="G902" s="1" t="s">
        <v>130</v>
      </c>
      <c r="H902" s="1" t="str">
        <f>VLOOKUP(F902,Countries!$A$1:$B$161,2,0)</f>
        <v>Australia</v>
      </c>
    </row>
    <row r="903" spans="1:8" x14ac:dyDescent="0.3">
      <c r="A903" s="3">
        <v>46261.863981481481</v>
      </c>
      <c r="B903" s="1">
        <v>7.77</v>
      </c>
      <c r="C903" s="1">
        <v>6.67</v>
      </c>
      <c r="D903" s="1">
        <v>0.48</v>
      </c>
      <c r="E903" s="1" t="s">
        <v>137</v>
      </c>
      <c r="F903" s="1" t="s">
        <v>137</v>
      </c>
      <c r="G903" s="1" t="s">
        <v>137</v>
      </c>
      <c r="H903" s="1" t="str">
        <f>VLOOKUP(F903,Countries!$A$1:$B$161,2,0)</f>
        <v>Poland</v>
      </c>
    </row>
    <row r="904" spans="1:8" x14ac:dyDescent="0.3">
      <c r="A904" s="3">
        <v>46261.862337962957</v>
      </c>
      <c r="B904" s="1">
        <v>15.43</v>
      </c>
      <c r="C904" s="1">
        <v>13.25</v>
      </c>
      <c r="D904" s="1">
        <v>0.95</v>
      </c>
      <c r="E904" s="1" t="s">
        <v>130</v>
      </c>
      <c r="F904" s="1" t="s">
        <v>130</v>
      </c>
      <c r="G904" s="1" t="s">
        <v>130</v>
      </c>
      <c r="H904" s="1" t="str">
        <f>VLOOKUP(F904,Countries!$A$1:$B$161,2,0)</f>
        <v>Australia</v>
      </c>
    </row>
    <row r="905" spans="1:8" x14ac:dyDescent="0.3">
      <c r="A905" s="3">
        <v>46261.856527777767</v>
      </c>
      <c r="B905" s="1">
        <v>17.010000000000002</v>
      </c>
      <c r="C905" s="1">
        <v>14.6</v>
      </c>
      <c r="D905" s="1">
        <v>1.01</v>
      </c>
      <c r="E905" s="1" t="s">
        <v>113</v>
      </c>
      <c r="F905" s="1" t="s">
        <v>113</v>
      </c>
      <c r="G905" s="1" t="s">
        <v>113</v>
      </c>
      <c r="H905" s="1" t="str">
        <f>VLOOKUP(F905,Countries!$A$1:$B$161,2,0)</f>
        <v>United States of America</v>
      </c>
    </row>
    <row r="906" spans="1:8" x14ac:dyDescent="0.3">
      <c r="A906" s="3">
        <v>46261.849594907413</v>
      </c>
      <c r="B906" s="1">
        <v>14.77</v>
      </c>
      <c r="C906" s="1">
        <v>12.68</v>
      </c>
      <c r="D906" s="1">
        <v>0.91</v>
      </c>
      <c r="E906" s="1" t="s">
        <v>113</v>
      </c>
      <c r="F906" s="1" t="s">
        <v>113</v>
      </c>
      <c r="G906" s="1" t="s">
        <v>113</v>
      </c>
      <c r="H906" s="1" t="str">
        <f>VLOOKUP(F906,Countries!$A$1:$B$161,2,0)</f>
        <v>United States of America</v>
      </c>
    </row>
    <row r="907" spans="1:8" x14ac:dyDescent="0.3">
      <c r="A907" s="3">
        <v>46261.848680555559</v>
      </c>
      <c r="B907" s="1">
        <v>7.48</v>
      </c>
      <c r="C907" s="1">
        <v>6.42</v>
      </c>
      <c r="D907" s="1">
        <v>0.54</v>
      </c>
      <c r="E907" s="1" t="s">
        <v>119</v>
      </c>
      <c r="F907" s="1" t="s">
        <v>119</v>
      </c>
      <c r="G907" s="1" t="s">
        <v>119</v>
      </c>
      <c r="H907" s="1" t="str">
        <f>VLOOKUP(F907,Countries!$A$1:$B$161,2,0)</f>
        <v>Great Britain (United Kingdom)</v>
      </c>
    </row>
    <row r="908" spans="1:8" x14ac:dyDescent="0.3">
      <c r="A908" s="3">
        <v>46261.846377314818</v>
      </c>
      <c r="B908" s="1">
        <v>14.77</v>
      </c>
      <c r="C908" s="1">
        <v>12.68</v>
      </c>
      <c r="D908" s="1">
        <v>0.91</v>
      </c>
      <c r="E908" s="1" t="s">
        <v>113</v>
      </c>
      <c r="F908" s="1" t="s">
        <v>113</v>
      </c>
      <c r="G908" s="1" t="s">
        <v>113</v>
      </c>
      <c r="H908" s="1" t="str">
        <f>VLOOKUP(F908,Countries!$A$1:$B$161,2,0)</f>
        <v>United States of America</v>
      </c>
    </row>
    <row r="909" spans="1:8" x14ac:dyDescent="0.3">
      <c r="A909" s="3">
        <v>46261.845439814817</v>
      </c>
      <c r="B909" s="1">
        <v>6.65</v>
      </c>
      <c r="C909" s="1">
        <v>5.71</v>
      </c>
      <c r="D909" s="1">
        <v>0.55000000000000004</v>
      </c>
      <c r="E909" s="1" t="s">
        <v>113</v>
      </c>
      <c r="F909" s="1" t="s">
        <v>113</v>
      </c>
      <c r="G909" s="1" t="s">
        <v>113</v>
      </c>
      <c r="H909" s="1" t="str">
        <f>VLOOKUP(F909,Countries!$A$1:$B$161,2,0)</f>
        <v>United States of America</v>
      </c>
    </row>
    <row r="910" spans="1:8" x14ac:dyDescent="0.3">
      <c r="A910" s="3">
        <v>46261.829085648147</v>
      </c>
      <c r="B910" s="1">
        <v>6.37</v>
      </c>
      <c r="C910" s="1">
        <v>5.47</v>
      </c>
      <c r="D910" s="1">
        <v>0.54</v>
      </c>
      <c r="E910" s="1" t="s">
        <v>113</v>
      </c>
      <c r="F910" s="1" t="s">
        <v>113</v>
      </c>
      <c r="G910" s="1" t="s">
        <v>113</v>
      </c>
      <c r="H910" s="1" t="str">
        <f>VLOOKUP(F910,Countries!$A$1:$B$161,2,0)</f>
        <v>United States of America</v>
      </c>
    </row>
    <row r="911" spans="1:8" x14ac:dyDescent="0.3">
      <c r="A911" s="3">
        <v>46261.816631944443</v>
      </c>
      <c r="B911" s="1">
        <v>14.77</v>
      </c>
      <c r="C911" s="1">
        <v>12.68</v>
      </c>
      <c r="D911" s="1">
        <v>0.91</v>
      </c>
      <c r="E911" s="1" t="s">
        <v>113</v>
      </c>
      <c r="F911" s="1" t="s">
        <v>113</v>
      </c>
      <c r="G911" s="1" t="s">
        <v>113</v>
      </c>
      <c r="H911" s="1" t="str">
        <f>VLOOKUP(F911,Countries!$A$1:$B$161,2,0)</f>
        <v>United States of America</v>
      </c>
    </row>
    <row r="912" spans="1:8" x14ac:dyDescent="0.3">
      <c r="A912" s="3">
        <v>46261.814108796287</v>
      </c>
      <c r="B912" s="1">
        <v>18.52</v>
      </c>
      <c r="C912" s="1">
        <v>15.9</v>
      </c>
      <c r="D912" s="1">
        <v>0.81</v>
      </c>
      <c r="E912" s="1" t="s">
        <v>178</v>
      </c>
      <c r="F912" s="1" t="s">
        <v>178</v>
      </c>
      <c r="G912" s="1" t="s">
        <v>178</v>
      </c>
      <c r="H912" s="1" t="str">
        <f>VLOOKUP(F912,Countries!$A$1:$B$161,2,0)</f>
        <v>Sweden</v>
      </c>
    </row>
    <row r="913" spans="1:8" x14ac:dyDescent="0.3">
      <c r="A913" s="3">
        <v>46261.810439814813</v>
      </c>
      <c r="B913" s="1">
        <v>6.37</v>
      </c>
      <c r="C913" s="1">
        <v>5.47</v>
      </c>
      <c r="D913" s="1">
        <v>0.54</v>
      </c>
      <c r="E913" s="1" t="s">
        <v>113</v>
      </c>
      <c r="F913" s="1" t="s">
        <v>113</v>
      </c>
      <c r="G913" s="1" t="s">
        <v>113</v>
      </c>
      <c r="H913" s="1" t="str">
        <f>VLOOKUP(F913,Countries!$A$1:$B$161,2,0)</f>
        <v>United States of America</v>
      </c>
    </row>
    <row r="914" spans="1:8" x14ac:dyDescent="0.3">
      <c r="A914" s="3">
        <v>46261.810150462959</v>
      </c>
      <c r="B914" s="1">
        <v>6.3</v>
      </c>
      <c r="C914" s="1">
        <v>5.41</v>
      </c>
      <c r="D914" s="1">
        <v>0.54</v>
      </c>
      <c r="E914" s="1" t="s">
        <v>132</v>
      </c>
      <c r="F914" s="1" t="s">
        <v>132</v>
      </c>
      <c r="G914" s="1" t="s">
        <v>132</v>
      </c>
      <c r="H914" s="1" t="str">
        <f>VLOOKUP(F914,Countries!$A$1:$B$161,2,0)</f>
        <v>Canada</v>
      </c>
    </row>
    <row r="915" spans="1:8" x14ac:dyDescent="0.3">
      <c r="A915" s="3">
        <v>46261.809259259258</v>
      </c>
      <c r="B915" s="1">
        <v>526.29999999999995</v>
      </c>
      <c r="C915" s="1">
        <v>451.79</v>
      </c>
      <c r="D915" s="1">
        <v>23.97</v>
      </c>
      <c r="E915" s="1" t="s">
        <v>143</v>
      </c>
      <c r="F915" s="1" t="s">
        <v>143</v>
      </c>
      <c r="G915" s="1" t="s">
        <v>143</v>
      </c>
      <c r="H915" s="1" t="str">
        <f>VLOOKUP(F915,Countries!$A$1:$B$161,2,0)</f>
        <v>United Arab Emirates</v>
      </c>
    </row>
    <row r="916" spans="1:8" x14ac:dyDescent="0.3">
      <c r="A916" s="3">
        <v>46261.808252314811</v>
      </c>
      <c r="B916" s="1">
        <v>15.95</v>
      </c>
      <c r="C916" s="1">
        <v>13.69</v>
      </c>
      <c r="D916" s="1">
        <v>0.96</v>
      </c>
      <c r="E916" s="1" t="s">
        <v>113</v>
      </c>
      <c r="F916" s="1" t="s">
        <v>113</v>
      </c>
      <c r="G916" s="1" t="s">
        <v>113</v>
      </c>
      <c r="H916" s="1" t="str">
        <f>VLOOKUP(F916,Countries!$A$1:$B$161,2,0)</f>
        <v>United States of America</v>
      </c>
    </row>
    <row r="917" spans="1:8" x14ac:dyDescent="0.3">
      <c r="A917" s="3">
        <v>46261.807199074072</v>
      </c>
      <c r="B917" s="1">
        <v>6.37</v>
      </c>
      <c r="C917" s="1">
        <v>5.47</v>
      </c>
      <c r="D917" s="1">
        <v>0.54</v>
      </c>
      <c r="E917" s="1" t="s">
        <v>113</v>
      </c>
      <c r="F917" s="1" t="s">
        <v>113</v>
      </c>
      <c r="G917" s="1" t="s">
        <v>113</v>
      </c>
      <c r="H917" s="1" t="str">
        <f>VLOOKUP(F917,Countries!$A$1:$B$161,2,0)</f>
        <v>United States of America</v>
      </c>
    </row>
    <row r="918" spans="1:8" x14ac:dyDescent="0.3">
      <c r="A918" s="3">
        <v>46261.803020833337</v>
      </c>
      <c r="B918" s="1">
        <v>13.32</v>
      </c>
      <c r="C918" s="1">
        <v>11.43</v>
      </c>
      <c r="D918" s="1">
        <v>0.65</v>
      </c>
      <c r="E918" s="1" t="s">
        <v>178</v>
      </c>
      <c r="F918" s="1" t="s">
        <v>178</v>
      </c>
      <c r="G918" s="1" t="s">
        <v>178</v>
      </c>
      <c r="H918" s="1" t="str">
        <f>VLOOKUP(F918,Countries!$A$1:$B$161,2,0)</f>
        <v>Sweden</v>
      </c>
    </row>
    <row r="919" spans="1:8" x14ac:dyDescent="0.3">
      <c r="A919" s="3">
        <v>46261.801921296297</v>
      </c>
      <c r="B919" s="1">
        <v>17.010000000000002</v>
      </c>
      <c r="C919" s="1">
        <v>14.6</v>
      </c>
      <c r="D919" s="1">
        <v>1.01</v>
      </c>
      <c r="E919" s="1" t="s">
        <v>113</v>
      </c>
      <c r="F919" s="1" t="s">
        <v>113</v>
      </c>
      <c r="G919" s="1" t="s">
        <v>113</v>
      </c>
      <c r="H919" s="1" t="str">
        <f>VLOOKUP(F919,Countries!$A$1:$B$161,2,0)</f>
        <v>United States of America</v>
      </c>
    </row>
    <row r="920" spans="1:8" x14ac:dyDescent="0.3">
      <c r="A920" s="3">
        <v>46261.797939814824</v>
      </c>
      <c r="B920" s="1">
        <v>1.99</v>
      </c>
      <c r="C920" s="1">
        <v>1.71</v>
      </c>
      <c r="D920" s="1">
        <v>0.34</v>
      </c>
      <c r="E920" s="1" t="s">
        <v>113</v>
      </c>
      <c r="F920" s="1" t="s">
        <v>113</v>
      </c>
      <c r="G920" s="1" t="s">
        <v>113</v>
      </c>
      <c r="H920" s="1" t="str">
        <f>VLOOKUP(F920,Countries!$A$1:$B$161,2,0)</f>
        <v>United States of America</v>
      </c>
    </row>
    <row r="921" spans="1:8" x14ac:dyDescent="0.3">
      <c r="A921" s="3">
        <v>46261.796215277784</v>
      </c>
      <c r="B921" s="1">
        <v>14.77</v>
      </c>
      <c r="C921" s="1">
        <v>12.68</v>
      </c>
      <c r="D921" s="1">
        <v>0.91</v>
      </c>
      <c r="E921" s="1" t="s">
        <v>113</v>
      </c>
      <c r="F921" s="1" t="s">
        <v>113</v>
      </c>
      <c r="G921" s="1" t="s">
        <v>113</v>
      </c>
      <c r="H921" s="1" t="str">
        <f>VLOOKUP(F921,Countries!$A$1:$B$161,2,0)</f>
        <v>United States of America</v>
      </c>
    </row>
    <row r="922" spans="1:8" x14ac:dyDescent="0.3">
      <c r="A922" s="3">
        <v>46261.788136574083</v>
      </c>
      <c r="B922" s="1">
        <v>6.3</v>
      </c>
      <c r="C922" s="1">
        <v>5.41</v>
      </c>
      <c r="D922" s="1">
        <v>0.54</v>
      </c>
      <c r="E922" s="1" t="s">
        <v>143</v>
      </c>
      <c r="F922" s="1" t="s">
        <v>143</v>
      </c>
      <c r="G922" s="1" t="s">
        <v>143</v>
      </c>
      <c r="H922" s="1" t="str">
        <f>VLOOKUP(F922,Countries!$A$1:$B$161,2,0)</f>
        <v>United Arab Emirates</v>
      </c>
    </row>
    <row r="923" spans="1:8" x14ac:dyDescent="0.3">
      <c r="A923" s="3">
        <v>46261.785879629628</v>
      </c>
      <c r="B923" s="1">
        <v>2.11</v>
      </c>
      <c r="C923" s="1">
        <v>1.81</v>
      </c>
      <c r="D923" s="1">
        <v>0.35</v>
      </c>
      <c r="E923" s="1" t="s">
        <v>113</v>
      </c>
      <c r="F923" s="1" t="s">
        <v>113</v>
      </c>
      <c r="G923" s="1" t="s">
        <v>113</v>
      </c>
      <c r="H923" s="1" t="str">
        <f>VLOOKUP(F923,Countries!$A$1:$B$161,2,0)</f>
        <v>United States of America</v>
      </c>
    </row>
    <row r="924" spans="1:8" x14ac:dyDescent="0.3">
      <c r="A924" s="3">
        <v>46261.778692129628</v>
      </c>
      <c r="B924" s="1">
        <v>14.77</v>
      </c>
      <c r="C924" s="1">
        <v>12.68</v>
      </c>
      <c r="D924" s="1">
        <v>0.91</v>
      </c>
      <c r="E924" s="1" t="s">
        <v>113</v>
      </c>
      <c r="F924" s="1" t="s">
        <v>113</v>
      </c>
      <c r="G924" s="1" t="s">
        <v>113</v>
      </c>
      <c r="H924" s="1" t="str">
        <f>VLOOKUP(F924,Countries!$A$1:$B$161,2,0)</f>
        <v>United States of America</v>
      </c>
    </row>
    <row r="925" spans="1:8" x14ac:dyDescent="0.3">
      <c r="A925" s="3">
        <v>46261.776342592602</v>
      </c>
      <c r="B925" s="1">
        <v>7.77</v>
      </c>
      <c r="C925" s="1">
        <v>6.67</v>
      </c>
      <c r="D925" s="1">
        <v>0.48</v>
      </c>
      <c r="E925" s="1" t="s">
        <v>137</v>
      </c>
      <c r="F925" s="1" t="s">
        <v>137</v>
      </c>
      <c r="G925" s="1" t="s">
        <v>137</v>
      </c>
      <c r="H925" s="1" t="str">
        <f>VLOOKUP(F925,Countries!$A$1:$B$161,2,0)</f>
        <v>Poland</v>
      </c>
    </row>
    <row r="926" spans="1:8" x14ac:dyDescent="0.3">
      <c r="A926" s="3">
        <v>46261.774236111109</v>
      </c>
      <c r="B926" s="1">
        <v>7.39</v>
      </c>
      <c r="C926" s="1">
        <v>6.34</v>
      </c>
      <c r="D926" s="1">
        <v>0.48</v>
      </c>
      <c r="E926" s="1" t="s">
        <v>147</v>
      </c>
      <c r="F926" s="1" t="s">
        <v>147</v>
      </c>
      <c r="G926" s="1" t="s">
        <v>147</v>
      </c>
      <c r="H926" s="1" t="str">
        <f>VLOOKUP(F926,Countries!$A$1:$B$161,2,0)</f>
        <v>Germany</v>
      </c>
    </row>
    <row r="927" spans="1:8" x14ac:dyDescent="0.3">
      <c r="A927" s="3">
        <v>46261.771689814806</v>
      </c>
      <c r="B927" s="1">
        <v>10.62</v>
      </c>
      <c r="C927" s="1">
        <v>9.1199999999999992</v>
      </c>
      <c r="D927" s="1">
        <v>0.73</v>
      </c>
      <c r="E927" s="1" t="s">
        <v>113</v>
      </c>
      <c r="F927" s="1" t="s">
        <v>113</v>
      </c>
      <c r="G927" s="1" t="s">
        <v>113</v>
      </c>
      <c r="H927" s="1" t="str">
        <f>VLOOKUP(F927,Countries!$A$1:$B$161,2,0)</f>
        <v>United States of America</v>
      </c>
    </row>
    <row r="928" spans="1:8" x14ac:dyDescent="0.3">
      <c r="A928" s="3">
        <v>46261.770057870373</v>
      </c>
      <c r="B928" s="1">
        <v>14.77</v>
      </c>
      <c r="C928" s="1">
        <v>12.68</v>
      </c>
      <c r="D928" s="1">
        <v>0.91</v>
      </c>
      <c r="E928" s="1" t="s">
        <v>113</v>
      </c>
      <c r="F928" s="1" t="s">
        <v>113</v>
      </c>
      <c r="G928" s="1" t="s">
        <v>113</v>
      </c>
      <c r="H928" s="1" t="str">
        <f>VLOOKUP(F928,Countries!$A$1:$B$161,2,0)</f>
        <v>United States of America</v>
      </c>
    </row>
    <row r="929" spans="1:8" x14ac:dyDescent="0.3">
      <c r="A929" s="3">
        <v>46261.769386574073</v>
      </c>
      <c r="B929" s="1">
        <v>2.99</v>
      </c>
      <c r="C929" s="1">
        <v>2.57</v>
      </c>
      <c r="D929" s="1">
        <v>0.38</v>
      </c>
      <c r="E929" s="1" t="s">
        <v>113</v>
      </c>
      <c r="F929" s="1" t="s">
        <v>113</v>
      </c>
      <c r="G929" s="1" t="s">
        <v>113</v>
      </c>
      <c r="H929" s="1" t="str">
        <f>VLOOKUP(F929,Countries!$A$1:$B$161,2,0)</f>
        <v>United States of America</v>
      </c>
    </row>
    <row r="930" spans="1:8" x14ac:dyDescent="0.3">
      <c r="A930" s="3">
        <v>46261.765208333331</v>
      </c>
      <c r="B930" s="1">
        <v>3.78</v>
      </c>
      <c r="C930" s="1">
        <v>3.24</v>
      </c>
      <c r="D930" s="1">
        <v>0.36</v>
      </c>
      <c r="E930" s="1" t="s">
        <v>116</v>
      </c>
      <c r="F930" s="1" t="s">
        <v>116</v>
      </c>
      <c r="G930" s="1" t="s">
        <v>116</v>
      </c>
      <c r="H930" s="1" t="str">
        <f>VLOOKUP(F930,Countries!$A$1:$B$161,2,0)</f>
        <v>Spain</v>
      </c>
    </row>
    <row r="931" spans="1:8" x14ac:dyDescent="0.3">
      <c r="A931" s="3">
        <v>46261.764560185176</v>
      </c>
      <c r="B931" s="1">
        <v>14.77</v>
      </c>
      <c r="C931" s="1">
        <v>12.68</v>
      </c>
      <c r="D931" s="1">
        <v>0.91</v>
      </c>
      <c r="E931" s="1" t="s">
        <v>113</v>
      </c>
      <c r="F931" s="1" t="s">
        <v>113</v>
      </c>
      <c r="G931" s="1" t="s">
        <v>113</v>
      </c>
      <c r="H931" s="1" t="str">
        <f>VLOOKUP(F931,Countries!$A$1:$B$161,2,0)</f>
        <v>United States of America</v>
      </c>
    </row>
    <row r="932" spans="1:8" x14ac:dyDescent="0.3">
      <c r="A932" s="3">
        <v>46261.762997685182</v>
      </c>
      <c r="B932" s="1">
        <v>2.1800000000000002</v>
      </c>
      <c r="C932" s="1">
        <v>1.87</v>
      </c>
      <c r="D932" s="1">
        <v>0.35</v>
      </c>
      <c r="E932" s="1" t="s">
        <v>152</v>
      </c>
      <c r="F932" s="1" t="s">
        <v>152</v>
      </c>
      <c r="G932" s="1" t="s">
        <v>152</v>
      </c>
      <c r="H932" s="1" t="str">
        <f>VLOOKUP(F932,Countries!$A$1:$B$161,2,0)</f>
        <v>Singapore</v>
      </c>
    </row>
    <row r="933" spans="1:8" x14ac:dyDescent="0.3">
      <c r="A933" s="3">
        <v>46261.759340277778</v>
      </c>
      <c r="B933" s="1">
        <v>2.99</v>
      </c>
      <c r="C933" s="1">
        <v>2.57</v>
      </c>
      <c r="D933" s="1">
        <v>0.38</v>
      </c>
      <c r="E933" s="1" t="s">
        <v>113</v>
      </c>
      <c r="F933" s="1" t="s">
        <v>113</v>
      </c>
      <c r="G933" s="1" t="s">
        <v>113</v>
      </c>
      <c r="H933" s="1" t="str">
        <f>VLOOKUP(F933,Countries!$A$1:$B$161,2,0)</f>
        <v>United States of America</v>
      </c>
    </row>
    <row r="934" spans="1:8" x14ac:dyDescent="0.3">
      <c r="A934" s="3">
        <v>46261.757488425923</v>
      </c>
      <c r="B934" s="1">
        <v>10.65</v>
      </c>
      <c r="C934" s="1">
        <v>9.14</v>
      </c>
      <c r="D934" s="1">
        <v>0.73</v>
      </c>
      <c r="E934" s="1" t="s">
        <v>113</v>
      </c>
      <c r="F934" s="1" t="s">
        <v>113</v>
      </c>
      <c r="G934" s="1" t="s">
        <v>113</v>
      </c>
      <c r="H934" s="1" t="str">
        <f>VLOOKUP(F934,Countries!$A$1:$B$161,2,0)</f>
        <v>United States of America</v>
      </c>
    </row>
    <row r="935" spans="1:8" x14ac:dyDescent="0.3">
      <c r="A935" s="3">
        <v>46261.751527777778</v>
      </c>
      <c r="B935" s="1">
        <v>2.11</v>
      </c>
      <c r="C935" s="1">
        <v>1.81</v>
      </c>
      <c r="D935" s="1">
        <v>0.35</v>
      </c>
      <c r="E935" s="1" t="s">
        <v>113</v>
      </c>
      <c r="F935" s="1" t="s">
        <v>113</v>
      </c>
      <c r="G935" s="1" t="s">
        <v>113</v>
      </c>
      <c r="H935" s="1" t="str">
        <f>VLOOKUP(F935,Countries!$A$1:$B$161,2,0)</f>
        <v>United States of America</v>
      </c>
    </row>
    <row r="936" spans="1:8" x14ac:dyDescent="0.3">
      <c r="A936" s="3">
        <v>46261.747002314813</v>
      </c>
      <c r="B936" s="1">
        <v>15.99</v>
      </c>
      <c r="C936" s="1">
        <v>13.72</v>
      </c>
      <c r="D936" s="1">
        <v>0.97</v>
      </c>
      <c r="E936" s="1" t="s">
        <v>113</v>
      </c>
      <c r="F936" s="1" t="s">
        <v>113</v>
      </c>
      <c r="G936" s="1" t="s">
        <v>113</v>
      </c>
      <c r="H936" s="1" t="str">
        <f>VLOOKUP(F936,Countries!$A$1:$B$161,2,0)</f>
        <v>United States of America</v>
      </c>
    </row>
    <row r="937" spans="1:8" x14ac:dyDescent="0.3">
      <c r="A937" s="3">
        <v>46261.741863425923</v>
      </c>
      <c r="B937" s="1">
        <v>10.62</v>
      </c>
      <c r="C937" s="1">
        <v>9.11</v>
      </c>
      <c r="D937" s="1">
        <v>0.73</v>
      </c>
      <c r="E937" s="1" t="s">
        <v>113</v>
      </c>
      <c r="F937" s="1" t="s">
        <v>113</v>
      </c>
      <c r="G937" s="1" t="s">
        <v>113</v>
      </c>
      <c r="H937" s="1" t="str">
        <f>VLOOKUP(F937,Countries!$A$1:$B$161,2,0)</f>
        <v>United States of America</v>
      </c>
    </row>
    <row r="938" spans="1:8" x14ac:dyDescent="0.3">
      <c r="A938" s="3">
        <v>46261.736967592587</v>
      </c>
      <c r="B938" s="1">
        <v>14.78</v>
      </c>
      <c r="C938" s="1">
        <v>12.68</v>
      </c>
      <c r="D938" s="1">
        <v>0.91</v>
      </c>
      <c r="E938" s="1" t="s">
        <v>113</v>
      </c>
      <c r="F938" s="1" t="s">
        <v>113</v>
      </c>
      <c r="G938" s="1" t="s">
        <v>113</v>
      </c>
      <c r="H938" s="1" t="str">
        <f>VLOOKUP(F938,Countries!$A$1:$B$161,2,0)</f>
        <v>United States of America</v>
      </c>
    </row>
    <row r="939" spans="1:8" x14ac:dyDescent="0.3">
      <c r="A939" s="3">
        <v>46261.736041666663</v>
      </c>
      <c r="B939" s="1">
        <v>17.010000000000002</v>
      </c>
      <c r="C939" s="1">
        <v>14.6</v>
      </c>
      <c r="D939" s="1">
        <v>1.01</v>
      </c>
      <c r="E939" s="1" t="s">
        <v>113</v>
      </c>
      <c r="F939" s="1" t="s">
        <v>113</v>
      </c>
      <c r="G939" s="1" t="s">
        <v>113</v>
      </c>
      <c r="H939" s="1" t="str">
        <f>VLOOKUP(F939,Countries!$A$1:$B$161,2,0)</f>
        <v>United States of America</v>
      </c>
    </row>
    <row r="940" spans="1:8" x14ac:dyDescent="0.3">
      <c r="A940" s="3">
        <v>46261.734756944446</v>
      </c>
      <c r="B940" s="1">
        <v>7.98</v>
      </c>
      <c r="C940" s="1">
        <v>6.85</v>
      </c>
      <c r="D940" s="1">
        <v>0.49</v>
      </c>
      <c r="E940" s="1" t="s">
        <v>116</v>
      </c>
      <c r="F940" s="1" t="s">
        <v>133</v>
      </c>
      <c r="G940" s="1" t="s">
        <v>133</v>
      </c>
      <c r="H940" s="1" t="str">
        <f>VLOOKUP(F940,Countries!$A$1:$B$161,2,0)</f>
        <v>Denmark</v>
      </c>
    </row>
    <row r="941" spans="1:8" x14ac:dyDescent="0.3">
      <c r="A941" s="3">
        <v>46261.729629629634</v>
      </c>
      <c r="B941" s="1">
        <v>14.77</v>
      </c>
      <c r="C941" s="1">
        <v>12.68</v>
      </c>
      <c r="D941" s="1">
        <v>0.91</v>
      </c>
      <c r="E941" s="1" t="s">
        <v>113</v>
      </c>
      <c r="F941" s="1" t="s">
        <v>113</v>
      </c>
      <c r="G941" s="1" t="s">
        <v>113</v>
      </c>
      <c r="H941" s="1" t="str">
        <f>VLOOKUP(F941,Countries!$A$1:$B$161,2,0)</f>
        <v>United States of America</v>
      </c>
    </row>
    <row r="942" spans="1:8" x14ac:dyDescent="0.3">
      <c r="A942" s="3">
        <v>46261.7262962963</v>
      </c>
      <c r="B942" s="1">
        <v>59.03</v>
      </c>
      <c r="C942" s="1">
        <v>50.66</v>
      </c>
      <c r="D942" s="1">
        <v>2.91</v>
      </c>
      <c r="E942" s="1" t="s">
        <v>113</v>
      </c>
      <c r="F942" s="1" t="s">
        <v>113</v>
      </c>
      <c r="G942" s="1" t="s">
        <v>113</v>
      </c>
      <c r="H942" s="1" t="str">
        <f>VLOOKUP(F942,Countries!$A$1:$B$161,2,0)</f>
        <v>United States of America</v>
      </c>
    </row>
    <row r="943" spans="1:8" x14ac:dyDescent="0.3">
      <c r="A943" s="3">
        <v>46261.725219907406</v>
      </c>
      <c r="B943" s="1">
        <v>1.99</v>
      </c>
      <c r="C943" s="1">
        <v>1.71</v>
      </c>
      <c r="D943" s="1">
        <v>0.31</v>
      </c>
      <c r="E943" s="1" t="s">
        <v>124</v>
      </c>
      <c r="F943" s="1" t="s">
        <v>124</v>
      </c>
      <c r="G943" s="1" t="s">
        <v>124</v>
      </c>
      <c r="H943" s="1" t="str">
        <f>VLOOKUP(F943,Countries!$A$1:$B$161,2,0)</f>
        <v>Italy</v>
      </c>
    </row>
    <row r="944" spans="1:8" x14ac:dyDescent="0.3">
      <c r="A944" s="3">
        <v>46261.725069444437</v>
      </c>
      <c r="B944" s="1">
        <v>14.77</v>
      </c>
      <c r="C944" s="1">
        <v>12.68</v>
      </c>
      <c r="D944" s="1">
        <v>0.91</v>
      </c>
      <c r="E944" s="1" t="s">
        <v>113</v>
      </c>
      <c r="F944" s="1" t="s">
        <v>113</v>
      </c>
      <c r="G944" s="1" t="s">
        <v>113</v>
      </c>
      <c r="H944" s="1" t="str">
        <f>VLOOKUP(F944,Countries!$A$1:$B$161,2,0)</f>
        <v>United States of America</v>
      </c>
    </row>
    <row r="945" spans="1:8" x14ac:dyDescent="0.3">
      <c r="A945" s="3">
        <v>46261.716539351852</v>
      </c>
      <c r="B945" s="1">
        <v>6.37</v>
      </c>
      <c r="C945" s="1">
        <v>5.47</v>
      </c>
      <c r="D945" s="1">
        <v>0.54</v>
      </c>
      <c r="E945" s="1" t="s">
        <v>113</v>
      </c>
      <c r="F945" s="1" t="s">
        <v>113</v>
      </c>
      <c r="G945" s="1" t="s">
        <v>113</v>
      </c>
      <c r="H945" s="1" t="str">
        <f>VLOOKUP(F945,Countries!$A$1:$B$161,2,0)</f>
        <v>United States of America</v>
      </c>
    </row>
    <row r="946" spans="1:8" x14ac:dyDescent="0.3">
      <c r="A946" s="3">
        <v>46261.716134259259</v>
      </c>
      <c r="B946" s="1">
        <v>29.57</v>
      </c>
      <c r="C946" s="1">
        <v>25.38</v>
      </c>
      <c r="D946" s="1">
        <v>1.58</v>
      </c>
      <c r="E946" s="1" t="s">
        <v>113</v>
      </c>
      <c r="F946" s="1" t="s">
        <v>113</v>
      </c>
      <c r="G946" s="1" t="s">
        <v>113</v>
      </c>
      <c r="H946" s="1" t="str">
        <f>VLOOKUP(F946,Countries!$A$1:$B$161,2,0)</f>
        <v>United States of America</v>
      </c>
    </row>
    <row r="947" spans="1:8" x14ac:dyDescent="0.3">
      <c r="A947" s="3">
        <v>46261.715011574073</v>
      </c>
      <c r="B947" s="1">
        <v>10.37</v>
      </c>
      <c r="C947" s="1">
        <v>8.9</v>
      </c>
      <c r="D947" s="1">
        <v>0.56000000000000005</v>
      </c>
      <c r="E947" s="1" t="s">
        <v>137</v>
      </c>
      <c r="F947" s="1" t="s">
        <v>137</v>
      </c>
      <c r="G947" s="1" t="s">
        <v>137</v>
      </c>
      <c r="H947" s="1" t="str">
        <f>VLOOKUP(F947,Countries!$A$1:$B$161,2,0)</f>
        <v>Poland</v>
      </c>
    </row>
    <row r="948" spans="1:8" x14ac:dyDescent="0.3">
      <c r="A948" s="3">
        <v>46261.713923611111</v>
      </c>
      <c r="B948" s="1">
        <v>59.03</v>
      </c>
      <c r="C948" s="1">
        <v>50.66</v>
      </c>
      <c r="D948" s="1">
        <v>2.91</v>
      </c>
      <c r="E948" s="1" t="s">
        <v>113</v>
      </c>
      <c r="F948" s="1" t="s">
        <v>113</v>
      </c>
      <c r="G948" s="1" t="s">
        <v>113</v>
      </c>
      <c r="H948" s="1" t="str">
        <f>VLOOKUP(F948,Countries!$A$1:$B$161,2,0)</f>
        <v>United States of America</v>
      </c>
    </row>
    <row r="949" spans="1:8" x14ac:dyDescent="0.3">
      <c r="A949" s="3">
        <v>46261.70925925926</v>
      </c>
      <c r="B949" s="1">
        <v>6.37</v>
      </c>
      <c r="C949" s="1">
        <v>5.47</v>
      </c>
      <c r="D949" s="1">
        <v>0.54</v>
      </c>
      <c r="E949" s="1" t="s">
        <v>113</v>
      </c>
      <c r="F949" s="1" t="s">
        <v>113</v>
      </c>
      <c r="G949" s="1" t="s">
        <v>113</v>
      </c>
      <c r="H949" s="1" t="str">
        <f>VLOOKUP(F949,Countries!$A$1:$B$161,2,0)</f>
        <v>United States of America</v>
      </c>
    </row>
    <row r="950" spans="1:8" x14ac:dyDescent="0.3">
      <c r="A950" s="3">
        <v>46261.706909722219</v>
      </c>
      <c r="B950" s="1">
        <v>10.62</v>
      </c>
      <c r="C950" s="1">
        <v>9.11</v>
      </c>
      <c r="D950" s="1">
        <v>0.73</v>
      </c>
      <c r="E950" s="1" t="s">
        <v>113</v>
      </c>
      <c r="F950" s="1" t="s">
        <v>113</v>
      </c>
      <c r="G950" s="1" t="s">
        <v>113</v>
      </c>
      <c r="H950" s="1" t="str">
        <f>VLOOKUP(F950,Countries!$A$1:$B$161,2,0)</f>
        <v>United States of America</v>
      </c>
    </row>
    <row r="951" spans="1:8" x14ac:dyDescent="0.3">
      <c r="A951" s="3">
        <v>46261.706562500003</v>
      </c>
      <c r="B951" s="1">
        <v>12.97</v>
      </c>
      <c r="C951" s="1">
        <v>11.13</v>
      </c>
      <c r="D951" s="1">
        <v>0.64</v>
      </c>
      <c r="E951" s="1" t="s">
        <v>112</v>
      </c>
      <c r="F951" s="1" t="s">
        <v>112</v>
      </c>
      <c r="G951" s="1" t="s">
        <v>112</v>
      </c>
      <c r="H951" s="1" t="str">
        <f>VLOOKUP(F951,Countries!$A$1:$B$161,2,0)</f>
        <v>Ireland</v>
      </c>
    </row>
    <row r="952" spans="1:8" x14ac:dyDescent="0.3">
      <c r="A952" s="3">
        <v>46261.705740740741</v>
      </c>
      <c r="B952" s="1">
        <v>17.010000000000002</v>
      </c>
      <c r="C952" s="1">
        <v>14.6</v>
      </c>
      <c r="D952" s="1">
        <v>1.01</v>
      </c>
      <c r="E952" s="1" t="s">
        <v>113</v>
      </c>
      <c r="F952" s="1" t="s">
        <v>113</v>
      </c>
      <c r="G952" s="1" t="s">
        <v>113</v>
      </c>
      <c r="H952" s="1" t="str">
        <f>VLOOKUP(F952,Countries!$A$1:$B$161,2,0)</f>
        <v>United States of America</v>
      </c>
    </row>
    <row r="953" spans="1:8" x14ac:dyDescent="0.3">
      <c r="A953" s="3">
        <v>46261.704861111109</v>
      </c>
      <c r="B953" s="1">
        <v>11.1</v>
      </c>
      <c r="C953" s="1">
        <v>9.5299999999999994</v>
      </c>
      <c r="D953" s="1">
        <v>0.75</v>
      </c>
      <c r="E953" s="1" t="s">
        <v>121</v>
      </c>
      <c r="F953" s="1" t="s">
        <v>121</v>
      </c>
      <c r="G953" s="1" t="s">
        <v>121</v>
      </c>
      <c r="H953" s="1" t="str">
        <f>VLOOKUP(F953,Countries!$A$1:$B$161,2,0)</f>
        <v>Japan</v>
      </c>
    </row>
    <row r="954" spans="1:8" x14ac:dyDescent="0.3">
      <c r="A954" s="3">
        <v>46261.70040509259</v>
      </c>
      <c r="B954" s="1">
        <v>14.77</v>
      </c>
      <c r="C954" s="1">
        <v>12.67</v>
      </c>
      <c r="D954" s="1">
        <v>0.91</v>
      </c>
      <c r="E954" s="1" t="s">
        <v>113</v>
      </c>
      <c r="F954" s="1" t="s">
        <v>113</v>
      </c>
      <c r="G954" s="1" t="s">
        <v>113</v>
      </c>
      <c r="H954" s="1" t="str">
        <f>VLOOKUP(F954,Countries!$A$1:$B$161,2,0)</f>
        <v>United States of America</v>
      </c>
    </row>
    <row r="955" spans="1:8" x14ac:dyDescent="0.3">
      <c r="A955" s="3">
        <v>46261.698240740741</v>
      </c>
      <c r="B955" s="1">
        <v>12.97</v>
      </c>
      <c r="C955" s="1">
        <v>11.13</v>
      </c>
      <c r="D955" s="1">
        <v>0.64</v>
      </c>
      <c r="E955" s="1" t="s">
        <v>112</v>
      </c>
      <c r="F955" s="1" t="s">
        <v>112</v>
      </c>
      <c r="G955" s="1" t="s">
        <v>112</v>
      </c>
      <c r="H955" s="1" t="str">
        <f>VLOOKUP(F955,Countries!$A$1:$B$161,2,0)</f>
        <v>Ireland</v>
      </c>
    </row>
    <row r="956" spans="1:8" x14ac:dyDescent="0.3">
      <c r="A956" s="3">
        <v>46261.697754629633</v>
      </c>
      <c r="B956" s="1">
        <v>10.62</v>
      </c>
      <c r="C956" s="1">
        <v>9.11</v>
      </c>
      <c r="D956" s="1">
        <v>0.73</v>
      </c>
      <c r="E956" s="1" t="s">
        <v>113</v>
      </c>
      <c r="F956" s="1" t="s">
        <v>113</v>
      </c>
      <c r="G956" s="1" t="s">
        <v>113</v>
      </c>
      <c r="H956" s="1" t="str">
        <f>VLOOKUP(F956,Countries!$A$1:$B$161,2,0)</f>
        <v>United States of America</v>
      </c>
    </row>
    <row r="957" spans="1:8" x14ac:dyDescent="0.3">
      <c r="A957" s="3">
        <v>46261.69699074074</v>
      </c>
      <c r="B957" s="1">
        <v>11.1</v>
      </c>
      <c r="C957" s="1">
        <v>9.5299999999999994</v>
      </c>
      <c r="D957" s="1">
        <v>0.75</v>
      </c>
      <c r="E957" s="1" t="s">
        <v>121</v>
      </c>
      <c r="F957" s="1" t="s">
        <v>121</v>
      </c>
      <c r="G957" s="1" t="s">
        <v>121</v>
      </c>
      <c r="H957" s="1" t="str">
        <f>VLOOKUP(F957,Countries!$A$1:$B$161,2,0)</f>
        <v>Japan</v>
      </c>
    </row>
    <row r="958" spans="1:8" x14ac:dyDescent="0.3">
      <c r="A958" s="3">
        <v>46261.694976851853</v>
      </c>
      <c r="B958" s="1">
        <v>3.73</v>
      </c>
      <c r="C958" s="1">
        <v>3.2</v>
      </c>
      <c r="D958" s="1">
        <v>0.36</v>
      </c>
      <c r="E958" s="1" t="s">
        <v>123</v>
      </c>
      <c r="F958" s="1" t="s">
        <v>123</v>
      </c>
      <c r="G958" s="1" t="s">
        <v>123</v>
      </c>
      <c r="H958" s="1" t="str">
        <f>VLOOKUP(F958,Countries!$A$1:$B$161,2,0)</f>
        <v>France</v>
      </c>
    </row>
    <row r="959" spans="1:8" x14ac:dyDescent="0.3">
      <c r="A959" s="3">
        <v>46261.69394675926</v>
      </c>
      <c r="B959" s="1">
        <v>6.37</v>
      </c>
      <c r="C959" s="1">
        <v>5.47</v>
      </c>
      <c r="D959" s="1">
        <v>0.54</v>
      </c>
      <c r="E959" s="1" t="s">
        <v>113</v>
      </c>
      <c r="F959" s="1" t="s">
        <v>113</v>
      </c>
      <c r="G959" s="1" t="s">
        <v>113</v>
      </c>
      <c r="H959" s="1" t="str">
        <f>VLOOKUP(F959,Countries!$A$1:$B$161,2,0)</f>
        <v>United States of America</v>
      </c>
    </row>
    <row r="960" spans="1:8" x14ac:dyDescent="0.3">
      <c r="A960" s="3">
        <v>46261.692743055559</v>
      </c>
      <c r="B960" s="1">
        <v>51.93</v>
      </c>
      <c r="C960" s="1">
        <v>44.56</v>
      </c>
      <c r="D960" s="1">
        <v>1.81</v>
      </c>
      <c r="E960" s="1" t="s">
        <v>112</v>
      </c>
      <c r="F960" s="1" t="s">
        <v>112</v>
      </c>
      <c r="G960" s="1" t="s">
        <v>112</v>
      </c>
      <c r="H960" s="1" t="str">
        <f>VLOOKUP(F960,Countries!$A$1:$B$161,2,0)</f>
        <v>Ireland</v>
      </c>
    </row>
    <row r="961" spans="1:8" x14ac:dyDescent="0.3">
      <c r="A961" s="3">
        <v>46261.689293981479</v>
      </c>
      <c r="B961" s="1">
        <v>51.93</v>
      </c>
      <c r="C961" s="1">
        <v>44.56</v>
      </c>
      <c r="D961" s="1">
        <v>1.81</v>
      </c>
      <c r="E961" s="1" t="s">
        <v>112</v>
      </c>
      <c r="F961" s="1" t="s">
        <v>112</v>
      </c>
      <c r="G961" s="1" t="s">
        <v>112</v>
      </c>
      <c r="H961" s="1" t="str">
        <f>VLOOKUP(F961,Countries!$A$1:$B$161,2,0)</f>
        <v>Ireland</v>
      </c>
    </row>
    <row r="962" spans="1:8" x14ac:dyDescent="0.3">
      <c r="A962" s="3">
        <v>46261.688333333332</v>
      </c>
      <c r="B962" s="1">
        <v>3.99</v>
      </c>
      <c r="C962" s="1">
        <v>3.42</v>
      </c>
      <c r="D962" s="1">
        <v>0.43</v>
      </c>
      <c r="E962" s="1" t="s">
        <v>165</v>
      </c>
      <c r="F962" s="1" t="s">
        <v>165</v>
      </c>
      <c r="G962" s="1" t="s">
        <v>165</v>
      </c>
      <c r="H962" s="1" t="str">
        <f>VLOOKUP(F962,Countries!$A$1:$B$161,2,0)</f>
        <v>Israel</v>
      </c>
    </row>
    <row r="963" spans="1:8" x14ac:dyDescent="0.3">
      <c r="A963" s="3">
        <v>46261.687881944446</v>
      </c>
      <c r="B963" s="1">
        <v>14.77</v>
      </c>
      <c r="C963" s="1">
        <v>12.67</v>
      </c>
      <c r="D963" s="1">
        <v>0.91</v>
      </c>
      <c r="E963" s="1" t="s">
        <v>113</v>
      </c>
      <c r="F963" s="1" t="s">
        <v>113</v>
      </c>
      <c r="G963" s="1" t="s">
        <v>113</v>
      </c>
      <c r="H963" s="1" t="str">
        <f>VLOOKUP(F963,Countries!$A$1:$B$161,2,0)</f>
        <v>United States of America</v>
      </c>
    </row>
    <row r="964" spans="1:8" x14ac:dyDescent="0.3">
      <c r="A964" s="3">
        <v>46261.686284722222</v>
      </c>
      <c r="B964" s="1">
        <v>6.37</v>
      </c>
      <c r="C964" s="1">
        <v>5.47</v>
      </c>
      <c r="D964" s="1">
        <v>0.54</v>
      </c>
      <c r="E964" s="1" t="s">
        <v>130</v>
      </c>
      <c r="F964" s="1" t="s">
        <v>130</v>
      </c>
      <c r="G964" s="1" t="s">
        <v>130</v>
      </c>
      <c r="H964" s="1" t="str">
        <f>VLOOKUP(F964,Countries!$A$1:$B$161,2,0)</f>
        <v>Australia</v>
      </c>
    </row>
    <row r="965" spans="1:8" x14ac:dyDescent="0.3">
      <c r="A965" s="3">
        <v>46261.684872685182</v>
      </c>
      <c r="B965" s="1">
        <v>3.88</v>
      </c>
      <c r="C965" s="1">
        <v>3.33</v>
      </c>
      <c r="D965" s="1">
        <v>0.37</v>
      </c>
      <c r="E965" s="1" t="s">
        <v>180</v>
      </c>
      <c r="F965" s="1" t="s">
        <v>180</v>
      </c>
      <c r="G965" s="1" t="s">
        <v>180</v>
      </c>
      <c r="H965" s="1" t="str">
        <f>VLOOKUP(F965,Countries!$A$1:$B$161,2,0)</f>
        <v>Portugal</v>
      </c>
    </row>
    <row r="966" spans="1:8" x14ac:dyDescent="0.3">
      <c r="A966" s="3">
        <v>46261.684849537043</v>
      </c>
      <c r="B966" s="1">
        <v>11.1</v>
      </c>
      <c r="C966" s="1">
        <v>9.5299999999999994</v>
      </c>
      <c r="D966" s="1">
        <v>0.75</v>
      </c>
      <c r="E966" s="1" t="s">
        <v>121</v>
      </c>
      <c r="F966" s="1" t="s">
        <v>121</v>
      </c>
      <c r="G966" s="1" t="s">
        <v>121</v>
      </c>
      <c r="H966" s="1" t="str">
        <f>VLOOKUP(F966,Countries!$A$1:$B$161,2,0)</f>
        <v>Japan</v>
      </c>
    </row>
    <row r="967" spans="1:8" x14ac:dyDescent="0.3">
      <c r="A967" s="3">
        <v>46261.680300925917</v>
      </c>
      <c r="B967" s="1">
        <v>2.11</v>
      </c>
      <c r="C967" s="1">
        <v>1.81</v>
      </c>
      <c r="D967" s="1">
        <v>0.35</v>
      </c>
      <c r="E967" s="1" t="s">
        <v>113</v>
      </c>
      <c r="F967" s="1" t="s">
        <v>113</v>
      </c>
      <c r="G967" s="1" t="s">
        <v>113</v>
      </c>
      <c r="H967" s="1" t="str">
        <f>VLOOKUP(F967,Countries!$A$1:$B$161,2,0)</f>
        <v>United States of America</v>
      </c>
    </row>
    <row r="968" spans="1:8" x14ac:dyDescent="0.3">
      <c r="A968" s="3">
        <v>46261.680127314823</v>
      </c>
      <c r="B968" s="1">
        <v>11.1</v>
      </c>
      <c r="C968" s="1">
        <v>9.5299999999999994</v>
      </c>
      <c r="D968" s="1">
        <v>0.75</v>
      </c>
      <c r="E968" s="1" t="s">
        <v>121</v>
      </c>
      <c r="F968" s="1" t="s">
        <v>121</v>
      </c>
      <c r="G968" s="1" t="s">
        <v>121</v>
      </c>
      <c r="H968" s="1" t="str">
        <f>VLOOKUP(F968,Countries!$A$1:$B$161,2,0)</f>
        <v>Japan</v>
      </c>
    </row>
    <row r="969" spans="1:8" x14ac:dyDescent="0.3">
      <c r="A969" s="3">
        <v>46261.675833333327</v>
      </c>
      <c r="B969" s="1">
        <v>14.77</v>
      </c>
      <c r="C969" s="1">
        <v>12.67</v>
      </c>
      <c r="D969" s="1">
        <v>0.91</v>
      </c>
      <c r="E969" s="1" t="s">
        <v>113</v>
      </c>
      <c r="F969" s="1" t="s">
        <v>113</v>
      </c>
      <c r="G969" s="1" t="s">
        <v>113</v>
      </c>
      <c r="H969" s="1" t="str">
        <f>VLOOKUP(F969,Countries!$A$1:$B$161,2,0)</f>
        <v>United States of America</v>
      </c>
    </row>
    <row r="970" spans="1:8" x14ac:dyDescent="0.3">
      <c r="A970" s="3">
        <v>46261.675555555557</v>
      </c>
      <c r="B970" s="1">
        <v>17.760000000000002</v>
      </c>
      <c r="C970" s="1">
        <v>15.24</v>
      </c>
      <c r="D970" s="1">
        <v>1.05</v>
      </c>
      <c r="E970" s="1" t="s">
        <v>121</v>
      </c>
      <c r="F970" s="1" t="s">
        <v>121</v>
      </c>
      <c r="G970" s="1" t="s">
        <v>121</v>
      </c>
      <c r="H970" s="1" t="str">
        <f>VLOOKUP(F970,Countries!$A$1:$B$161,2,0)</f>
        <v>Japan</v>
      </c>
    </row>
    <row r="971" spans="1:8" x14ac:dyDescent="0.3">
      <c r="A971" s="3">
        <v>46261.6721412037</v>
      </c>
      <c r="B971" s="1">
        <v>3.18</v>
      </c>
      <c r="C971" s="1">
        <v>2.73</v>
      </c>
      <c r="D971" s="1">
        <v>0.39</v>
      </c>
      <c r="E971" s="1" t="s">
        <v>113</v>
      </c>
      <c r="F971" s="1" t="s">
        <v>113</v>
      </c>
      <c r="G971" s="1" t="s">
        <v>113</v>
      </c>
      <c r="H971" s="1" t="str">
        <f>VLOOKUP(F971,Countries!$A$1:$B$161,2,0)</f>
        <v>United States of America</v>
      </c>
    </row>
    <row r="972" spans="1:8" x14ac:dyDescent="0.3">
      <c r="A972" s="3">
        <v>46261.666435185187</v>
      </c>
      <c r="B972" s="1">
        <v>11.1</v>
      </c>
      <c r="C972" s="1">
        <v>9.5299999999999994</v>
      </c>
      <c r="D972" s="1">
        <v>0.75</v>
      </c>
      <c r="E972" s="1" t="s">
        <v>121</v>
      </c>
      <c r="F972" s="1" t="s">
        <v>121</v>
      </c>
      <c r="G972" s="1" t="s">
        <v>121</v>
      </c>
      <c r="H972" s="1" t="str">
        <f>VLOOKUP(F972,Countries!$A$1:$B$161,2,0)</f>
        <v>Japan</v>
      </c>
    </row>
    <row r="973" spans="1:8" x14ac:dyDescent="0.3">
      <c r="A973" s="3">
        <v>46261.66306712963</v>
      </c>
      <c r="B973" s="1">
        <v>15.95</v>
      </c>
      <c r="C973" s="1">
        <v>13.7</v>
      </c>
      <c r="D973" s="1">
        <v>0.97</v>
      </c>
      <c r="E973" s="1" t="s">
        <v>113</v>
      </c>
      <c r="F973" s="1" t="s">
        <v>113</v>
      </c>
      <c r="G973" s="1" t="s">
        <v>113</v>
      </c>
      <c r="H973" s="1" t="str">
        <f>VLOOKUP(F973,Countries!$A$1:$B$161,2,0)</f>
        <v>United States of America</v>
      </c>
    </row>
    <row r="974" spans="1:8" x14ac:dyDescent="0.3">
      <c r="A974" s="3">
        <v>46261.662199074082</v>
      </c>
      <c r="B974" s="1">
        <v>526.29999999999995</v>
      </c>
      <c r="C974" s="1">
        <v>451.91</v>
      </c>
      <c r="D974" s="1">
        <v>23.98</v>
      </c>
      <c r="E974" s="1" t="s">
        <v>143</v>
      </c>
      <c r="F974" s="1" t="s">
        <v>143</v>
      </c>
      <c r="G974" s="1" t="s">
        <v>143</v>
      </c>
      <c r="H974" s="1" t="str">
        <f>VLOOKUP(F974,Countries!$A$1:$B$161,2,0)</f>
        <v>United Arab Emirates</v>
      </c>
    </row>
    <row r="975" spans="1:8" x14ac:dyDescent="0.3">
      <c r="A975" s="3">
        <v>46261.656168981477</v>
      </c>
      <c r="B975" s="1">
        <v>14.77</v>
      </c>
      <c r="C975" s="1">
        <v>12.68</v>
      </c>
      <c r="D975" s="1">
        <v>0.91</v>
      </c>
      <c r="E975" s="1" t="s">
        <v>113</v>
      </c>
      <c r="F975" s="1" t="s">
        <v>113</v>
      </c>
      <c r="G975" s="1" t="s">
        <v>113</v>
      </c>
      <c r="H975" s="1" t="str">
        <f>VLOOKUP(F975,Countries!$A$1:$B$161,2,0)</f>
        <v>United States of America</v>
      </c>
    </row>
    <row r="976" spans="1:8" x14ac:dyDescent="0.3">
      <c r="A976" s="3">
        <v>46261.655266203707</v>
      </c>
      <c r="B976" s="1">
        <v>6.37</v>
      </c>
      <c r="C976" s="1">
        <v>5.47</v>
      </c>
      <c r="D976" s="1">
        <v>0.54</v>
      </c>
      <c r="E976" s="1" t="s">
        <v>113</v>
      </c>
      <c r="F976" s="1" t="s">
        <v>113</v>
      </c>
      <c r="G976" s="1" t="s">
        <v>113</v>
      </c>
      <c r="H976" s="1" t="str">
        <f>VLOOKUP(F976,Countries!$A$1:$B$161,2,0)</f>
        <v>United States of America</v>
      </c>
    </row>
    <row r="977" spans="1:8" x14ac:dyDescent="0.3">
      <c r="A977" s="3">
        <v>46261.651886574073</v>
      </c>
      <c r="B977" s="1">
        <v>10.62</v>
      </c>
      <c r="C977" s="1">
        <v>9.1199999999999992</v>
      </c>
      <c r="D977" s="1">
        <v>0.73</v>
      </c>
      <c r="E977" s="1" t="s">
        <v>113</v>
      </c>
      <c r="F977" s="1" t="s">
        <v>113</v>
      </c>
      <c r="G977" s="1" t="s">
        <v>113</v>
      </c>
      <c r="H977" s="1" t="str">
        <f>VLOOKUP(F977,Countries!$A$1:$B$161,2,0)</f>
        <v>United States of America</v>
      </c>
    </row>
    <row r="978" spans="1:8" x14ac:dyDescent="0.3">
      <c r="A978" s="3">
        <v>46261.648020833331</v>
      </c>
      <c r="B978" s="1">
        <v>10.99</v>
      </c>
      <c r="C978" s="1">
        <v>9.44</v>
      </c>
      <c r="D978" s="1">
        <v>0.75</v>
      </c>
      <c r="E978" s="1" t="s">
        <v>113</v>
      </c>
      <c r="F978" s="1" t="s">
        <v>113</v>
      </c>
      <c r="G978" s="1" t="s">
        <v>113</v>
      </c>
      <c r="H978" s="1" t="str">
        <f>VLOOKUP(F978,Countries!$A$1:$B$161,2,0)</f>
        <v>United States of America</v>
      </c>
    </row>
    <row r="979" spans="1:8" x14ac:dyDescent="0.3">
      <c r="A979" s="3">
        <v>46261.647812499999</v>
      </c>
      <c r="B979" s="1">
        <v>14.89</v>
      </c>
      <c r="C979" s="1">
        <v>12.79</v>
      </c>
      <c r="D979" s="1">
        <v>0.93</v>
      </c>
      <c r="E979" s="1" t="s">
        <v>113</v>
      </c>
      <c r="F979" s="1" t="s">
        <v>113</v>
      </c>
      <c r="G979" s="1" t="s">
        <v>113</v>
      </c>
      <c r="H979" s="1" t="str">
        <f>VLOOKUP(F979,Countries!$A$1:$B$161,2,0)</f>
        <v>United States of America</v>
      </c>
    </row>
    <row r="980" spans="1:8" x14ac:dyDescent="0.3">
      <c r="A980" s="3">
        <v>46261.646273148152</v>
      </c>
      <c r="B980" s="1">
        <v>14.77</v>
      </c>
      <c r="C980" s="1">
        <v>12.68</v>
      </c>
      <c r="D980" s="1">
        <v>0.91</v>
      </c>
      <c r="E980" s="1" t="s">
        <v>113</v>
      </c>
      <c r="F980" s="1" t="s">
        <v>113</v>
      </c>
      <c r="G980" s="1" t="s">
        <v>113</v>
      </c>
      <c r="H980" s="1" t="str">
        <f>VLOOKUP(F980,Countries!$A$1:$B$161,2,0)</f>
        <v>United States of America</v>
      </c>
    </row>
    <row r="981" spans="1:8" x14ac:dyDescent="0.3">
      <c r="A981" s="3">
        <v>46261.644317129627</v>
      </c>
      <c r="B981" s="1">
        <v>6.37</v>
      </c>
      <c r="C981" s="1">
        <v>5.47</v>
      </c>
      <c r="D981" s="1">
        <v>0.54</v>
      </c>
      <c r="E981" s="1" t="s">
        <v>113</v>
      </c>
      <c r="F981" s="1" t="s">
        <v>113</v>
      </c>
      <c r="G981" s="1" t="s">
        <v>113</v>
      </c>
      <c r="H981" s="1" t="str">
        <f>VLOOKUP(F981,Countries!$A$1:$B$161,2,0)</f>
        <v>United States of America</v>
      </c>
    </row>
    <row r="982" spans="1:8" x14ac:dyDescent="0.3">
      <c r="A982" s="3">
        <v>46261.636562500003</v>
      </c>
      <c r="B982" s="1">
        <v>7.48</v>
      </c>
      <c r="C982" s="1">
        <v>6.42</v>
      </c>
      <c r="D982" s="1">
        <v>0.54</v>
      </c>
      <c r="E982" s="1" t="s">
        <v>119</v>
      </c>
      <c r="F982" s="1" t="s">
        <v>119</v>
      </c>
      <c r="G982" s="1" t="s">
        <v>119</v>
      </c>
      <c r="H982" s="1" t="str">
        <f>VLOOKUP(F982,Countries!$A$1:$B$161,2,0)</f>
        <v>Great Britain (United Kingdom)</v>
      </c>
    </row>
    <row r="983" spans="1:8" x14ac:dyDescent="0.3">
      <c r="A983" s="3">
        <v>46261.633993055562</v>
      </c>
      <c r="B983" s="1">
        <v>6.37</v>
      </c>
      <c r="C983" s="1">
        <v>5.47</v>
      </c>
      <c r="D983" s="1">
        <v>0.54</v>
      </c>
      <c r="E983" s="1" t="s">
        <v>113</v>
      </c>
      <c r="F983" s="1" t="s">
        <v>113</v>
      </c>
      <c r="G983" s="1" t="s">
        <v>113</v>
      </c>
      <c r="H983" s="1" t="str">
        <f>VLOOKUP(F983,Countries!$A$1:$B$161,2,0)</f>
        <v>United States of America</v>
      </c>
    </row>
    <row r="984" spans="1:8" x14ac:dyDescent="0.3">
      <c r="A984" s="3">
        <v>46261.633252314823</v>
      </c>
      <c r="B984" s="1">
        <v>14.77</v>
      </c>
      <c r="C984" s="1">
        <v>12.68</v>
      </c>
      <c r="D984" s="1">
        <v>0.91</v>
      </c>
      <c r="E984" s="1" t="s">
        <v>113</v>
      </c>
      <c r="F984" s="1" t="s">
        <v>113</v>
      </c>
      <c r="G984" s="1" t="s">
        <v>113</v>
      </c>
      <c r="H984" s="1" t="str">
        <f>VLOOKUP(F984,Countries!$A$1:$B$161,2,0)</f>
        <v>United States of America</v>
      </c>
    </row>
    <row r="985" spans="1:8" x14ac:dyDescent="0.3">
      <c r="A985" s="3">
        <v>46261.625231481477</v>
      </c>
      <c r="B985" s="1">
        <v>14.77</v>
      </c>
      <c r="C985" s="1">
        <v>12.67</v>
      </c>
      <c r="D985" s="1">
        <v>0.91</v>
      </c>
      <c r="E985" s="1" t="s">
        <v>113</v>
      </c>
      <c r="F985" s="1" t="s">
        <v>113</v>
      </c>
      <c r="G985" s="1" t="s">
        <v>113</v>
      </c>
      <c r="H985" s="1" t="str">
        <f>VLOOKUP(F985,Countries!$A$1:$B$161,2,0)</f>
        <v>United States of America</v>
      </c>
    </row>
    <row r="986" spans="1:8" x14ac:dyDescent="0.3">
      <c r="A986" s="3">
        <v>46261.622048611112</v>
      </c>
      <c r="B986" s="1">
        <v>6.37</v>
      </c>
      <c r="C986" s="1">
        <v>5.47</v>
      </c>
      <c r="D986" s="1">
        <v>0.54</v>
      </c>
      <c r="E986" s="1" t="s">
        <v>113</v>
      </c>
      <c r="F986" s="1" t="s">
        <v>113</v>
      </c>
      <c r="G986" s="1" t="s">
        <v>113</v>
      </c>
      <c r="H986" s="1" t="str">
        <f>VLOOKUP(F986,Countries!$A$1:$B$161,2,0)</f>
        <v>United States of America</v>
      </c>
    </row>
    <row r="987" spans="1:8" x14ac:dyDescent="0.3">
      <c r="A987" s="3">
        <v>46261.614675925928</v>
      </c>
      <c r="B987" s="1">
        <v>7.48</v>
      </c>
      <c r="C987" s="1">
        <v>6.42</v>
      </c>
      <c r="D987" s="1">
        <v>0.54</v>
      </c>
      <c r="E987" s="1" t="s">
        <v>119</v>
      </c>
      <c r="F987" s="1" t="s">
        <v>119</v>
      </c>
      <c r="G987" s="1" t="s">
        <v>119</v>
      </c>
      <c r="H987" s="1" t="str">
        <f>VLOOKUP(F987,Countries!$A$1:$B$161,2,0)</f>
        <v>Great Britain (United Kingdom)</v>
      </c>
    </row>
    <row r="988" spans="1:8" x14ac:dyDescent="0.3">
      <c r="A988" s="3">
        <v>46261.606805555559</v>
      </c>
      <c r="B988" s="1">
        <v>3.99</v>
      </c>
      <c r="C988" s="1">
        <v>3.42</v>
      </c>
      <c r="D988" s="1">
        <v>0.43</v>
      </c>
      <c r="E988" s="1" t="s">
        <v>113</v>
      </c>
      <c r="F988" s="1" t="s">
        <v>113</v>
      </c>
      <c r="G988" s="1" t="s">
        <v>113</v>
      </c>
      <c r="H988" s="1" t="str">
        <f>VLOOKUP(F988,Countries!$A$1:$B$161,2,0)</f>
        <v>United States of America</v>
      </c>
    </row>
    <row r="989" spans="1:8" x14ac:dyDescent="0.3">
      <c r="A989" s="3">
        <v>46261.601875</v>
      </c>
      <c r="B989" s="1">
        <v>14.62</v>
      </c>
      <c r="C989" s="1">
        <v>12.55</v>
      </c>
      <c r="D989" s="1">
        <v>0.91</v>
      </c>
      <c r="E989" s="1" t="s">
        <v>132</v>
      </c>
      <c r="F989" s="1" t="s">
        <v>132</v>
      </c>
      <c r="G989" s="1" t="s">
        <v>132</v>
      </c>
      <c r="H989" s="1" t="str">
        <f>VLOOKUP(F989,Countries!$A$1:$B$161,2,0)</f>
        <v>Canada</v>
      </c>
    </row>
    <row r="990" spans="1:8" x14ac:dyDescent="0.3">
      <c r="A990" s="3">
        <v>46261.60015046296</v>
      </c>
      <c r="B990" s="1">
        <v>7.77</v>
      </c>
      <c r="C990" s="1">
        <v>6.67</v>
      </c>
      <c r="D990" s="1">
        <v>0.48</v>
      </c>
      <c r="E990" s="1" t="s">
        <v>137</v>
      </c>
      <c r="F990" s="1" t="s">
        <v>137</v>
      </c>
      <c r="G990" s="1" t="s">
        <v>137</v>
      </c>
      <c r="H990" s="1" t="str">
        <f>VLOOKUP(F990,Countries!$A$1:$B$161,2,0)</f>
        <v>Poland</v>
      </c>
    </row>
    <row r="991" spans="1:8" x14ac:dyDescent="0.3">
      <c r="A991" s="3">
        <v>46261.599537037036</v>
      </c>
      <c r="B991" s="1">
        <v>12.48</v>
      </c>
      <c r="C991" s="1">
        <v>10.71</v>
      </c>
      <c r="D991" s="1">
        <v>0.73</v>
      </c>
      <c r="E991" s="1" t="s">
        <v>119</v>
      </c>
      <c r="F991" s="1" t="s">
        <v>119</v>
      </c>
      <c r="G991" s="1" t="s">
        <v>119</v>
      </c>
      <c r="H991" s="1" t="str">
        <f>VLOOKUP(F991,Countries!$A$1:$B$161,2,0)</f>
        <v>Great Britain (United Kingdom)</v>
      </c>
    </row>
    <row r="992" spans="1:8" x14ac:dyDescent="0.3">
      <c r="A992" s="3">
        <v>46261.599409722221</v>
      </c>
      <c r="B992" s="1">
        <v>17.739999999999998</v>
      </c>
      <c r="C992" s="1">
        <v>15.22</v>
      </c>
      <c r="D992" s="1">
        <v>1.04</v>
      </c>
      <c r="E992" s="1" t="s">
        <v>113</v>
      </c>
      <c r="F992" s="1" t="s">
        <v>113</v>
      </c>
      <c r="G992" s="1" t="s">
        <v>113</v>
      </c>
      <c r="H992" s="1" t="str">
        <f>VLOOKUP(F992,Countries!$A$1:$B$161,2,0)</f>
        <v>United States of America</v>
      </c>
    </row>
    <row r="993" spans="1:8" x14ac:dyDescent="0.3">
      <c r="A993" s="3">
        <v>46261.59752314815</v>
      </c>
      <c r="B993" s="1">
        <v>6.37</v>
      </c>
      <c r="C993" s="1">
        <v>5.47</v>
      </c>
      <c r="D993" s="1">
        <v>0.54</v>
      </c>
      <c r="E993" s="1" t="s">
        <v>113</v>
      </c>
      <c r="F993" s="1" t="s">
        <v>113</v>
      </c>
      <c r="G993" s="1" t="s">
        <v>113</v>
      </c>
      <c r="H993" s="1" t="str">
        <f>VLOOKUP(F993,Countries!$A$1:$B$161,2,0)</f>
        <v>United States of America</v>
      </c>
    </row>
    <row r="994" spans="1:8" x14ac:dyDescent="0.3">
      <c r="A994" s="3">
        <v>46261.596944444442</v>
      </c>
      <c r="B994" s="1">
        <v>36.96</v>
      </c>
      <c r="C994" s="1">
        <v>31.71</v>
      </c>
      <c r="D994" s="1">
        <v>1.91</v>
      </c>
      <c r="E994" s="1" t="s">
        <v>113</v>
      </c>
      <c r="F994" s="1" t="s">
        <v>113</v>
      </c>
      <c r="G994" s="1" t="s">
        <v>113</v>
      </c>
      <c r="H994" s="1" t="str">
        <f>VLOOKUP(F994,Countries!$A$1:$B$161,2,0)</f>
        <v>United States of America</v>
      </c>
    </row>
    <row r="995" spans="1:8" x14ac:dyDescent="0.3">
      <c r="A995" s="3">
        <v>46261.59652777778</v>
      </c>
      <c r="B995" s="1">
        <v>29.57</v>
      </c>
      <c r="C995" s="1">
        <v>25.37</v>
      </c>
      <c r="D995" s="1">
        <v>1.58</v>
      </c>
      <c r="E995" s="1" t="s">
        <v>113</v>
      </c>
      <c r="F995" s="1" t="s">
        <v>113</v>
      </c>
      <c r="G995" s="1" t="s">
        <v>113</v>
      </c>
      <c r="H995" s="1" t="str">
        <f>VLOOKUP(F995,Countries!$A$1:$B$161,2,0)</f>
        <v>United States of America</v>
      </c>
    </row>
    <row r="996" spans="1:8" x14ac:dyDescent="0.3">
      <c r="A996" s="3">
        <v>46261.596504629633</v>
      </c>
      <c r="B996" s="1">
        <v>2.11</v>
      </c>
      <c r="C996" s="1">
        <v>1.81</v>
      </c>
      <c r="D996" s="1">
        <v>0.35</v>
      </c>
      <c r="E996" s="1" t="s">
        <v>113</v>
      </c>
      <c r="F996" s="1" t="s">
        <v>113</v>
      </c>
      <c r="G996" s="1" t="s">
        <v>113</v>
      </c>
      <c r="H996" s="1" t="str">
        <f>VLOOKUP(F996,Countries!$A$1:$B$161,2,0)</f>
        <v>United States of America</v>
      </c>
    </row>
    <row r="997" spans="1:8" x14ac:dyDescent="0.3">
      <c r="A997" s="3">
        <v>46261.594942129632</v>
      </c>
      <c r="B997" s="1">
        <v>3.28</v>
      </c>
      <c r="C997" s="1">
        <v>2.81</v>
      </c>
      <c r="D997" s="1">
        <v>0.4</v>
      </c>
      <c r="E997" s="1" t="s">
        <v>152</v>
      </c>
      <c r="F997" s="1" t="s">
        <v>152</v>
      </c>
      <c r="G997" s="1" t="s">
        <v>152</v>
      </c>
      <c r="H997" s="1" t="str">
        <f>VLOOKUP(F997,Countries!$A$1:$B$161,2,0)</f>
        <v>Singapore</v>
      </c>
    </row>
    <row r="998" spans="1:8" x14ac:dyDescent="0.3">
      <c r="A998" s="3">
        <v>46261.594583333332</v>
      </c>
      <c r="B998" s="1">
        <v>12.48</v>
      </c>
      <c r="C998" s="1">
        <v>10.71</v>
      </c>
      <c r="D998" s="1">
        <v>0.73</v>
      </c>
      <c r="E998" s="1" t="s">
        <v>119</v>
      </c>
      <c r="F998" s="1" t="s">
        <v>119</v>
      </c>
      <c r="G998" s="1" t="s">
        <v>119</v>
      </c>
      <c r="H998" s="1" t="str">
        <f>VLOOKUP(F998,Countries!$A$1:$B$161,2,0)</f>
        <v>Great Britain (United Kingdom)</v>
      </c>
    </row>
    <row r="999" spans="1:8" x14ac:dyDescent="0.3">
      <c r="A999" s="3">
        <v>46261.591145833343</v>
      </c>
      <c r="B999" s="1">
        <v>12.97</v>
      </c>
      <c r="C999" s="1">
        <v>11.13</v>
      </c>
      <c r="D999" s="1">
        <v>0.64</v>
      </c>
      <c r="E999" s="1" t="s">
        <v>112</v>
      </c>
      <c r="F999" s="1" t="s">
        <v>112</v>
      </c>
      <c r="G999" s="1" t="s">
        <v>112</v>
      </c>
      <c r="H999" s="1" t="str">
        <f>VLOOKUP(F999,Countries!$A$1:$B$161,2,0)</f>
        <v>Ireland</v>
      </c>
    </row>
    <row r="1000" spans="1:8" x14ac:dyDescent="0.3">
      <c r="A1000" s="3">
        <v>46261.58934027778</v>
      </c>
      <c r="B1000" s="1">
        <v>32.46</v>
      </c>
      <c r="C1000" s="1">
        <v>27.85</v>
      </c>
      <c r="D1000" s="1">
        <v>1.23</v>
      </c>
      <c r="E1000" s="1" t="s">
        <v>112</v>
      </c>
      <c r="F1000" s="1" t="s">
        <v>112</v>
      </c>
      <c r="G1000" s="1" t="s">
        <v>112</v>
      </c>
      <c r="H1000" s="1" t="str">
        <f>VLOOKUP(F1000,Countries!$A$1:$B$161,2,0)</f>
        <v>Ireland</v>
      </c>
    </row>
    <row r="1001" spans="1:8" x14ac:dyDescent="0.3">
      <c r="A1001" s="3">
        <v>46261.587754629632</v>
      </c>
      <c r="B1001" s="1">
        <v>1.99</v>
      </c>
      <c r="C1001" s="1">
        <v>1.71</v>
      </c>
      <c r="D1001" s="1">
        <v>0.34</v>
      </c>
      <c r="E1001" s="1" t="s">
        <v>165</v>
      </c>
      <c r="F1001" s="1" t="s">
        <v>165</v>
      </c>
      <c r="G1001" s="1" t="s">
        <v>165</v>
      </c>
      <c r="H1001" s="1" t="str">
        <f>VLOOKUP(F1001,Countries!$A$1:$B$161,2,0)</f>
        <v>Israel</v>
      </c>
    </row>
    <row r="1002" spans="1:8" x14ac:dyDescent="0.3">
      <c r="A1002" s="3">
        <v>46261.585763888892</v>
      </c>
      <c r="B1002" s="1">
        <v>12.48</v>
      </c>
      <c r="C1002" s="1">
        <v>10.71</v>
      </c>
      <c r="D1002" s="1">
        <v>0.73</v>
      </c>
      <c r="E1002" s="1" t="s">
        <v>119</v>
      </c>
      <c r="F1002" s="1" t="s">
        <v>119</v>
      </c>
      <c r="G1002" s="1" t="s">
        <v>119</v>
      </c>
      <c r="H1002" s="1" t="str">
        <f>VLOOKUP(F1002,Countries!$A$1:$B$161,2,0)</f>
        <v>Great Britain (United Kingdom)</v>
      </c>
    </row>
    <row r="1003" spans="1:8" x14ac:dyDescent="0.3">
      <c r="A1003" s="3">
        <v>46261.583634259259</v>
      </c>
      <c r="B1003" s="1">
        <v>51.93</v>
      </c>
      <c r="C1003" s="1">
        <v>44.61</v>
      </c>
      <c r="D1003" s="1">
        <v>1.81</v>
      </c>
      <c r="E1003" s="1" t="s">
        <v>112</v>
      </c>
      <c r="F1003" s="1" t="s">
        <v>112</v>
      </c>
      <c r="G1003" s="1" t="s">
        <v>112</v>
      </c>
      <c r="H1003" s="1" t="str">
        <f>VLOOKUP(F1003,Countries!$A$1:$B$161,2,0)</f>
        <v>Ireland</v>
      </c>
    </row>
    <row r="1004" spans="1:8" x14ac:dyDescent="0.3">
      <c r="A1004" s="3">
        <v>46261.580995370372</v>
      </c>
      <c r="B1004" s="1">
        <v>17.010000000000002</v>
      </c>
      <c r="C1004" s="1">
        <v>14.61</v>
      </c>
      <c r="D1004" s="1">
        <v>1.01</v>
      </c>
      <c r="E1004" s="1" t="s">
        <v>113</v>
      </c>
      <c r="F1004" s="1" t="s">
        <v>113</v>
      </c>
      <c r="G1004" s="1" t="s">
        <v>113</v>
      </c>
      <c r="H1004" s="1" t="str">
        <f>VLOOKUP(F1004,Countries!$A$1:$B$161,2,0)</f>
        <v>United States of America</v>
      </c>
    </row>
    <row r="1005" spans="1:8" x14ac:dyDescent="0.3">
      <c r="A1005" s="3">
        <v>46261.580347222232</v>
      </c>
      <c r="B1005" s="1">
        <v>51.93</v>
      </c>
      <c r="C1005" s="1">
        <v>44.61</v>
      </c>
      <c r="D1005" s="1">
        <v>1.81</v>
      </c>
      <c r="E1005" s="1" t="s">
        <v>112</v>
      </c>
      <c r="F1005" s="1" t="s">
        <v>112</v>
      </c>
      <c r="G1005" s="1" t="s">
        <v>112</v>
      </c>
      <c r="H1005" s="1" t="str">
        <f>VLOOKUP(F1005,Countries!$A$1:$B$161,2,0)</f>
        <v>Ireland</v>
      </c>
    </row>
    <row r="1006" spans="1:8" x14ac:dyDescent="0.3">
      <c r="A1006" s="3">
        <v>46261.577523148153</v>
      </c>
      <c r="B1006" s="1">
        <v>22.18</v>
      </c>
      <c r="C1006" s="1">
        <v>19.05</v>
      </c>
      <c r="D1006" s="1">
        <v>1.25</v>
      </c>
      <c r="E1006" s="1" t="s">
        <v>113</v>
      </c>
      <c r="F1006" s="1" t="s">
        <v>113</v>
      </c>
      <c r="G1006" s="1" t="s">
        <v>113</v>
      </c>
      <c r="H1006" s="1" t="str">
        <f>VLOOKUP(F1006,Countries!$A$1:$B$161,2,0)</f>
        <v>United States of America</v>
      </c>
    </row>
    <row r="1007" spans="1:8" x14ac:dyDescent="0.3">
      <c r="A1007" s="3">
        <v>46261.576944444438</v>
      </c>
      <c r="B1007" s="1">
        <v>6.37</v>
      </c>
      <c r="C1007" s="1">
        <v>5.47</v>
      </c>
      <c r="D1007" s="1">
        <v>0.54</v>
      </c>
      <c r="E1007" s="1" t="s">
        <v>113</v>
      </c>
      <c r="F1007" s="1" t="s">
        <v>113</v>
      </c>
      <c r="G1007" s="1" t="s">
        <v>113</v>
      </c>
      <c r="H1007" s="1" t="str">
        <f>VLOOKUP(F1007,Countries!$A$1:$B$161,2,0)</f>
        <v>United States of America</v>
      </c>
    </row>
    <row r="1008" spans="1:8" x14ac:dyDescent="0.3">
      <c r="A1008" s="3">
        <v>46261.572893518518</v>
      </c>
      <c r="B1008" s="1">
        <v>2.99</v>
      </c>
      <c r="C1008" s="1">
        <v>2.57</v>
      </c>
      <c r="D1008" s="1">
        <v>0.38</v>
      </c>
      <c r="E1008" s="1" t="s">
        <v>130</v>
      </c>
      <c r="F1008" s="1" t="s">
        <v>130</v>
      </c>
      <c r="G1008" s="1" t="s">
        <v>130</v>
      </c>
      <c r="H1008" s="1" t="str">
        <f>VLOOKUP(F1008,Countries!$A$1:$B$161,2,0)</f>
        <v>Australia</v>
      </c>
    </row>
    <row r="1009" spans="1:8" x14ac:dyDescent="0.3">
      <c r="A1009" s="3">
        <v>46261.569965277777</v>
      </c>
      <c r="B1009" s="1">
        <v>10.62</v>
      </c>
      <c r="C1009" s="1">
        <v>9.1199999999999992</v>
      </c>
      <c r="D1009" s="1">
        <v>0.73</v>
      </c>
      <c r="E1009" s="1" t="s">
        <v>113</v>
      </c>
      <c r="F1009" s="1" t="s">
        <v>113</v>
      </c>
      <c r="G1009" s="1" t="s">
        <v>113</v>
      </c>
      <c r="H1009" s="1" t="str">
        <f>VLOOKUP(F1009,Countries!$A$1:$B$161,2,0)</f>
        <v>United States of America</v>
      </c>
    </row>
    <row r="1010" spans="1:8" x14ac:dyDescent="0.3">
      <c r="A1010" s="3">
        <v>46261.568611111114</v>
      </c>
      <c r="B1010" s="1">
        <v>6.37</v>
      </c>
      <c r="C1010" s="1">
        <v>5.47</v>
      </c>
      <c r="D1010" s="1">
        <v>0.54</v>
      </c>
      <c r="E1010" s="1" t="s">
        <v>113</v>
      </c>
      <c r="F1010" s="1" t="s">
        <v>113</v>
      </c>
      <c r="G1010" s="1" t="s">
        <v>113</v>
      </c>
      <c r="H1010" s="1" t="str">
        <f>VLOOKUP(F1010,Countries!$A$1:$B$161,2,0)</f>
        <v>United States of America</v>
      </c>
    </row>
    <row r="1011" spans="1:8" x14ac:dyDescent="0.3">
      <c r="A1011" s="3">
        <v>46261.568391203713</v>
      </c>
      <c r="B1011" s="1">
        <v>6.37</v>
      </c>
      <c r="C1011" s="1">
        <v>5.47</v>
      </c>
      <c r="D1011" s="1">
        <v>0.54</v>
      </c>
      <c r="E1011" s="1" t="s">
        <v>113</v>
      </c>
      <c r="F1011" s="1" t="s">
        <v>113</v>
      </c>
      <c r="G1011" s="1" t="s">
        <v>113</v>
      </c>
      <c r="H1011" s="1" t="str">
        <f>VLOOKUP(F1011,Countries!$A$1:$B$161,2,0)</f>
        <v>United States of America</v>
      </c>
    </row>
    <row r="1012" spans="1:8" x14ac:dyDescent="0.3">
      <c r="A1012" s="3">
        <v>46261.562662037039</v>
      </c>
      <c r="B1012" s="1">
        <v>6.37</v>
      </c>
      <c r="C1012" s="1">
        <v>5.47</v>
      </c>
      <c r="D1012" s="1">
        <v>0.54</v>
      </c>
      <c r="E1012" s="1" t="s">
        <v>113</v>
      </c>
      <c r="F1012" s="1" t="s">
        <v>113</v>
      </c>
      <c r="G1012" s="1" t="s">
        <v>113</v>
      </c>
      <c r="H1012" s="1" t="str">
        <f>VLOOKUP(F1012,Countries!$A$1:$B$161,2,0)</f>
        <v>United States of America</v>
      </c>
    </row>
    <row r="1013" spans="1:8" x14ac:dyDescent="0.3">
      <c r="A1013" s="3">
        <v>46261.560300925928</v>
      </c>
      <c r="B1013" s="1">
        <v>6.37</v>
      </c>
      <c r="C1013" s="1">
        <v>5.47</v>
      </c>
      <c r="D1013" s="1">
        <v>0.54</v>
      </c>
      <c r="E1013" s="1" t="s">
        <v>113</v>
      </c>
      <c r="F1013" s="1" t="s">
        <v>113</v>
      </c>
      <c r="G1013" s="1" t="s">
        <v>113</v>
      </c>
      <c r="H1013" s="1" t="str">
        <f>VLOOKUP(F1013,Countries!$A$1:$B$161,2,0)</f>
        <v>United States of America</v>
      </c>
    </row>
    <row r="1014" spans="1:8" x14ac:dyDescent="0.3">
      <c r="A1014" s="3">
        <v>46261.556921296287</v>
      </c>
      <c r="B1014" s="1">
        <v>6.37</v>
      </c>
      <c r="C1014" s="1">
        <v>5.47</v>
      </c>
      <c r="D1014" s="1">
        <v>0.54</v>
      </c>
      <c r="E1014" s="1" t="s">
        <v>113</v>
      </c>
      <c r="F1014" s="1" t="s">
        <v>128</v>
      </c>
      <c r="G1014" s="1" t="s">
        <v>128</v>
      </c>
      <c r="H1014" s="1" t="str">
        <f>VLOOKUP(F1014,Countries!$A$1:$B$161,2,0)</f>
        <v>South Africa</v>
      </c>
    </row>
    <row r="1015" spans="1:8" x14ac:dyDescent="0.3">
      <c r="A1015" s="3">
        <v>46261.548750000002</v>
      </c>
      <c r="B1015" s="1">
        <v>51.93</v>
      </c>
      <c r="C1015" s="1">
        <v>44.61</v>
      </c>
      <c r="D1015" s="1">
        <v>1.81</v>
      </c>
      <c r="E1015" s="1" t="s">
        <v>112</v>
      </c>
      <c r="F1015" s="1" t="s">
        <v>112</v>
      </c>
      <c r="G1015" s="1" t="s">
        <v>112</v>
      </c>
      <c r="H1015" s="1" t="str">
        <f>VLOOKUP(F1015,Countries!$A$1:$B$161,2,0)</f>
        <v>Ireland</v>
      </c>
    </row>
    <row r="1016" spans="1:8" x14ac:dyDescent="0.3">
      <c r="A1016" s="3">
        <v>46261.538287037038</v>
      </c>
      <c r="B1016" s="1">
        <v>7.77</v>
      </c>
      <c r="C1016" s="1">
        <v>6.67</v>
      </c>
      <c r="D1016" s="1">
        <v>0.48</v>
      </c>
      <c r="E1016" s="1" t="s">
        <v>137</v>
      </c>
      <c r="F1016" s="1" t="s">
        <v>137</v>
      </c>
      <c r="G1016" s="1" t="s">
        <v>137</v>
      </c>
      <c r="H1016" s="1" t="str">
        <f>VLOOKUP(F1016,Countries!$A$1:$B$161,2,0)</f>
        <v>Poland</v>
      </c>
    </row>
    <row r="1017" spans="1:8" x14ac:dyDescent="0.3">
      <c r="A1017" s="3">
        <v>46261.537719907406</v>
      </c>
      <c r="B1017" s="1">
        <v>2.99</v>
      </c>
      <c r="C1017" s="1">
        <v>2.57</v>
      </c>
      <c r="D1017" s="1">
        <v>0.38</v>
      </c>
      <c r="E1017" s="1" t="s">
        <v>113</v>
      </c>
      <c r="F1017" s="1" t="s">
        <v>113</v>
      </c>
      <c r="G1017" s="1" t="s">
        <v>113</v>
      </c>
      <c r="H1017" s="1" t="str">
        <f>VLOOKUP(F1017,Countries!$A$1:$B$161,2,0)</f>
        <v>United States of America</v>
      </c>
    </row>
    <row r="1018" spans="1:8" x14ac:dyDescent="0.3">
      <c r="A1018" s="3">
        <v>46261.531828703701</v>
      </c>
      <c r="B1018" s="1">
        <v>526.29999999999995</v>
      </c>
      <c r="C1018" s="1">
        <v>452.06</v>
      </c>
      <c r="D1018" s="1">
        <v>23.98</v>
      </c>
      <c r="E1018" s="1" t="s">
        <v>143</v>
      </c>
      <c r="F1018" s="1" t="s">
        <v>143</v>
      </c>
      <c r="G1018" s="1" t="s">
        <v>143</v>
      </c>
      <c r="H1018" s="1" t="str">
        <f>VLOOKUP(F1018,Countries!$A$1:$B$161,2,0)</f>
        <v>United Arab Emirates</v>
      </c>
    </row>
    <row r="1019" spans="1:8" x14ac:dyDescent="0.3">
      <c r="A1019" s="3">
        <v>46261.531678240739</v>
      </c>
      <c r="B1019" s="1">
        <v>12.64</v>
      </c>
      <c r="C1019" s="1">
        <v>10.86</v>
      </c>
      <c r="D1019" s="1">
        <v>0.63</v>
      </c>
      <c r="E1019" s="1" t="s">
        <v>154</v>
      </c>
      <c r="F1019" s="1" t="s">
        <v>154</v>
      </c>
      <c r="G1019" s="1" t="s">
        <v>154</v>
      </c>
      <c r="H1019" s="1" t="str">
        <f>VLOOKUP(F1019,Countries!$A$1:$B$161,2,0)</f>
        <v>Belgium</v>
      </c>
    </row>
    <row r="1020" spans="1:8" x14ac:dyDescent="0.3">
      <c r="A1020" s="3">
        <v>46261.528449074067</v>
      </c>
      <c r="B1020" s="1">
        <v>7.04</v>
      </c>
      <c r="C1020" s="1">
        <v>6.05</v>
      </c>
      <c r="D1020" s="1">
        <v>0.56999999999999995</v>
      </c>
      <c r="E1020" s="1" t="s">
        <v>163</v>
      </c>
      <c r="F1020" s="1" t="s">
        <v>163</v>
      </c>
      <c r="G1020" s="1" t="s">
        <v>163</v>
      </c>
      <c r="H1020" s="1" t="str">
        <f>VLOOKUP(F1020,Countries!$A$1:$B$161,2,0)</f>
        <v>Saudi Arabia</v>
      </c>
    </row>
    <row r="1021" spans="1:8" x14ac:dyDescent="0.3">
      <c r="A1021" s="3">
        <v>46261.524976851862</v>
      </c>
      <c r="B1021" s="1">
        <v>2.21</v>
      </c>
      <c r="C1021" s="1">
        <v>1.9</v>
      </c>
      <c r="D1021" s="1">
        <v>0.35</v>
      </c>
      <c r="E1021" s="1" t="s">
        <v>121</v>
      </c>
      <c r="F1021" s="1" t="s">
        <v>121</v>
      </c>
      <c r="G1021" s="1" t="s">
        <v>121</v>
      </c>
      <c r="H1021" s="1" t="str">
        <f>VLOOKUP(F1021,Countries!$A$1:$B$161,2,0)</f>
        <v>Japan</v>
      </c>
    </row>
    <row r="1022" spans="1:8" x14ac:dyDescent="0.3">
      <c r="A1022" s="3">
        <v>46261.523877314823</v>
      </c>
      <c r="B1022" s="1">
        <v>6.37</v>
      </c>
      <c r="C1022" s="1">
        <v>5.47</v>
      </c>
      <c r="D1022" s="1">
        <v>0.54</v>
      </c>
      <c r="E1022" s="1" t="s">
        <v>113</v>
      </c>
      <c r="F1022" s="1" t="s">
        <v>113</v>
      </c>
      <c r="G1022" s="1" t="s">
        <v>113</v>
      </c>
      <c r="H1022" s="1" t="str">
        <f>VLOOKUP(F1022,Countries!$A$1:$B$161,2,0)</f>
        <v>United States of America</v>
      </c>
    </row>
    <row r="1023" spans="1:8" x14ac:dyDescent="0.3">
      <c r="A1023" s="3">
        <v>46261.521678240737</v>
      </c>
      <c r="B1023" s="1">
        <v>6.65</v>
      </c>
      <c r="C1023" s="1">
        <v>5.71</v>
      </c>
      <c r="D1023" s="1">
        <v>0.55000000000000004</v>
      </c>
      <c r="E1023" s="1" t="s">
        <v>130</v>
      </c>
      <c r="F1023" s="1" t="s">
        <v>130</v>
      </c>
      <c r="G1023" s="1" t="s">
        <v>130</v>
      </c>
      <c r="H1023" s="1" t="str">
        <f>VLOOKUP(F1023,Countries!$A$1:$B$161,2,0)</f>
        <v>Australia</v>
      </c>
    </row>
    <row r="1024" spans="1:8" x14ac:dyDescent="0.3">
      <c r="A1024" s="3">
        <v>46261.520277777781</v>
      </c>
      <c r="B1024" s="1">
        <v>6.37</v>
      </c>
      <c r="C1024" s="1">
        <v>5.47</v>
      </c>
      <c r="D1024" s="1">
        <v>0.54</v>
      </c>
      <c r="E1024" s="1" t="s">
        <v>113</v>
      </c>
      <c r="F1024" s="1" t="s">
        <v>113</v>
      </c>
      <c r="G1024" s="1" t="s">
        <v>113</v>
      </c>
      <c r="H1024" s="1" t="str">
        <f>VLOOKUP(F1024,Countries!$A$1:$B$161,2,0)</f>
        <v>United States of America</v>
      </c>
    </row>
    <row r="1025" spans="1:8" x14ac:dyDescent="0.3">
      <c r="A1025" s="3">
        <v>46261.513819444437</v>
      </c>
      <c r="B1025" s="1">
        <v>3.73</v>
      </c>
      <c r="C1025" s="1">
        <v>3.2</v>
      </c>
      <c r="D1025" s="1">
        <v>0.36</v>
      </c>
      <c r="E1025" s="1" t="s">
        <v>137</v>
      </c>
      <c r="F1025" s="1" t="s">
        <v>137</v>
      </c>
      <c r="G1025" s="1" t="s">
        <v>137</v>
      </c>
      <c r="H1025" s="1" t="str">
        <f>VLOOKUP(F1025,Countries!$A$1:$B$161,2,0)</f>
        <v>Poland</v>
      </c>
    </row>
    <row r="1026" spans="1:8" x14ac:dyDescent="0.3">
      <c r="A1026" s="3">
        <v>46261.482488425929</v>
      </c>
      <c r="B1026" s="1">
        <v>12.97</v>
      </c>
      <c r="C1026" s="1">
        <v>11.14</v>
      </c>
      <c r="D1026" s="1">
        <v>0.64</v>
      </c>
      <c r="E1026" s="1" t="s">
        <v>112</v>
      </c>
      <c r="F1026" s="1" t="s">
        <v>112</v>
      </c>
      <c r="G1026" s="1" t="s">
        <v>112</v>
      </c>
      <c r="H1026" s="1" t="str">
        <f>VLOOKUP(F1026,Countries!$A$1:$B$161,2,0)</f>
        <v>Ireland</v>
      </c>
    </row>
    <row r="1027" spans="1:8" x14ac:dyDescent="0.3">
      <c r="A1027" s="3">
        <v>46261.477962962963</v>
      </c>
      <c r="B1027" s="1">
        <v>15.58</v>
      </c>
      <c r="C1027" s="1">
        <v>13.38</v>
      </c>
      <c r="D1027" s="1">
        <v>0.72</v>
      </c>
      <c r="E1027" s="1" t="s">
        <v>112</v>
      </c>
      <c r="F1027" s="1" t="s">
        <v>112</v>
      </c>
      <c r="G1027" s="1" t="s">
        <v>112</v>
      </c>
      <c r="H1027" s="1" t="str">
        <f>VLOOKUP(F1027,Countries!$A$1:$B$161,2,0)</f>
        <v>Ireland</v>
      </c>
    </row>
    <row r="1028" spans="1:8" x14ac:dyDescent="0.3">
      <c r="A1028" s="3">
        <v>46261.473240740743</v>
      </c>
      <c r="B1028" s="1">
        <v>58.41</v>
      </c>
      <c r="C1028" s="1">
        <v>50.18</v>
      </c>
      <c r="D1028" s="1">
        <v>2.88</v>
      </c>
      <c r="E1028" s="1" t="s">
        <v>132</v>
      </c>
      <c r="F1028" s="1" t="s">
        <v>132</v>
      </c>
      <c r="G1028" s="1" t="s">
        <v>132</v>
      </c>
      <c r="H1028" s="1" t="str">
        <f>VLOOKUP(F1028,Countries!$A$1:$B$161,2,0)</f>
        <v>Canada</v>
      </c>
    </row>
    <row r="1029" spans="1:8" x14ac:dyDescent="0.3">
      <c r="A1029" s="3">
        <v>46261.471608796302</v>
      </c>
      <c r="B1029" s="1">
        <v>6.37</v>
      </c>
      <c r="C1029" s="1">
        <v>5.47</v>
      </c>
      <c r="D1029" s="1">
        <v>0.54</v>
      </c>
      <c r="E1029" s="1" t="s">
        <v>113</v>
      </c>
      <c r="F1029" s="1" t="s">
        <v>113</v>
      </c>
      <c r="G1029" s="1" t="s">
        <v>113</v>
      </c>
      <c r="H1029" s="1" t="str">
        <f>VLOOKUP(F1029,Countries!$A$1:$B$161,2,0)</f>
        <v>United States of America</v>
      </c>
    </row>
    <row r="1030" spans="1:8" x14ac:dyDescent="0.3">
      <c r="A1030" s="3">
        <v>46261.471296296288</v>
      </c>
      <c r="B1030" s="1">
        <v>35.18</v>
      </c>
      <c r="C1030" s="1">
        <v>30.22</v>
      </c>
      <c r="D1030" s="1">
        <v>1.3</v>
      </c>
      <c r="E1030" s="1" t="s">
        <v>116</v>
      </c>
      <c r="F1030" s="1" t="s">
        <v>116</v>
      </c>
      <c r="G1030" s="1" t="s">
        <v>116</v>
      </c>
      <c r="H1030" s="1" t="str">
        <f>VLOOKUP(F1030,Countries!$A$1:$B$161,2,0)</f>
        <v>Spain</v>
      </c>
    </row>
    <row r="1031" spans="1:8" x14ac:dyDescent="0.3">
      <c r="A1031" s="3">
        <v>46261.470833333333</v>
      </c>
      <c r="B1031" s="1">
        <v>7.58</v>
      </c>
      <c r="C1031" s="1">
        <v>6.51</v>
      </c>
      <c r="D1031" s="1">
        <v>0.48</v>
      </c>
      <c r="E1031" s="1" t="s">
        <v>116</v>
      </c>
      <c r="F1031" s="1" t="s">
        <v>116</v>
      </c>
      <c r="G1031" s="1" t="s">
        <v>116</v>
      </c>
      <c r="H1031" s="1" t="str">
        <f>VLOOKUP(F1031,Countries!$A$1:$B$161,2,0)</f>
        <v>Spain</v>
      </c>
    </row>
    <row r="1032" spans="1:8" x14ac:dyDescent="0.3">
      <c r="A1032" s="3">
        <v>46261.437245370369</v>
      </c>
      <c r="B1032" s="1">
        <v>17.010000000000002</v>
      </c>
      <c r="C1032" s="1">
        <v>14.61</v>
      </c>
      <c r="D1032" s="1">
        <v>1.01</v>
      </c>
      <c r="E1032" s="1" t="s">
        <v>181</v>
      </c>
      <c r="F1032" s="1" t="s">
        <v>113</v>
      </c>
      <c r="G1032" s="1" t="s">
        <v>113</v>
      </c>
      <c r="H1032" s="1" t="str">
        <f>VLOOKUP(F1032,Countries!$A$1:$B$161,2,0)</f>
        <v>United States of America</v>
      </c>
    </row>
    <row r="1033" spans="1:8" x14ac:dyDescent="0.3">
      <c r="A1033" s="3">
        <v>46261.432395833333</v>
      </c>
      <c r="B1033" s="1">
        <v>6.37</v>
      </c>
      <c r="C1033" s="1">
        <v>5.47</v>
      </c>
      <c r="D1033" s="1">
        <v>0.54</v>
      </c>
      <c r="E1033" s="1" t="s">
        <v>113</v>
      </c>
      <c r="F1033" s="1" t="s">
        <v>113</v>
      </c>
      <c r="G1033" s="1" t="s">
        <v>113</v>
      </c>
      <c r="H1033" s="1" t="str">
        <f>VLOOKUP(F1033,Countries!$A$1:$B$161,2,0)</f>
        <v>United States of America</v>
      </c>
    </row>
    <row r="1034" spans="1:8" x14ac:dyDescent="0.3">
      <c r="A1034" s="3">
        <v>46261.425358796303</v>
      </c>
      <c r="B1034" s="1">
        <v>6.65</v>
      </c>
      <c r="C1034" s="1">
        <v>5.71</v>
      </c>
      <c r="D1034" s="1">
        <v>0.55000000000000004</v>
      </c>
      <c r="E1034" s="1" t="s">
        <v>121</v>
      </c>
      <c r="F1034" s="1" t="s">
        <v>121</v>
      </c>
      <c r="G1034" s="1" t="s">
        <v>121</v>
      </c>
      <c r="H1034" s="1" t="str">
        <f>VLOOKUP(F1034,Countries!$A$1:$B$161,2,0)</f>
        <v>Japan</v>
      </c>
    </row>
    <row r="1035" spans="1:8" x14ac:dyDescent="0.3">
      <c r="A1035" s="3">
        <v>46261.423391203702</v>
      </c>
      <c r="B1035" s="1">
        <v>3.39</v>
      </c>
      <c r="C1035" s="1">
        <v>2.91</v>
      </c>
      <c r="D1035" s="1">
        <v>0.4</v>
      </c>
      <c r="E1035" s="1" t="s">
        <v>114</v>
      </c>
      <c r="F1035" s="1" t="s">
        <v>114</v>
      </c>
      <c r="G1035" s="1" t="s">
        <v>114</v>
      </c>
      <c r="H1035" s="1" t="str">
        <f>VLOOKUP(F1035,Countries!$A$1:$B$161,2,0)</f>
        <v>Philippines</v>
      </c>
    </row>
    <row r="1036" spans="1:8" x14ac:dyDescent="0.3">
      <c r="A1036" s="3">
        <v>46261.4216087963</v>
      </c>
      <c r="B1036" s="1">
        <v>6.37</v>
      </c>
      <c r="C1036" s="1">
        <v>5.47</v>
      </c>
      <c r="D1036" s="1">
        <v>0.54</v>
      </c>
      <c r="E1036" s="1" t="s">
        <v>113</v>
      </c>
      <c r="F1036" s="1" t="s">
        <v>113</v>
      </c>
      <c r="G1036" s="1" t="s">
        <v>113</v>
      </c>
      <c r="H1036" s="1" t="str">
        <f>VLOOKUP(F1036,Countries!$A$1:$B$161,2,0)</f>
        <v>United States of America</v>
      </c>
    </row>
    <row r="1037" spans="1:8" x14ac:dyDescent="0.3">
      <c r="A1037" s="3">
        <v>46261.421064814807</v>
      </c>
      <c r="B1037" s="1">
        <v>1.99</v>
      </c>
      <c r="C1037" s="1">
        <v>1.71</v>
      </c>
      <c r="D1037" s="1">
        <v>0.34</v>
      </c>
      <c r="E1037" s="1" t="s">
        <v>182</v>
      </c>
      <c r="F1037" s="1" t="s">
        <v>182</v>
      </c>
      <c r="G1037" s="1" t="s">
        <v>182</v>
      </c>
      <c r="H1037" s="1" t="str">
        <f>VLOOKUP(F1037,Countries!$A$1:$B$161,2,0)</f>
        <v>Guatemala</v>
      </c>
    </row>
    <row r="1038" spans="1:8" x14ac:dyDescent="0.3">
      <c r="A1038" s="3">
        <v>46261.418402777781</v>
      </c>
      <c r="B1038" s="1">
        <v>8.5</v>
      </c>
      <c r="C1038" s="1">
        <v>7.3</v>
      </c>
      <c r="D1038" s="1">
        <v>0.64</v>
      </c>
      <c r="E1038" s="1" t="s">
        <v>113</v>
      </c>
      <c r="F1038" s="1" t="s">
        <v>113</v>
      </c>
      <c r="G1038" s="1" t="s">
        <v>113</v>
      </c>
      <c r="H1038" s="1" t="str">
        <f>VLOOKUP(F1038,Countries!$A$1:$B$161,2,0)</f>
        <v>United States of America</v>
      </c>
    </row>
    <row r="1039" spans="1:8" x14ac:dyDescent="0.3">
      <c r="A1039" s="3">
        <v>46261.406192129631</v>
      </c>
      <c r="B1039" s="1">
        <v>6.37</v>
      </c>
      <c r="C1039" s="1">
        <v>5.47</v>
      </c>
      <c r="D1039" s="1">
        <v>0.54</v>
      </c>
      <c r="E1039" s="1" t="s">
        <v>115</v>
      </c>
      <c r="F1039" s="1" t="s">
        <v>115</v>
      </c>
      <c r="G1039" s="1" t="s">
        <v>115</v>
      </c>
      <c r="H1039" s="1" t="str">
        <f>VLOOKUP(F1039,Countries!$A$1:$B$161,2,0)</f>
        <v>Switzerland</v>
      </c>
    </row>
    <row r="1040" spans="1:8" x14ac:dyDescent="0.3">
      <c r="A1040" s="3">
        <v>46261.400601851848</v>
      </c>
      <c r="B1040" s="1">
        <v>6.37</v>
      </c>
      <c r="C1040" s="1">
        <v>5.47</v>
      </c>
      <c r="D1040" s="1">
        <v>0.54</v>
      </c>
      <c r="E1040" s="1" t="s">
        <v>113</v>
      </c>
      <c r="F1040" s="1" t="s">
        <v>113</v>
      </c>
      <c r="G1040" s="1" t="s">
        <v>113</v>
      </c>
      <c r="H1040" s="1" t="str">
        <f>VLOOKUP(F1040,Countries!$A$1:$B$161,2,0)</f>
        <v>United States of America</v>
      </c>
    </row>
    <row r="1041" spans="1:8" x14ac:dyDescent="0.3">
      <c r="A1041" s="3">
        <v>46261.399756944447</v>
      </c>
      <c r="B1041" s="1">
        <v>14.77</v>
      </c>
      <c r="C1041" s="1">
        <v>12.68</v>
      </c>
      <c r="D1041" s="1">
        <v>0.91</v>
      </c>
      <c r="E1041" s="1" t="s">
        <v>113</v>
      </c>
      <c r="F1041" s="1" t="s">
        <v>113</v>
      </c>
      <c r="G1041" s="1" t="s">
        <v>113</v>
      </c>
      <c r="H1041" s="1" t="str">
        <f>VLOOKUP(F1041,Countries!$A$1:$B$161,2,0)</f>
        <v>United States of America</v>
      </c>
    </row>
    <row r="1042" spans="1:8" x14ac:dyDescent="0.3">
      <c r="A1042" s="3">
        <v>46261.394571759258</v>
      </c>
      <c r="B1042" s="1">
        <v>6.65</v>
      </c>
      <c r="C1042" s="1">
        <v>5.71</v>
      </c>
      <c r="D1042" s="1">
        <v>0.55000000000000004</v>
      </c>
      <c r="E1042" s="1" t="s">
        <v>121</v>
      </c>
      <c r="F1042" s="1" t="s">
        <v>121</v>
      </c>
      <c r="G1042" s="1" t="s">
        <v>121</v>
      </c>
      <c r="H1042" s="1" t="str">
        <f>VLOOKUP(F1042,Countries!$A$1:$B$161,2,0)</f>
        <v>Japan</v>
      </c>
    </row>
    <row r="1043" spans="1:8" x14ac:dyDescent="0.3">
      <c r="A1043" s="3">
        <v>46261.388495370367</v>
      </c>
      <c r="B1043" s="1">
        <v>59.03</v>
      </c>
      <c r="C1043" s="1">
        <v>50.67</v>
      </c>
      <c r="D1043" s="1">
        <v>2.91</v>
      </c>
      <c r="E1043" s="1" t="s">
        <v>113</v>
      </c>
      <c r="F1043" s="1" t="s">
        <v>113</v>
      </c>
      <c r="G1043" s="1" t="s">
        <v>113</v>
      </c>
      <c r="H1043" s="1" t="str">
        <f>VLOOKUP(F1043,Countries!$A$1:$B$161,2,0)</f>
        <v>United States of America</v>
      </c>
    </row>
    <row r="1044" spans="1:8" x14ac:dyDescent="0.3">
      <c r="A1044" s="3">
        <v>46261.387731481482</v>
      </c>
      <c r="B1044" s="1">
        <v>10.85</v>
      </c>
      <c r="C1044" s="1">
        <v>9.31</v>
      </c>
      <c r="D1044" s="1">
        <v>0.74</v>
      </c>
      <c r="E1044" s="1" t="s">
        <v>115</v>
      </c>
      <c r="F1044" s="1" t="s">
        <v>115</v>
      </c>
      <c r="G1044" s="1" t="s">
        <v>115</v>
      </c>
      <c r="H1044" s="1" t="str">
        <f>VLOOKUP(F1044,Countries!$A$1:$B$161,2,0)</f>
        <v>Switzerland</v>
      </c>
    </row>
    <row r="1045" spans="1:8" x14ac:dyDescent="0.3">
      <c r="A1045" s="3">
        <v>46261.3830787037</v>
      </c>
      <c r="B1045" s="1">
        <v>6.37</v>
      </c>
      <c r="C1045" s="1">
        <v>5.47</v>
      </c>
      <c r="D1045" s="1">
        <v>0.54</v>
      </c>
      <c r="E1045" s="1" t="s">
        <v>113</v>
      </c>
      <c r="F1045" s="1" t="s">
        <v>113</v>
      </c>
      <c r="G1045" s="1" t="s">
        <v>113</v>
      </c>
      <c r="H1045" s="1" t="str">
        <f>VLOOKUP(F1045,Countries!$A$1:$B$161,2,0)</f>
        <v>United States of America</v>
      </c>
    </row>
    <row r="1046" spans="1:8" x14ac:dyDescent="0.3">
      <c r="A1046" s="3">
        <v>46261.380486111113</v>
      </c>
      <c r="B1046" s="1">
        <v>8.5</v>
      </c>
      <c r="C1046" s="1">
        <v>7.3</v>
      </c>
      <c r="D1046" s="1">
        <v>0.64</v>
      </c>
      <c r="E1046" s="1" t="s">
        <v>113</v>
      </c>
      <c r="F1046" s="1" t="s">
        <v>113</v>
      </c>
      <c r="G1046" s="1" t="s">
        <v>113</v>
      </c>
      <c r="H1046" s="1" t="str">
        <f>VLOOKUP(F1046,Countries!$A$1:$B$161,2,0)</f>
        <v>United States of America</v>
      </c>
    </row>
    <row r="1047" spans="1:8" x14ac:dyDescent="0.3">
      <c r="A1047" s="3">
        <v>46261.372337962966</v>
      </c>
      <c r="B1047" s="1">
        <v>6.37</v>
      </c>
      <c r="C1047" s="1">
        <v>5.47</v>
      </c>
      <c r="D1047" s="1">
        <v>0.54</v>
      </c>
      <c r="E1047" s="1" t="s">
        <v>113</v>
      </c>
      <c r="F1047" s="1" t="s">
        <v>113</v>
      </c>
      <c r="G1047" s="1" t="s">
        <v>113</v>
      </c>
      <c r="H1047" s="1" t="str">
        <f>VLOOKUP(F1047,Countries!$A$1:$B$161,2,0)</f>
        <v>United States of America</v>
      </c>
    </row>
    <row r="1048" spans="1:8" x14ac:dyDescent="0.3">
      <c r="A1048" s="3">
        <v>46261.37096064815</v>
      </c>
      <c r="B1048" s="1">
        <v>3.39</v>
      </c>
      <c r="C1048" s="1">
        <v>2.91</v>
      </c>
      <c r="D1048" s="1">
        <v>0.4</v>
      </c>
      <c r="E1048" s="1" t="s">
        <v>114</v>
      </c>
      <c r="F1048" s="1" t="s">
        <v>114</v>
      </c>
      <c r="G1048" s="1" t="s">
        <v>114</v>
      </c>
      <c r="H1048" s="1" t="str">
        <f>VLOOKUP(F1048,Countries!$A$1:$B$161,2,0)</f>
        <v>Philippines</v>
      </c>
    </row>
    <row r="1049" spans="1:8" x14ac:dyDescent="0.3">
      <c r="A1049" s="3">
        <v>46261.370358796303</v>
      </c>
      <c r="B1049" s="1">
        <v>17.010000000000002</v>
      </c>
      <c r="C1049" s="1">
        <v>14.59</v>
      </c>
      <c r="D1049" s="1">
        <v>1.01</v>
      </c>
      <c r="E1049" s="1" t="s">
        <v>113</v>
      </c>
      <c r="F1049" s="1" t="s">
        <v>113</v>
      </c>
      <c r="G1049" s="1" t="s">
        <v>113</v>
      </c>
      <c r="H1049" s="1" t="str">
        <f>VLOOKUP(F1049,Countries!$A$1:$B$161,2,0)</f>
        <v>United States of America</v>
      </c>
    </row>
    <row r="1050" spans="1:8" x14ac:dyDescent="0.3">
      <c r="A1050" s="3">
        <v>46261.335428240738</v>
      </c>
      <c r="B1050" s="1">
        <v>526.29999999999995</v>
      </c>
      <c r="C1050" s="1">
        <v>451.63</v>
      </c>
      <c r="D1050" s="1">
        <v>23.96</v>
      </c>
      <c r="E1050" s="1" t="s">
        <v>143</v>
      </c>
      <c r="F1050" s="1" t="s">
        <v>143</v>
      </c>
      <c r="G1050" s="1" t="s">
        <v>143</v>
      </c>
      <c r="H1050" s="1" t="str">
        <f>VLOOKUP(F1050,Countries!$A$1:$B$161,2,0)</f>
        <v>United Arab Emirates</v>
      </c>
    </row>
    <row r="1051" spans="1:8" x14ac:dyDescent="0.3">
      <c r="A1051" s="3">
        <v>46261.334814814807</v>
      </c>
      <c r="B1051" s="1">
        <v>7.58</v>
      </c>
      <c r="C1051" s="1">
        <v>6.5</v>
      </c>
      <c r="D1051" s="1">
        <v>0.48</v>
      </c>
      <c r="E1051" s="1" t="s">
        <v>116</v>
      </c>
      <c r="F1051" s="1" t="s">
        <v>116</v>
      </c>
      <c r="G1051" s="1" t="s">
        <v>116</v>
      </c>
      <c r="H1051" s="1" t="str">
        <f>VLOOKUP(F1051,Countries!$A$1:$B$161,2,0)</f>
        <v>Spain</v>
      </c>
    </row>
    <row r="1052" spans="1:8" x14ac:dyDescent="0.3">
      <c r="A1052" s="3">
        <v>46261.332719907397</v>
      </c>
      <c r="B1052" s="1">
        <v>1.99</v>
      </c>
      <c r="C1052" s="1">
        <v>1.71</v>
      </c>
      <c r="D1052" s="1">
        <v>0.34</v>
      </c>
      <c r="E1052" s="1" t="s">
        <v>113</v>
      </c>
      <c r="F1052" s="1" t="s">
        <v>113</v>
      </c>
      <c r="G1052" s="1" t="s">
        <v>113</v>
      </c>
      <c r="H1052" s="1" t="str">
        <f>VLOOKUP(F1052,Countries!$A$1:$B$161,2,0)</f>
        <v>United States of America</v>
      </c>
    </row>
    <row r="1053" spans="1:8" x14ac:dyDescent="0.3">
      <c r="A1053" s="3">
        <v>46261.325381944444</v>
      </c>
      <c r="B1053" s="1">
        <v>2.11</v>
      </c>
      <c r="C1053" s="1">
        <v>1.81</v>
      </c>
      <c r="D1053" s="1">
        <v>0.35</v>
      </c>
      <c r="E1053" s="1" t="s">
        <v>113</v>
      </c>
      <c r="F1053" s="1" t="s">
        <v>113</v>
      </c>
      <c r="G1053" s="1" t="s">
        <v>113</v>
      </c>
      <c r="H1053" s="1" t="str">
        <f>VLOOKUP(F1053,Countries!$A$1:$B$161,2,0)</f>
        <v>United States of America</v>
      </c>
    </row>
    <row r="1054" spans="1:8" x14ac:dyDescent="0.3">
      <c r="A1054" s="3">
        <v>46261.321597222217</v>
      </c>
      <c r="B1054" s="1">
        <v>17.010000000000002</v>
      </c>
      <c r="C1054" s="1">
        <v>14.6</v>
      </c>
      <c r="D1054" s="1">
        <v>1.01</v>
      </c>
      <c r="E1054" s="1" t="s">
        <v>113</v>
      </c>
      <c r="F1054" s="1" t="s">
        <v>113</v>
      </c>
      <c r="G1054" s="1" t="s">
        <v>113</v>
      </c>
      <c r="H1054" s="1" t="str">
        <f>VLOOKUP(F1054,Countries!$A$1:$B$161,2,0)</f>
        <v>United States of America</v>
      </c>
    </row>
    <row r="1055" spans="1:8" x14ac:dyDescent="0.3">
      <c r="A1055" s="3">
        <v>46261.31689814815</v>
      </c>
      <c r="B1055" s="1">
        <v>6.37</v>
      </c>
      <c r="C1055" s="1">
        <v>5.47</v>
      </c>
      <c r="D1055" s="1">
        <v>0.54</v>
      </c>
      <c r="E1055" s="1" t="s">
        <v>113</v>
      </c>
      <c r="F1055" s="1" t="s">
        <v>113</v>
      </c>
      <c r="G1055" s="1" t="s">
        <v>113</v>
      </c>
      <c r="H1055" s="1" t="str">
        <f>VLOOKUP(F1055,Countries!$A$1:$B$161,2,0)</f>
        <v>United States of America</v>
      </c>
    </row>
    <row r="1056" spans="1:8" x14ac:dyDescent="0.3">
      <c r="A1056" s="3">
        <v>46261.310694444437</v>
      </c>
      <c r="B1056" s="1">
        <v>4.24</v>
      </c>
      <c r="C1056" s="1">
        <v>3.64</v>
      </c>
      <c r="D1056" s="1">
        <v>0.44</v>
      </c>
      <c r="E1056" s="1" t="s">
        <v>113</v>
      </c>
      <c r="F1056" s="1" t="s">
        <v>113</v>
      </c>
      <c r="G1056" s="1" t="s">
        <v>113</v>
      </c>
      <c r="H1056" s="1" t="str">
        <f>VLOOKUP(F1056,Countries!$A$1:$B$161,2,0)</f>
        <v>United States of America</v>
      </c>
    </row>
    <row r="1057" spans="1:8" x14ac:dyDescent="0.3">
      <c r="A1057" s="3">
        <v>46261.310162037043</v>
      </c>
      <c r="B1057" s="1">
        <v>6.37</v>
      </c>
      <c r="C1057" s="1">
        <v>5.47</v>
      </c>
      <c r="D1057" s="1">
        <v>0.54</v>
      </c>
      <c r="E1057" s="1" t="s">
        <v>113</v>
      </c>
      <c r="F1057" s="1" t="s">
        <v>113</v>
      </c>
      <c r="G1057" s="1" t="s">
        <v>113</v>
      </c>
      <c r="H1057" s="1" t="str">
        <f>VLOOKUP(F1057,Countries!$A$1:$B$161,2,0)</f>
        <v>United States of America</v>
      </c>
    </row>
    <row r="1058" spans="1:8" x14ac:dyDescent="0.3">
      <c r="A1058" s="3">
        <v>46261.307453703703</v>
      </c>
      <c r="B1058" s="1">
        <v>1.99</v>
      </c>
      <c r="C1058" s="1">
        <v>1.71</v>
      </c>
      <c r="D1058" s="1">
        <v>0.31</v>
      </c>
      <c r="E1058" s="1" t="s">
        <v>123</v>
      </c>
      <c r="F1058" s="1" t="s">
        <v>123</v>
      </c>
      <c r="G1058" s="1" t="s">
        <v>123</v>
      </c>
      <c r="H1058" s="1" t="str">
        <f>VLOOKUP(F1058,Countries!$A$1:$B$161,2,0)</f>
        <v>France</v>
      </c>
    </row>
    <row r="1059" spans="1:8" x14ac:dyDescent="0.3">
      <c r="A1059" s="3">
        <v>46261.304537037038</v>
      </c>
      <c r="B1059" s="1">
        <v>6.3</v>
      </c>
      <c r="C1059" s="1">
        <v>5.41</v>
      </c>
      <c r="D1059" s="1">
        <v>0.54</v>
      </c>
      <c r="E1059" s="1" t="s">
        <v>132</v>
      </c>
      <c r="F1059" s="1" t="s">
        <v>132</v>
      </c>
      <c r="G1059" s="1" t="s">
        <v>132</v>
      </c>
      <c r="H1059" s="1" t="str">
        <f>VLOOKUP(F1059,Countries!$A$1:$B$161,2,0)</f>
        <v>Canada</v>
      </c>
    </row>
    <row r="1060" spans="1:8" x14ac:dyDescent="0.3">
      <c r="A1060" s="3">
        <v>46261.303449074083</v>
      </c>
      <c r="B1060" s="1">
        <v>2.34</v>
      </c>
      <c r="C1060" s="1">
        <v>2.0099999999999998</v>
      </c>
      <c r="D1060" s="1">
        <v>0.36</v>
      </c>
      <c r="E1060" s="1" t="s">
        <v>163</v>
      </c>
      <c r="F1060" s="1" t="s">
        <v>163</v>
      </c>
      <c r="G1060" s="1" t="s">
        <v>163</v>
      </c>
      <c r="H1060" s="1" t="str">
        <f>VLOOKUP(F1060,Countries!$A$1:$B$161,2,0)</f>
        <v>Saudi Arabia</v>
      </c>
    </row>
    <row r="1061" spans="1:8" x14ac:dyDescent="0.3">
      <c r="A1061" s="3">
        <v>46261.298113425917</v>
      </c>
      <c r="B1061" s="1">
        <v>6.58</v>
      </c>
      <c r="C1061" s="1">
        <v>5.65</v>
      </c>
      <c r="D1061" s="1">
        <v>0.54</v>
      </c>
      <c r="E1061" s="1" t="s">
        <v>152</v>
      </c>
      <c r="F1061" s="1" t="s">
        <v>152</v>
      </c>
      <c r="G1061" s="1" t="s">
        <v>152</v>
      </c>
      <c r="H1061" s="1" t="str">
        <f>VLOOKUP(F1061,Countries!$A$1:$B$161,2,0)</f>
        <v>Singapore</v>
      </c>
    </row>
    <row r="1062" spans="1:8" x14ac:dyDescent="0.3">
      <c r="A1062" s="3">
        <v>46261.296469907407</v>
      </c>
      <c r="B1062" s="1">
        <v>1.99</v>
      </c>
      <c r="C1062" s="1">
        <v>1.71</v>
      </c>
      <c r="D1062" s="1">
        <v>0.34</v>
      </c>
      <c r="E1062" s="1" t="s">
        <v>113</v>
      </c>
      <c r="F1062" s="1" t="s">
        <v>113</v>
      </c>
      <c r="G1062" s="1" t="s">
        <v>113</v>
      </c>
      <c r="H1062" s="1" t="str">
        <f>VLOOKUP(F1062,Countries!$A$1:$B$161,2,0)</f>
        <v>United States of America</v>
      </c>
    </row>
    <row r="1063" spans="1:8" x14ac:dyDescent="0.3">
      <c r="A1063" s="3">
        <v>46261.293078703697</v>
      </c>
      <c r="B1063" s="1">
        <v>5.99</v>
      </c>
      <c r="C1063" s="1">
        <v>5.14</v>
      </c>
      <c r="D1063" s="1">
        <v>0.52</v>
      </c>
      <c r="E1063" s="1" t="s">
        <v>113</v>
      </c>
      <c r="F1063" s="1" t="s">
        <v>113</v>
      </c>
      <c r="G1063" s="1" t="s">
        <v>113</v>
      </c>
      <c r="H1063" s="1" t="str">
        <f>VLOOKUP(F1063,Countries!$A$1:$B$161,2,0)</f>
        <v>United States of America</v>
      </c>
    </row>
    <row r="1064" spans="1:8" x14ac:dyDescent="0.3">
      <c r="A1064" s="3">
        <v>46261.271111111113</v>
      </c>
      <c r="B1064" s="1">
        <v>6.37</v>
      </c>
      <c r="C1064" s="1">
        <v>5.47</v>
      </c>
      <c r="D1064" s="1">
        <v>0.54</v>
      </c>
      <c r="E1064" s="1" t="s">
        <v>113</v>
      </c>
      <c r="F1064" s="1" t="s">
        <v>113</v>
      </c>
      <c r="G1064" s="1" t="s">
        <v>113</v>
      </c>
      <c r="H1064" s="1" t="str">
        <f>VLOOKUP(F1064,Countries!$A$1:$B$161,2,0)</f>
        <v>United States of America</v>
      </c>
    </row>
    <row r="1065" spans="1:8" x14ac:dyDescent="0.3">
      <c r="A1065" s="3">
        <v>46261.270601851851</v>
      </c>
      <c r="B1065" s="1">
        <v>14.77</v>
      </c>
      <c r="C1065" s="1">
        <v>12.67</v>
      </c>
      <c r="D1065" s="1">
        <v>0.91</v>
      </c>
      <c r="E1065" s="1" t="s">
        <v>113</v>
      </c>
      <c r="F1065" s="1" t="s">
        <v>113</v>
      </c>
      <c r="G1065" s="1" t="s">
        <v>113</v>
      </c>
      <c r="H1065" s="1" t="str">
        <f>VLOOKUP(F1065,Countries!$A$1:$B$161,2,0)</f>
        <v>United States of America</v>
      </c>
    </row>
    <row r="1066" spans="1:8" x14ac:dyDescent="0.3">
      <c r="A1066" s="3">
        <v>46261.26835648148</v>
      </c>
      <c r="B1066" s="1">
        <v>14.77</v>
      </c>
      <c r="C1066" s="1">
        <v>12.67</v>
      </c>
      <c r="D1066" s="1">
        <v>0.91</v>
      </c>
      <c r="E1066" s="1" t="s">
        <v>113</v>
      </c>
      <c r="F1066" s="1" t="s">
        <v>113</v>
      </c>
      <c r="G1066" s="1" t="s">
        <v>113</v>
      </c>
      <c r="H1066" s="1" t="str">
        <f>VLOOKUP(F1066,Countries!$A$1:$B$161,2,0)</f>
        <v>United States of America</v>
      </c>
    </row>
    <row r="1067" spans="1:8" x14ac:dyDescent="0.3">
      <c r="A1067" s="3">
        <v>46261.261932870373</v>
      </c>
      <c r="B1067" s="1">
        <v>6.37</v>
      </c>
      <c r="C1067" s="1">
        <v>5.47</v>
      </c>
      <c r="D1067" s="1">
        <v>0.54</v>
      </c>
      <c r="E1067" s="1" t="s">
        <v>113</v>
      </c>
      <c r="F1067" s="1" t="s">
        <v>113</v>
      </c>
      <c r="G1067" s="1" t="s">
        <v>113</v>
      </c>
      <c r="H1067" s="1" t="str">
        <f>VLOOKUP(F1067,Countries!$A$1:$B$161,2,0)</f>
        <v>United States of America</v>
      </c>
    </row>
    <row r="1068" spans="1:8" x14ac:dyDescent="0.3">
      <c r="A1068" s="3">
        <v>46261.261712962973</v>
      </c>
      <c r="B1068" s="1">
        <v>4.24</v>
      </c>
      <c r="C1068" s="1">
        <v>3.64</v>
      </c>
      <c r="D1068" s="1">
        <v>0.44</v>
      </c>
      <c r="E1068" s="1" t="s">
        <v>113</v>
      </c>
      <c r="F1068" s="1" t="s">
        <v>113</v>
      </c>
      <c r="G1068" s="1" t="s">
        <v>113</v>
      </c>
      <c r="H1068" s="1" t="str">
        <f>VLOOKUP(F1068,Countries!$A$1:$B$161,2,0)</f>
        <v>United States of America</v>
      </c>
    </row>
    <row r="1069" spans="1:8" x14ac:dyDescent="0.3">
      <c r="A1069" s="3">
        <v>46261.261111111111</v>
      </c>
      <c r="B1069" s="1">
        <v>6.37</v>
      </c>
      <c r="C1069" s="1">
        <v>5.47</v>
      </c>
      <c r="D1069" s="1">
        <v>0.54</v>
      </c>
      <c r="E1069" s="1" t="s">
        <v>113</v>
      </c>
      <c r="F1069" s="1" t="s">
        <v>113</v>
      </c>
      <c r="G1069" s="1" t="s">
        <v>113</v>
      </c>
      <c r="H1069" s="1" t="str">
        <f>VLOOKUP(F1069,Countries!$A$1:$B$161,2,0)</f>
        <v>United States of America</v>
      </c>
    </row>
    <row r="1070" spans="1:8" x14ac:dyDescent="0.3">
      <c r="A1070" s="3">
        <v>46261.258935185193</v>
      </c>
      <c r="B1070" s="1">
        <v>6.37</v>
      </c>
      <c r="C1070" s="1">
        <v>5.47</v>
      </c>
      <c r="D1070" s="1">
        <v>0.54</v>
      </c>
      <c r="E1070" s="1" t="s">
        <v>113</v>
      </c>
      <c r="F1070" s="1" t="s">
        <v>113</v>
      </c>
      <c r="G1070" s="1" t="s">
        <v>113</v>
      </c>
      <c r="H1070" s="1" t="str">
        <f>VLOOKUP(F1070,Countries!$A$1:$B$161,2,0)</f>
        <v>United States of America</v>
      </c>
    </row>
    <row r="1071" spans="1:8" x14ac:dyDescent="0.3">
      <c r="A1071" s="3">
        <v>46261.258391203701</v>
      </c>
      <c r="B1071" s="1">
        <v>14.77</v>
      </c>
      <c r="C1071" s="1">
        <v>12.67</v>
      </c>
      <c r="D1071" s="1">
        <v>0.91</v>
      </c>
      <c r="E1071" s="1" t="s">
        <v>113</v>
      </c>
      <c r="F1071" s="1" t="s">
        <v>113</v>
      </c>
      <c r="G1071" s="1" t="s">
        <v>113</v>
      </c>
      <c r="H1071" s="1" t="str">
        <f>VLOOKUP(F1071,Countries!$A$1:$B$161,2,0)</f>
        <v>United States of America</v>
      </c>
    </row>
    <row r="1072" spans="1:8" x14ac:dyDescent="0.3">
      <c r="A1072" s="3">
        <v>46261.258032407408</v>
      </c>
      <c r="B1072" s="1">
        <v>2.16</v>
      </c>
      <c r="C1072" s="1">
        <v>1.85</v>
      </c>
      <c r="D1072" s="1">
        <v>0.35</v>
      </c>
      <c r="E1072" s="1" t="s">
        <v>115</v>
      </c>
      <c r="F1072" s="1" t="s">
        <v>115</v>
      </c>
      <c r="G1072" s="1" t="s">
        <v>115</v>
      </c>
      <c r="H1072" s="1" t="str">
        <f>VLOOKUP(F1072,Countries!$A$1:$B$161,2,0)</f>
        <v>Switzerland</v>
      </c>
    </row>
    <row r="1073" spans="1:8" x14ac:dyDescent="0.3">
      <c r="A1073" s="3">
        <v>46261.251620370371</v>
      </c>
      <c r="B1073" s="1">
        <v>6.37</v>
      </c>
      <c r="C1073" s="1">
        <v>5.47</v>
      </c>
      <c r="D1073" s="1">
        <v>0.54</v>
      </c>
      <c r="E1073" s="1" t="s">
        <v>113</v>
      </c>
      <c r="F1073" s="1" t="s">
        <v>113</v>
      </c>
      <c r="G1073" s="1" t="s">
        <v>113</v>
      </c>
      <c r="H1073" s="1" t="str">
        <f>VLOOKUP(F1073,Countries!$A$1:$B$161,2,0)</f>
        <v>United States of America</v>
      </c>
    </row>
    <row r="1074" spans="1:8" x14ac:dyDescent="0.3">
      <c r="A1074" s="3">
        <v>46261.249351851853</v>
      </c>
      <c r="B1074" s="1">
        <v>14.77</v>
      </c>
      <c r="C1074" s="1">
        <v>12.67</v>
      </c>
      <c r="D1074" s="1">
        <v>0.91</v>
      </c>
      <c r="E1074" s="1" t="s">
        <v>113</v>
      </c>
      <c r="F1074" s="1" t="s">
        <v>113</v>
      </c>
      <c r="G1074" s="1" t="s">
        <v>113</v>
      </c>
      <c r="H1074" s="1" t="str">
        <f>VLOOKUP(F1074,Countries!$A$1:$B$161,2,0)</f>
        <v>United States of America</v>
      </c>
    </row>
    <row r="1075" spans="1:8" x14ac:dyDescent="0.3">
      <c r="A1075" s="3">
        <v>46261.248067129629</v>
      </c>
      <c r="B1075" s="1">
        <v>36.96</v>
      </c>
      <c r="C1075" s="1">
        <v>31.71</v>
      </c>
      <c r="D1075" s="1">
        <v>1.91</v>
      </c>
      <c r="E1075" s="1" t="s">
        <v>113</v>
      </c>
      <c r="F1075" s="1" t="s">
        <v>113</v>
      </c>
      <c r="G1075" s="1" t="s">
        <v>113</v>
      </c>
      <c r="H1075" s="1" t="str">
        <f>VLOOKUP(F1075,Countries!$A$1:$B$161,2,0)</f>
        <v>United States of America</v>
      </c>
    </row>
    <row r="1076" spans="1:8" x14ac:dyDescent="0.3">
      <c r="A1076" s="3">
        <v>46261.245578703703</v>
      </c>
      <c r="B1076" s="1">
        <v>6.37</v>
      </c>
      <c r="C1076" s="1">
        <v>5.47</v>
      </c>
      <c r="D1076" s="1">
        <v>0.54</v>
      </c>
      <c r="E1076" s="1" t="s">
        <v>183</v>
      </c>
      <c r="F1076" s="1" t="s">
        <v>183</v>
      </c>
      <c r="G1076" s="1" t="s">
        <v>183</v>
      </c>
      <c r="H1076" s="1" t="str">
        <f>VLOOKUP(F1076,Countries!$A$1:$B$161,2,0)</f>
        <v>Malaysia</v>
      </c>
    </row>
    <row r="1077" spans="1:8" x14ac:dyDescent="0.3">
      <c r="A1077" s="3">
        <v>46261.238958333342</v>
      </c>
      <c r="B1077" s="1">
        <v>526.29999999999995</v>
      </c>
      <c r="C1077" s="1">
        <v>451.55</v>
      </c>
      <c r="D1077" s="1">
        <v>23.96</v>
      </c>
      <c r="E1077" s="1" t="s">
        <v>143</v>
      </c>
      <c r="F1077" s="1" t="s">
        <v>143</v>
      </c>
      <c r="G1077" s="1" t="s">
        <v>143</v>
      </c>
      <c r="H1077" s="1" t="str">
        <f>VLOOKUP(F1077,Countries!$A$1:$B$161,2,0)</f>
        <v>United Arab Emirates</v>
      </c>
    </row>
    <row r="1078" spans="1:8" x14ac:dyDescent="0.3">
      <c r="A1078" s="3">
        <v>46261.237986111111</v>
      </c>
      <c r="B1078" s="1">
        <v>6.37</v>
      </c>
      <c r="C1078" s="1">
        <v>5.47</v>
      </c>
      <c r="D1078" s="1">
        <v>0.54</v>
      </c>
      <c r="E1078" s="1" t="s">
        <v>113</v>
      </c>
      <c r="F1078" s="1" t="s">
        <v>113</v>
      </c>
      <c r="G1078" s="1" t="s">
        <v>113</v>
      </c>
      <c r="H1078" s="1" t="str">
        <f>VLOOKUP(F1078,Countries!$A$1:$B$161,2,0)</f>
        <v>United States of America</v>
      </c>
    </row>
    <row r="1079" spans="1:8" x14ac:dyDescent="0.3">
      <c r="A1079" s="3">
        <v>46261.229699074072</v>
      </c>
      <c r="B1079" s="1">
        <v>2.65</v>
      </c>
      <c r="C1079" s="1">
        <v>2.27</v>
      </c>
      <c r="D1079" s="1">
        <v>0.33</v>
      </c>
      <c r="E1079" s="1" t="s">
        <v>184</v>
      </c>
      <c r="F1079" s="1" t="s">
        <v>133</v>
      </c>
      <c r="G1079" s="1" t="s">
        <v>133</v>
      </c>
      <c r="H1079" s="1" t="str">
        <f>VLOOKUP(F1079,Countries!$A$1:$B$161,2,0)</f>
        <v>Denmark</v>
      </c>
    </row>
    <row r="1080" spans="1:8" x14ac:dyDescent="0.3">
      <c r="A1080" s="3">
        <v>46261.213449074072</v>
      </c>
      <c r="B1080" s="1">
        <v>17.010000000000002</v>
      </c>
      <c r="C1080" s="1">
        <v>14.59</v>
      </c>
      <c r="D1080" s="1">
        <v>1.01</v>
      </c>
      <c r="E1080" s="1" t="s">
        <v>113</v>
      </c>
      <c r="F1080" s="1" t="s">
        <v>113</v>
      </c>
      <c r="G1080" s="1" t="s">
        <v>113</v>
      </c>
      <c r="H1080" s="1" t="str">
        <f>VLOOKUP(F1080,Countries!$A$1:$B$161,2,0)</f>
        <v>United States of America</v>
      </c>
    </row>
    <row r="1081" spans="1:8" x14ac:dyDescent="0.3">
      <c r="A1081" s="3">
        <v>46261.202337962961</v>
      </c>
      <c r="B1081" s="1">
        <v>14.77</v>
      </c>
      <c r="C1081" s="1">
        <v>12.67</v>
      </c>
      <c r="D1081" s="1">
        <v>0.91</v>
      </c>
      <c r="E1081" s="1" t="s">
        <v>113</v>
      </c>
      <c r="F1081" s="1" t="s">
        <v>113</v>
      </c>
      <c r="G1081" s="1" t="s">
        <v>113</v>
      </c>
      <c r="H1081" s="1" t="str">
        <f>VLOOKUP(F1081,Countries!$A$1:$B$161,2,0)</f>
        <v>United States of America</v>
      </c>
    </row>
    <row r="1082" spans="1:8" x14ac:dyDescent="0.3">
      <c r="A1082" s="3">
        <v>46261.195763888893</v>
      </c>
      <c r="B1082" s="1">
        <v>6.37</v>
      </c>
      <c r="C1082" s="1">
        <v>5.47</v>
      </c>
      <c r="D1082" s="1">
        <v>0.54</v>
      </c>
      <c r="E1082" s="1" t="s">
        <v>113</v>
      </c>
      <c r="F1082" s="1" t="s">
        <v>113</v>
      </c>
      <c r="G1082" s="1" t="s">
        <v>113</v>
      </c>
      <c r="H1082" s="1" t="str">
        <f>VLOOKUP(F1082,Countries!$A$1:$B$161,2,0)</f>
        <v>United States of America</v>
      </c>
    </row>
    <row r="1083" spans="1:8" x14ac:dyDescent="0.3">
      <c r="A1083" s="3">
        <v>46261.194872685177</v>
      </c>
      <c r="B1083" s="1">
        <v>36.96</v>
      </c>
      <c r="C1083" s="1">
        <v>31.71</v>
      </c>
      <c r="D1083" s="1">
        <v>1.91</v>
      </c>
      <c r="E1083" s="1" t="s">
        <v>113</v>
      </c>
      <c r="F1083" s="1" t="s">
        <v>113</v>
      </c>
      <c r="G1083" s="1" t="s">
        <v>113</v>
      </c>
      <c r="H1083" s="1" t="str">
        <f>VLOOKUP(F1083,Countries!$A$1:$B$161,2,0)</f>
        <v>United States of America</v>
      </c>
    </row>
    <row r="1084" spans="1:8" x14ac:dyDescent="0.3">
      <c r="A1084" s="3">
        <v>46261.194513888891</v>
      </c>
      <c r="B1084" s="1">
        <v>6.37</v>
      </c>
      <c r="C1084" s="1">
        <v>5.47</v>
      </c>
      <c r="D1084" s="1">
        <v>0.54</v>
      </c>
      <c r="E1084" s="1" t="s">
        <v>113</v>
      </c>
      <c r="F1084" s="1" t="s">
        <v>113</v>
      </c>
      <c r="G1084" s="1" t="s">
        <v>113</v>
      </c>
      <c r="H1084" s="1" t="str">
        <f>VLOOKUP(F1084,Countries!$A$1:$B$161,2,0)</f>
        <v>United States of America</v>
      </c>
    </row>
    <row r="1085" spans="1:8" x14ac:dyDescent="0.3">
      <c r="A1085" s="3">
        <v>46261.192025462973</v>
      </c>
      <c r="B1085" s="1">
        <v>6.37</v>
      </c>
      <c r="C1085" s="1">
        <v>5.47</v>
      </c>
      <c r="D1085" s="1">
        <v>0.54</v>
      </c>
      <c r="E1085" s="1" t="s">
        <v>113</v>
      </c>
      <c r="F1085" s="1" t="s">
        <v>113</v>
      </c>
      <c r="G1085" s="1" t="s">
        <v>113</v>
      </c>
      <c r="H1085" s="1" t="str">
        <f>VLOOKUP(F1085,Countries!$A$1:$B$161,2,0)</f>
        <v>United States of America</v>
      </c>
    </row>
    <row r="1086" spans="1:8" x14ac:dyDescent="0.3">
      <c r="A1086" s="3">
        <v>46261.189525462964</v>
      </c>
      <c r="B1086" s="1">
        <v>5.99</v>
      </c>
      <c r="C1086" s="1">
        <v>5.14</v>
      </c>
      <c r="D1086" s="1">
        <v>0.52</v>
      </c>
      <c r="E1086" s="1" t="s">
        <v>113</v>
      </c>
      <c r="F1086" s="1" t="s">
        <v>129</v>
      </c>
      <c r="G1086" s="1" t="s">
        <v>129</v>
      </c>
      <c r="H1086" s="1" t="str">
        <f>VLOOKUP(F1086,Countries!$A$1:$B$161,2,0)</f>
        <v>Qatar</v>
      </c>
    </row>
    <row r="1087" spans="1:8" x14ac:dyDescent="0.3">
      <c r="A1087" s="3">
        <v>46261.184212962973</v>
      </c>
      <c r="B1087" s="1">
        <v>14.77</v>
      </c>
      <c r="C1087" s="1">
        <v>12.67</v>
      </c>
      <c r="D1087" s="1">
        <v>0.91</v>
      </c>
      <c r="E1087" s="1" t="s">
        <v>113</v>
      </c>
      <c r="F1087" s="1" t="s">
        <v>113</v>
      </c>
      <c r="G1087" s="1" t="s">
        <v>113</v>
      </c>
      <c r="H1087" s="1" t="str">
        <f>VLOOKUP(F1087,Countries!$A$1:$B$161,2,0)</f>
        <v>United States of America</v>
      </c>
    </row>
    <row r="1088" spans="1:8" x14ac:dyDescent="0.3">
      <c r="A1088" s="3">
        <v>46261.180462962962</v>
      </c>
      <c r="B1088" s="1">
        <v>10.62</v>
      </c>
      <c r="C1088" s="1">
        <v>9.11</v>
      </c>
      <c r="D1088" s="1">
        <v>0.73</v>
      </c>
      <c r="E1088" s="1" t="s">
        <v>113</v>
      </c>
      <c r="F1088" s="1" t="s">
        <v>113</v>
      </c>
      <c r="G1088" s="1" t="s">
        <v>113</v>
      </c>
      <c r="H1088" s="1" t="str">
        <f>VLOOKUP(F1088,Countries!$A$1:$B$161,2,0)</f>
        <v>United States of America</v>
      </c>
    </row>
    <row r="1089" spans="1:8" x14ac:dyDescent="0.3">
      <c r="A1089" s="3">
        <v>46261.170983796299</v>
      </c>
      <c r="B1089" s="1">
        <v>14.77</v>
      </c>
      <c r="C1089" s="1">
        <v>12.67</v>
      </c>
      <c r="D1089" s="1">
        <v>0.91</v>
      </c>
      <c r="E1089" s="1" t="s">
        <v>113</v>
      </c>
      <c r="F1089" s="1" t="s">
        <v>113</v>
      </c>
      <c r="G1089" s="1" t="s">
        <v>113</v>
      </c>
      <c r="H1089" s="1" t="str">
        <f>VLOOKUP(F1089,Countries!$A$1:$B$161,2,0)</f>
        <v>United States of America</v>
      </c>
    </row>
    <row r="1090" spans="1:8" x14ac:dyDescent="0.3">
      <c r="A1090" s="3">
        <v>46261.156666666669</v>
      </c>
      <c r="B1090" s="1">
        <v>6.37</v>
      </c>
      <c r="C1090" s="1">
        <v>5.47</v>
      </c>
      <c r="D1090" s="1">
        <v>0.54</v>
      </c>
      <c r="E1090" s="1" t="s">
        <v>113</v>
      </c>
      <c r="F1090" s="1" t="s">
        <v>113</v>
      </c>
      <c r="G1090" s="1" t="s">
        <v>113</v>
      </c>
      <c r="H1090" s="1" t="str">
        <f>VLOOKUP(F1090,Countries!$A$1:$B$161,2,0)</f>
        <v>United States of America</v>
      </c>
    </row>
    <row r="1091" spans="1:8" x14ac:dyDescent="0.3">
      <c r="A1091" s="3">
        <v>46261.149965277778</v>
      </c>
      <c r="B1091" s="1">
        <v>7.48</v>
      </c>
      <c r="C1091" s="1">
        <v>6.42</v>
      </c>
      <c r="D1091" s="1">
        <v>0.54</v>
      </c>
      <c r="E1091" s="1" t="s">
        <v>119</v>
      </c>
      <c r="F1091" s="1" t="s">
        <v>119</v>
      </c>
      <c r="G1091" s="1" t="s">
        <v>119</v>
      </c>
      <c r="H1091" s="1" t="str">
        <f>VLOOKUP(F1091,Countries!$A$1:$B$161,2,0)</f>
        <v>Great Britain (United Kingdom)</v>
      </c>
    </row>
    <row r="1092" spans="1:8" x14ac:dyDescent="0.3">
      <c r="A1092" s="3">
        <v>46261.141932870371</v>
      </c>
      <c r="B1092" s="1">
        <v>36.96</v>
      </c>
      <c r="C1092" s="1">
        <v>31.71</v>
      </c>
      <c r="D1092" s="1">
        <v>1.91</v>
      </c>
      <c r="E1092" s="1" t="s">
        <v>113</v>
      </c>
      <c r="F1092" s="1" t="s">
        <v>113</v>
      </c>
      <c r="G1092" s="1" t="s">
        <v>113</v>
      </c>
      <c r="H1092" s="1" t="str">
        <f>VLOOKUP(F1092,Countries!$A$1:$B$161,2,0)</f>
        <v>United States of America</v>
      </c>
    </row>
    <row r="1093" spans="1:8" x14ac:dyDescent="0.3">
      <c r="A1093" s="3">
        <v>46261.140208333331</v>
      </c>
      <c r="B1093" s="1">
        <v>3.78</v>
      </c>
      <c r="C1093" s="1">
        <v>3.24</v>
      </c>
      <c r="D1093" s="1">
        <v>0.36</v>
      </c>
      <c r="E1093" s="1" t="s">
        <v>151</v>
      </c>
      <c r="F1093" s="1" t="s">
        <v>151</v>
      </c>
      <c r="G1093" s="1" t="s">
        <v>151</v>
      </c>
      <c r="H1093" s="1" t="str">
        <f>VLOOKUP(F1093,Countries!$A$1:$B$161,2,0)</f>
        <v>Netherlands (Holland)</v>
      </c>
    </row>
    <row r="1094" spans="1:8" x14ac:dyDescent="0.3">
      <c r="A1094" s="3">
        <v>46261.138437499998</v>
      </c>
      <c r="B1094" s="1">
        <v>36.96</v>
      </c>
      <c r="C1094" s="1">
        <v>31.71</v>
      </c>
      <c r="D1094" s="1">
        <v>1.91</v>
      </c>
      <c r="E1094" s="1" t="s">
        <v>113</v>
      </c>
      <c r="F1094" s="1" t="s">
        <v>113</v>
      </c>
      <c r="G1094" s="1" t="s">
        <v>113</v>
      </c>
      <c r="H1094" s="1" t="str">
        <f>VLOOKUP(F1094,Countries!$A$1:$B$161,2,0)</f>
        <v>United States of America</v>
      </c>
    </row>
    <row r="1095" spans="1:8" x14ac:dyDescent="0.3">
      <c r="A1095" s="3">
        <v>46261.13380787037</v>
      </c>
      <c r="B1095" s="1">
        <v>2.11</v>
      </c>
      <c r="C1095" s="1">
        <v>1.81</v>
      </c>
      <c r="D1095" s="1">
        <v>0.35</v>
      </c>
      <c r="E1095" s="1" t="s">
        <v>113</v>
      </c>
      <c r="F1095" s="1" t="s">
        <v>113</v>
      </c>
      <c r="G1095" s="1" t="s">
        <v>113</v>
      </c>
      <c r="H1095" s="1" t="str">
        <f>VLOOKUP(F1095,Countries!$A$1:$B$161,2,0)</f>
        <v>United States of America</v>
      </c>
    </row>
    <row r="1096" spans="1:8" x14ac:dyDescent="0.3">
      <c r="A1096" s="3">
        <v>46261.133530092593</v>
      </c>
      <c r="B1096" s="1">
        <v>8.5</v>
      </c>
      <c r="C1096" s="1">
        <v>7.29</v>
      </c>
      <c r="D1096" s="1">
        <v>0.64</v>
      </c>
      <c r="E1096" s="1" t="s">
        <v>113</v>
      </c>
      <c r="F1096" s="1" t="s">
        <v>113</v>
      </c>
      <c r="G1096" s="1" t="s">
        <v>113</v>
      </c>
      <c r="H1096" s="1" t="str">
        <f>VLOOKUP(F1096,Countries!$A$1:$B$161,2,0)</f>
        <v>United States of America</v>
      </c>
    </row>
    <row r="1097" spans="1:8" x14ac:dyDescent="0.3">
      <c r="A1097" s="3">
        <v>46261.111493055563</v>
      </c>
      <c r="B1097" s="1">
        <v>6.37</v>
      </c>
      <c r="C1097" s="1">
        <v>5.46</v>
      </c>
      <c r="D1097" s="1">
        <v>0.54</v>
      </c>
      <c r="E1097" s="1" t="s">
        <v>113</v>
      </c>
      <c r="F1097" s="1" t="s">
        <v>113</v>
      </c>
      <c r="G1097" s="1" t="s">
        <v>113</v>
      </c>
      <c r="H1097" s="1" t="str">
        <f>VLOOKUP(F1097,Countries!$A$1:$B$161,2,0)</f>
        <v>United States of America</v>
      </c>
    </row>
    <row r="1098" spans="1:8" x14ac:dyDescent="0.3">
      <c r="A1098" s="3">
        <v>46261.110798611109</v>
      </c>
      <c r="B1098" s="1">
        <v>6.37</v>
      </c>
      <c r="C1098" s="1">
        <v>5.46</v>
      </c>
      <c r="D1098" s="1">
        <v>0.54</v>
      </c>
      <c r="E1098" s="1" t="s">
        <v>113</v>
      </c>
      <c r="F1098" s="1" t="s">
        <v>113</v>
      </c>
      <c r="G1098" s="1" t="s">
        <v>113</v>
      </c>
      <c r="H1098" s="1" t="str">
        <f>VLOOKUP(F1098,Countries!$A$1:$B$161,2,0)</f>
        <v>United States of America</v>
      </c>
    </row>
    <row r="1099" spans="1:8" x14ac:dyDescent="0.3">
      <c r="A1099" s="3">
        <v>46261.092303240737</v>
      </c>
      <c r="B1099" s="1">
        <v>4.24</v>
      </c>
      <c r="C1099" s="1">
        <v>3.64</v>
      </c>
      <c r="D1099" s="1">
        <v>0.44</v>
      </c>
      <c r="E1099" s="1" t="s">
        <v>113</v>
      </c>
      <c r="F1099" s="1" t="s">
        <v>113</v>
      </c>
      <c r="G1099" s="1" t="s">
        <v>113</v>
      </c>
      <c r="H1099" s="1" t="str">
        <f>VLOOKUP(F1099,Countries!$A$1:$B$161,2,0)</f>
        <v>United States of America</v>
      </c>
    </row>
    <row r="1100" spans="1:8" x14ac:dyDescent="0.3">
      <c r="A1100" s="3">
        <v>46261.085960648154</v>
      </c>
      <c r="B1100" s="1">
        <v>1.99</v>
      </c>
      <c r="C1100" s="1">
        <v>1.71</v>
      </c>
      <c r="D1100" s="1">
        <v>0.34</v>
      </c>
      <c r="E1100" s="1" t="s">
        <v>148</v>
      </c>
      <c r="F1100" s="1" t="s">
        <v>148</v>
      </c>
      <c r="G1100" s="1" t="s">
        <v>148</v>
      </c>
      <c r="H1100" s="1" t="str">
        <f>VLOOKUP(F1100,Countries!$A$1:$B$161,2,0)</f>
        <v>Honduras</v>
      </c>
    </row>
    <row r="1101" spans="1:8" x14ac:dyDescent="0.3">
      <c r="A1101" s="3">
        <v>46261.081689814811</v>
      </c>
      <c r="B1101" s="1">
        <v>7.58</v>
      </c>
      <c r="C1101" s="1">
        <v>6.5</v>
      </c>
      <c r="D1101" s="1">
        <v>0.48</v>
      </c>
      <c r="E1101" s="1" t="s">
        <v>116</v>
      </c>
      <c r="F1101" s="1" t="s">
        <v>116</v>
      </c>
      <c r="G1101" s="1" t="s">
        <v>116</v>
      </c>
      <c r="H1101" s="1" t="str">
        <f>VLOOKUP(F1101,Countries!$A$1:$B$161,2,0)</f>
        <v>Spain</v>
      </c>
    </row>
    <row r="1102" spans="1:8" x14ac:dyDescent="0.3">
      <c r="A1102" s="3">
        <v>46261.080289351848</v>
      </c>
      <c r="B1102" s="1">
        <v>7.77</v>
      </c>
      <c r="C1102" s="1">
        <v>6.67</v>
      </c>
      <c r="D1102" s="1">
        <v>0.48</v>
      </c>
      <c r="E1102" s="1" t="s">
        <v>137</v>
      </c>
      <c r="F1102" s="1" t="s">
        <v>137</v>
      </c>
      <c r="G1102" s="1" t="s">
        <v>137</v>
      </c>
      <c r="H1102" s="1" t="str">
        <f>VLOOKUP(F1102,Countries!$A$1:$B$161,2,0)</f>
        <v>Poland</v>
      </c>
    </row>
    <row r="1103" spans="1:8" x14ac:dyDescent="0.3">
      <c r="A1103" s="3">
        <v>46261.078831018523</v>
      </c>
      <c r="B1103" s="1">
        <v>6.37</v>
      </c>
      <c r="C1103" s="1">
        <v>5.46</v>
      </c>
      <c r="D1103" s="1">
        <v>0.54</v>
      </c>
      <c r="E1103" s="1" t="s">
        <v>113</v>
      </c>
      <c r="F1103" s="1" t="s">
        <v>113</v>
      </c>
      <c r="G1103" s="1" t="s">
        <v>113</v>
      </c>
      <c r="H1103" s="1" t="str">
        <f>VLOOKUP(F1103,Countries!$A$1:$B$161,2,0)</f>
        <v>United States of America</v>
      </c>
    </row>
    <row r="1104" spans="1:8" x14ac:dyDescent="0.3">
      <c r="A1104" s="3">
        <v>46261.075648148151</v>
      </c>
      <c r="B1104" s="1">
        <v>58.41</v>
      </c>
      <c r="C1104" s="1">
        <v>50.11</v>
      </c>
      <c r="D1104" s="1">
        <v>2.88</v>
      </c>
      <c r="E1104" s="1" t="s">
        <v>132</v>
      </c>
      <c r="F1104" s="1" t="s">
        <v>132</v>
      </c>
      <c r="G1104" s="1" t="s">
        <v>132</v>
      </c>
      <c r="H1104" s="1" t="str">
        <f>VLOOKUP(F1104,Countries!$A$1:$B$161,2,0)</f>
        <v>Canada</v>
      </c>
    </row>
    <row r="1105" spans="1:8" x14ac:dyDescent="0.3">
      <c r="A1105" s="3">
        <v>46261.068090277768</v>
      </c>
      <c r="B1105" s="1">
        <v>6.37</v>
      </c>
      <c r="C1105" s="1">
        <v>5.46</v>
      </c>
      <c r="D1105" s="1">
        <v>0.54</v>
      </c>
      <c r="E1105" s="1" t="s">
        <v>113</v>
      </c>
      <c r="F1105" s="1" t="s">
        <v>113</v>
      </c>
      <c r="G1105" s="1" t="s">
        <v>113</v>
      </c>
      <c r="H1105" s="1" t="str">
        <f>VLOOKUP(F1105,Countries!$A$1:$B$161,2,0)</f>
        <v>United States of America</v>
      </c>
    </row>
    <row r="1106" spans="1:8" x14ac:dyDescent="0.3">
      <c r="A1106" s="3">
        <v>46261.060474537036</v>
      </c>
      <c r="B1106" s="1">
        <v>22.18</v>
      </c>
      <c r="C1106" s="1">
        <v>19.03</v>
      </c>
      <c r="D1106" s="1">
        <v>1.25</v>
      </c>
      <c r="E1106" s="1" t="s">
        <v>113</v>
      </c>
      <c r="F1106" s="1" t="s">
        <v>113</v>
      </c>
      <c r="G1106" s="1" t="s">
        <v>113</v>
      </c>
      <c r="H1106" s="1" t="str">
        <f>VLOOKUP(F1106,Countries!$A$1:$B$161,2,0)</f>
        <v>United States of America</v>
      </c>
    </row>
    <row r="1107" spans="1:8" x14ac:dyDescent="0.3">
      <c r="A1107" s="3">
        <v>46261.06</v>
      </c>
      <c r="B1107" s="1">
        <v>36.96</v>
      </c>
      <c r="C1107" s="1">
        <v>31.71</v>
      </c>
      <c r="D1107" s="1">
        <v>1.91</v>
      </c>
      <c r="E1107" s="1" t="s">
        <v>113</v>
      </c>
      <c r="F1107" s="1" t="s">
        <v>113</v>
      </c>
      <c r="G1107" s="1" t="s">
        <v>113</v>
      </c>
      <c r="H1107" s="1" t="str">
        <f>VLOOKUP(F1107,Countries!$A$1:$B$161,2,0)</f>
        <v>United States of America</v>
      </c>
    </row>
    <row r="1108" spans="1:8" x14ac:dyDescent="0.3">
      <c r="A1108" s="3">
        <v>46261.059212962973</v>
      </c>
      <c r="B1108" s="1">
        <v>14.78</v>
      </c>
      <c r="C1108" s="1">
        <v>12.68</v>
      </c>
      <c r="D1108" s="1">
        <v>0.91</v>
      </c>
      <c r="E1108" s="1" t="s">
        <v>113</v>
      </c>
      <c r="F1108" s="1" t="s">
        <v>113</v>
      </c>
      <c r="G1108" s="1" t="s">
        <v>113</v>
      </c>
      <c r="H1108" s="1" t="str">
        <f>VLOOKUP(F1108,Countries!$A$1:$B$161,2,0)</f>
        <v>United States of America</v>
      </c>
    </row>
    <row r="1109" spans="1:8" x14ac:dyDescent="0.3">
      <c r="A1109" s="3">
        <v>46261.058680555558</v>
      </c>
      <c r="B1109" s="1">
        <v>22.18</v>
      </c>
      <c r="C1109" s="1">
        <v>19.03</v>
      </c>
      <c r="D1109" s="1">
        <v>1.25</v>
      </c>
      <c r="E1109" s="1" t="s">
        <v>113</v>
      </c>
      <c r="F1109" s="1" t="s">
        <v>113</v>
      </c>
      <c r="G1109" s="1" t="s">
        <v>113</v>
      </c>
      <c r="H1109" s="1" t="str">
        <f>VLOOKUP(F1109,Countries!$A$1:$B$161,2,0)</f>
        <v>United States of America</v>
      </c>
    </row>
    <row r="1110" spans="1:8" x14ac:dyDescent="0.3">
      <c r="A1110" s="3">
        <v>46261.05841435185</v>
      </c>
      <c r="B1110" s="1">
        <v>6.37</v>
      </c>
      <c r="C1110" s="1">
        <v>5.46</v>
      </c>
      <c r="D1110" s="1">
        <v>0.54</v>
      </c>
      <c r="E1110" s="1" t="s">
        <v>113</v>
      </c>
      <c r="F1110" s="1" t="s">
        <v>113</v>
      </c>
      <c r="G1110" s="1" t="s">
        <v>113</v>
      </c>
      <c r="H1110" s="1" t="str">
        <f>VLOOKUP(F1110,Countries!$A$1:$B$161,2,0)</f>
        <v>United States of America</v>
      </c>
    </row>
    <row r="1111" spans="1:8" x14ac:dyDescent="0.3">
      <c r="A1111" s="3">
        <v>46261.050798611112</v>
      </c>
      <c r="B1111" s="1">
        <v>2.11</v>
      </c>
      <c r="C1111" s="1">
        <v>1.81</v>
      </c>
      <c r="D1111" s="1">
        <v>0.35</v>
      </c>
      <c r="E1111" s="1" t="s">
        <v>113</v>
      </c>
      <c r="F1111" s="1" t="s">
        <v>113</v>
      </c>
      <c r="G1111" s="1" t="s">
        <v>113</v>
      </c>
      <c r="H1111" s="1" t="str">
        <f>VLOOKUP(F1111,Countries!$A$1:$B$161,2,0)</f>
        <v>United States of America</v>
      </c>
    </row>
    <row r="1112" spans="1:8" x14ac:dyDescent="0.3">
      <c r="A1112" s="3">
        <v>46261.050104166658</v>
      </c>
      <c r="B1112" s="1">
        <v>10.51</v>
      </c>
      <c r="C1112" s="1">
        <v>9.02</v>
      </c>
      <c r="D1112" s="1">
        <v>0.72</v>
      </c>
      <c r="E1112" s="1" t="s">
        <v>143</v>
      </c>
      <c r="F1112" s="1" t="s">
        <v>143</v>
      </c>
      <c r="G1112" s="1" t="s">
        <v>143</v>
      </c>
      <c r="H1112" s="1" t="str">
        <f>VLOOKUP(F1112,Countries!$A$1:$B$161,2,0)</f>
        <v>United Arab Emirates</v>
      </c>
    </row>
    <row r="1113" spans="1:8" x14ac:dyDescent="0.3">
      <c r="A1113" s="3">
        <v>46261.049953703703</v>
      </c>
      <c r="B1113" s="1">
        <v>3.99</v>
      </c>
      <c r="C1113" s="1">
        <v>3.42</v>
      </c>
      <c r="D1113" s="1">
        <v>0.43</v>
      </c>
      <c r="E1113" s="1" t="s">
        <v>113</v>
      </c>
      <c r="F1113" s="1" t="s">
        <v>113</v>
      </c>
      <c r="G1113" s="1" t="s">
        <v>113</v>
      </c>
      <c r="H1113" s="1" t="str">
        <f>VLOOKUP(F1113,Countries!$A$1:$B$161,2,0)</f>
        <v>United States of America</v>
      </c>
    </row>
    <row r="1114" spans="1:8" x14ac:dyDescent="0.3">
      <c r="A1114" s="3">
        <v>46261.046585648153</v>
      </c>
      <c r="B1114" s="1">
        <v>7.58</v>
      </c>
      <c r="C1114" s="1">
        <v>6.5</v>
      </c>
      <c r="D1114" s="1">
        <v>0.48</v>
      </c>
      <c r="E1114" s="1" t="s">
        <v>116</v>
      </c>
      <c r="F1114" s="1" t="s">
        <v>116</v>
      </c>
      <c r="G1114" s="1" t="s">
        <v>116</v>
      </c>
      <c r="H1114" s="1" t="str">
        <f>VLOOKUP(F1114,Countries!$A$1:$B$161,2,0)</f>
        <v>Spain</v>
      </c>
    </row>
    <row r="1115" spans="1:8" x14ac:dyDescent="0.3">
      <c r="A1115" s="3">
        <v>46261.043113425927</v>
      </c>
      <c r="B1115" s="1">
        <v>5.99</v>
      </c>
      <c r="C1115" s="1">
        <v>5.14</v>
      </c>
      <c r="D1115" s="1">
        <v>0.52</v>
      </c>
      <c r="E1115" s="1" t="s">
        <v>169</v>
      </c>
      <c r="F1115" s="1" t="s">
        <v>169</v>
      </c>
      <c r="G1115" s="1" t="s">
        <v>169</v>
      </c>
      <c r="H1115" s="1" t="str">
        <f>VLOOKUP(F1115,Countries!$A$1:$B$161,2,0)</f>
        <v>Sri Lanka</v>
      </c>
    </row>
    <row r="1116" spans="1:8" x14ac:dyDescent="0.3">
      <c r="A1116" s="3">
        <v>46261.027511574073</v>
      </c>
      <c r="B1116" s="1">
        <v>11.69</v>
      </c>
      <c r="C1116" s="1">
        <v>10.029999999999999</v>
      </c>
      <c r="D1116" s="1">
        <v>0.78</v>
      </c>
      <c r="E1116" s="1" t="s">
        <v>113</v>
      </c>
      <c r="F1116" s="1" t="s">
        <v>113</v>
      </c>
      <c r="G1116" s="1" t="s">
        <v>113</v>
      </c>
      <c r="H1116" s="1" t="str">
        <f>VLOOKUP(F1116,Countries!$A$1:$B$161,2,0)</f>
        <v>United States of America</v>
      </c>
    </row>
    <row r="1117" spans="1:8" x14ac:dyDescent="0.3">
      <c r="A1117" s="3">
        <v>46261.005983796298</v>
      </c>
      <c r="B1117" s="1">
        <v>7.21</v>
      </c>
      <c r="C1117" s="1">
        <v>6.19</v>
      </c>
      <c r="D1117" s="1">
        <v>0.56999999999999995</v>
      </c>
      <c r="E1117" s="1" t="s">
        <v>165</v>
      </c>
      <c r="F1117" s="1" t="s">
        <v>165</v>
      </c>
      <c r="G1117" s="1" t="s">
        <v>165</v>
      </c>
      <c r="H1117" s="1" t="str">
        <f>VLOOKUP(F1117,Countries!$A$1:$B$161,2,0)</f>
        <v>Israel</v>
      </c>
    </row>
    <row r="1118" spans="1:8" x14ac:dyDescent="0.3">
      <c r="A1118" s="3">
        <v>46261.005393518521</v>
      </c>
      <c r="B1118" s="1">
        <v>7.48</v>
      </c>
      <c r="C1118" s="1">
        <v>6.42</v>
      </c>
      <c r="D1118" s="1">
        <v>0.54</v>
      </c>
      <c r="E1118" s="1" t="s">
        <v>119</v>
      </c>
      <c r="F1118" s="1" t="s">
        <v>119</v>
      </c>
      <c r="G1118" s="1" t="s">
        <v>119</v>
      </c>
      <c r="H1118" s="1" t="str">
        <f>VLOOKUP(F1118,Countries!$A$1:$B$161,2,0)</f>
        <v>Great Britain (United Kingdom)</v>
      </c>
    </row>
    <row r="1119" spans="1:8" x14ac:dyDescent="0.3">
      <c r="A1119" s="3">
        <v>46261.003553240742</v>
      </c>
      <c r="B1119" s="1">
        <v>6.37</v>
      </c>
      <c r="C1119" s="1">
        <v>5.47</v>
      </c>
      <c r="D1119" s="1">
        <v>0.54</v>
      </c>
      <c r="E1119" s="1" t="s">
        <v>113</v>
      </c>
      <c r="F1119" s="1" t="s">
        <v>113</v>
      </c>
      <c r="G1119" s="1" t="s">
        <v>113</v>
      </c>
      <c r="H1119" s="1" t="str">
        <f>VLOOKUP(F1119,Countries!$A$1:$B$161,2,0)</f>
        <v>United States of America</v>
      </c>
    </row>
    <row r="1120" spans="1:8" x14ac:dyDescent="0.3">
      <c r="A1120" s="3">
        <v>46260.998807870368</v>
      </c>
      <c r="B1120" s="1">
        <v>29.57</v>
      </c>
      <c r="C1120" s="1">
        <v>25.37</v>
      </c>
      <c r="D1120" s="1">
        <v>1.58</v>
      </c>
      <c r="E1120" s="1" t="s">
        <v>113</v>
      </c>
      <c r="F1120" s="1" t="s">
        <v>113</v>
      </c>
      <c r="G1120" s="1" t="s">
        <v>113</v>
      </c>
      <c r="H1120" s="1" t="str">
        <f>VLOOKUP(F1120,Countries!$A$1:$B$161,2,0)</f>
        <v>United States of America</v>
      </c>
    </row>
    <row r="1121" spans="1:8" x14ac:dyDescent="0.3">
      <c r="A1121" s="3">
        <v>46260.996400462973</v>
      </c>
      <c r="B1121" s="1">
        <v>6.37</v>
      </c>
      <c r="C1121" s="1">
        <v>5.46</v>
      </c>
      <c r="D1121" s="1">
        <v>0.54</v>
      </c>
      <c r="E1121" s="1" t="s">
        <v>113</v>
      </c>
      <c r="F1121" s="1" t="s">
        <v>113</v>
      </c>
      <c r="G1121" s="1" t="s">
        <v>113</v>
      </c>
      <c r="H1121" s="1" t="str">
        <f>VLOOKUP(F1121,Countries!$A$1:$B$161,2,0)</f>
        <v>United States of America</v>
      </c>
    </row>
    <row r="1122" spans="1:8" x14ac:dyDescent="0.3">
      <c r="A1122" s="3">
        <v>46260.990648148138</v>
      </c>
      <c r="B1122" s="1">
        <v>3.18</v>
      </c>
      <c r="C1122" s="1">
        <v>2.73</v>
      </c>
      <c r="D1122" s="1">
        <v>0.39</v>
      </c>
      <c r="E1122" s="1" t="s">
        <v>113</v>
      </c>
      <c r="F1122" s="1" t="s">
        <v>113</v>
      </c>
      <c r="G1122" s="1" t="s">
        <v>113</v>
      </c>
      <c r="H1122" s="1" t="str">
        <f>VLOOKUP(F1122,Countries!$A$1:$B$161,2,0)</f>
        <v>United States of America</v>
      </c>
    </row>
    <row r="1123" spans="1:8" x14ac:dyDescent="0.3">
      <c r="A1123" s="3">
        <v>46260.984375</v>
      </c>
      <c r="B1123" s="1">
        <v>6.37</v>
      </c>
      <c r="C1123" s="1">
        <v>5.46</v>
      </c>
      <c r="D1123" s="1">
        <v>0.54</v>
      </c>
      <c r="E1123" s="1" t="s">
        <v>113</v>
      </c>
      <c r="F1123" s="1" t="s">
        <v>113</v>
      </c>
      <c r="G1123" s="1" t="s">
        <v>113</v>
      </c>
      <c r="H1123" s="1" t="str">
        <f>VLOOKUP(F1123,Countries!$A$1:$B$161,2,0)</f>
        <v>United States of America</v>
      </c>
    </row>
    <row r="1124" spans="1:8" x14ac:dyDescent="0.3">
      <c r="A1124" s="3">
        <v>46260.979942129627</v>
      </c>
      <c r="B1124" s="1">
        <v>12.33</v>
      </c>
      <c r="C1124" s="1">
        <v>10.58</v>
      </c>
      <c r="D1124" s="1">
        <v>0.62</v>
      </c>
      <c r="E1124" s="1" t="s">
        <v>159</v>
      </c>
      <c r="F1124" s="1" t="s">
        <v>159</v>
      </c>
      <c r="G1124" s="1" t="s">
        <v>159</v>
      </c>
      <c r="H1124" s="1" t="str">
        <f>VLOOKUP(F1124,Countries!$A$1:$B$161,2,0)</f>
        <v>Romania</v>
      </c>
    </row>
    <row r="1125" spans="1:8" x14ac:dyDescent="0.3">
      <c r="A1125" s="3">
        <v>46260.97965277778</v>
      </c>
      <c r="B1125" s="1">
        <v>6.37</v>
      </c>
      <c r="C1125" s="1">
        <v>5.46</v>
      </c>
      <c r="D1125" s="1">
        <v>0.54</v>
      </c>
      <c r="E1125" s="1" t="s">
        <v>113</v>
      </c>
      <c r="F1125" s="1" t="s">
        <v>113</v>
      </c>
      <c r="G1125" s="1" t="s">
        <v>113</v>
      </c>
      <c r="H1125" s="1" t="str">
        <f>VLOOKUP(F1125,Countries!$A$1:$B$161,2,0)</f>
        <v>United States of America</v>
      </c>
    </row>
    <row r="1126" spans="1:8" x14ac:dyDescent="0.3">
      <c r="A1126" s="3">
        <v>46260.976979166669</v>
      </c>
      <c r="B1126" s="1">
        <v>12.8</v>
      </c>
      <c r="C1126" s="1">
        <v>10.98</v>
      </c>
      <c r="D1126" s="1">
        <v>0.63</v>
      </c>
      <c r="E1126" s="1" t="s">
        <v>124</v>
      </c>
      <c r="F1126" s="1" t="s">
        <v>124</v>
      </c>
      <c r="G1126" s="1" t="s">
        <v>124</v>
      </c>
      <c r="H1126" s="1" t="str">
        <f>VLOOKUP(F1126,Countries!$A$1:$B$161,2,0)</f>
        <v>Italy</v>
      </c>
    </row>
    <row r="1127" spans="1:8" x14ac:dyDescent="0.3">
      <c r="A1127" s="3">
        <v>46260.973495370366</v>
      </c>
      <c r="B1127" s="1">
        <v>4.33</v>
      </c>
      <c r="C1127" s="1">
        <v>3.71</v>
      </c>
      <c r="D1127" s="1">
        <v>0.44</v>
      </c>
      <c r="E1127" s="1" t="s">
        <v>115</v>
      </c>
      <c r="F1127" s="1" t="s">
        <v>115</v>
      </c>
      <c r="G1127" s="1" t="s">
        <v>115</v>
      </c>
      <c r="H1127" s="1" t="str">
        <f>VLOOKUP(F1127,Countries!$A$1:$B$161,2,0)</f>
        <v>Switzerland</v>
      </c>
    </row>
    <row r="1128" spans="1:8" x14ac:dyDescent="0.3">
      <c r="A1128" s="3">
        <v>46260.972766203697</v>
      </c>
      <c r="B1128" s="1">
        <v>6.37</v>
      </c>
      <c r="C1128" s="1">
        <v>5.46</v>
      </c>
      <c r="D1128" s="1">
        <v>0.54</v>
      </c>
      <c r="E1128" s="1" t="s">
        <v>113</v>
      </c>
      <c r="F1128" s="1" t="s">
        <v>113</v>
      </c>
      <c r="G1128" s="1" t="s">
        <v>113</v>
      </c>
      <c r="H1128" s="1" t="str">
        <f>VLOOKUP(F1128,Countries!$A$1:$B$161,2,0)</f>
        <v>United States of America</v>
      </c>
    </row>
    <row r="1129" spans="1:8" x14ac:dyDescent="0.3">
      <c r="A1129" s="3">
        <v>46260.970856481479</v>
      </c>
      <c r="B1129" s="1">
        <v>15.43</v>
      </c>
      <c r="C1129" s="1">
        <v>13.24</v>
      </c>
      <c r="D1129" s="1">
        <v>0.94</v>
      </c>
      <c r="E1129" s="1" t="s">
        <v>130</v>
      </c>
      <c r="F1129" s="1" t="s">
        <v>130</v>
      </c>
      <c r="G1129" s="1" t="s">
        <v>130</v>
      </c>
      <c r="H1129" s="1" t="str">
        <f>VLOOKUP(F1129,Countries!$A$1:$B$161,2,0)</f>
        <v>Australia</v>
      </c>
    </row>
    <row r="1130" spans="1:8" x14ac:dyDescent="0.3">
      <c r="A1130" s="3">
        <v>46260.968877314823</v>
      </c>
      <c r="B1130" s="1">
        <v>6.37</v>
      </c>
      <c r="C1130" s="1">
        <v>5.46</v>
      </c>
      <c r="D1130" s="1">
        <v>0.54</v>
      </c>
      <c r="E1130" s="1" t="s">
        <v>113</v>
      </c>
      <c r="F1130" s="1" t="s">
        <v>113</v>
      </c>
      <c r="G1130" s="1" t="s">
        <v>113</v>
      </c>
      <c r="H1130" s="1" t="str">
        <f>VLOOKUP(F1130,Countries!$A$1:$B$161,2,0)</f>
        <v>United States of America</v>
      </c>
    </row>
    <row r="1131" spans="1:8" x14ac:dyDescent="0.3">
      <c r="A1131" s="3">
        <v>46260.968645833331</v>
      </c>
      <c r="B1131" s="1">
        <v>9.86</v>
      </c>
      <c r="C1131" s="1">
        <v>8.4600000000000009</v>
      </c>
      <c r="D1131" s="1">
        <v>0.55000000000000004</v>
      </c>
      <c r="E1131" s="1" t="s">
        <v>137</v>
      </c>
      <c r="F1131" s="1" t="s">
        <v>137</v>
      </c>
      <c r="G1131" s="1" t="s">
        <v>137</v>
      </c>
      <c r="H1131" s="1" t="str">
        <f>VLOOKUP(F1131,Countries!$A$1:$B$161,2,0)</f>
        <v>Poland</v>
      </c>
    </row>
    <row r="1132" spans="1:8" x14ac:dyDescent="0.3">
      <c r="A1132" s="3">
        <v>46260.968136574083</v>
      </c>
      <c r="B1132" s="1">
        <v>10.85</v>
      </c>
      <c r="C1132" s="1">
        <v>9.31</v>
      </c>
      <c r="D1132" s="1">
        <v>0.74</v>
      </c>
      <c r="E1132" s="1" t="s">
        <v>115</v>
      </c>
      <c r="F1132" s="1" t="s">
        <v>115</v>
      </c>
      <c r="G1132" s="1" t="s">
        <v>115</v>
      </c>
      <c r="H1132" s="1" t="str">
        <f>VLOOKUP(F1132,Countries!$A$1:$B$161,2,0)</f>
        <v>Switzerland</v>
      </c>
    </row>
    <row r="1133" spans="1:8" x14ac:dyDescent="0.3">
      <c r="A1133" s="3">
        <v>46260.962476851862</v>
      </c>
      <c r="B1133" s="1">
        <v>6.37</v>
      </c>
      <c r="C1133" s="1">
        <v>5.46</v>
      </c>
      <c r="D1133" s="1">
        <v>0.54</v>
      </c>
      <c r="E1133" s="1" t="s">
        <v>113</v>
      </c>
      <c r="F1133" s="1" t="s">
        <v>113</v>
      </c>
      <c r="G1133" s="1" t="s">
        <v>113</v>
      </c>
      <c r="H1133" s="1" t="str">
        <f>VLOOKUP(F1133,Countries!$A$1:$B$161,2,0)</f>
        <v>United States of America</v>
      </c>
    </row>
    <row r="1134" spans="1:8" x14ac:dyDescent="0.3">
      <c r="A1134" s="3">
        <v>46260.958935185183</v>
      </c>
      <c r="B1134" s="1">
        <v>7.58</v>
      </c>
      <c r="C1134" s="1">
        <v>6.5</v>
      </c>
      <c r="D1134" s="1">
        <v>0.48</v>
      </c>
      <c r="E1134" s="1" t="s">
        <v>116</v>
      </c>
      <c r="F1134" s="1" t="s">
        <v>116</v>
      </c>
      <c r="G1134" s="1" t="s">
        <v>116</v>
      </c>
      <c r="H1134" s="1" t="str">
        <f>VLOOKUP(F1134,Countries!$A$1:$B$161,2,0)</f>
        <v>Spain</v>
      </c>
    </row>
    <row r="1135" spans="1:8" x14ac:dyDescent="0.3">
      <c r="A1135" s="3">
        <v>46260.95484953704</v>
      </c>
      <c r="B1135" s="1">
        <v>7.67</v>
      </c>
      <c r="C1135" s="1">
        <v>6.58</v>
      </c>
      <c r="D1135" s="1">
        <v>0.48</v>
      </c>
      <c r="E1135" s="1" t="s">
        <v>124</v>
      </c>
      <c r="F1135" s="1" t="s">
        <v>124</v>
      </c>
      <c r="G1135" s="1" t="s">
        <v>124</v>
      </c>
      <c r="H1135" s="1" t="str">
        <f>VLOOKUP(F1135,Countries!$A$1:$B$161,2,0)</f>
        <v>Italy</v>
      </c>
    </row>
    <row r="1136" spans="1:8" x14ac:dyDescent="0.3">
      <c r="A1136" s="3">
        <v>46260.954571759263</v>
      </c>
      <c r="B1136" s="1">
        <v>10.85</v>
      </c>
      <c r="C1136" s="1">
        <v>9.31</v>
      </c>
      <c r="D1136" s="1">
        <v>0.74</v>
      </c>
      <c r="E1136" s="1" t="s">
        <v>115</v>
      </c>
      <c r="F1136" s="1" t="s">
        <v>115</v>
      </c>
      <c r="G1136" s="1" t="s">
        <v>115</v>
      </c>
      <c r="H1136" s="1" t="str">
        <f>VLOOKUP(F1136,Countries!$A$1:$B$161,2,0)</f>
        <v>Switzerland</v>
      </c>
    </row>
    <row r="1137" spans="1:8" x14ac:dyDescent="0.3">
      <c r="A1137" s="3">
        <v>46260.951898148152</v>
      </c>
      <c r="B1137" s="1">
        <v>12.33</v>
      </c>
      <c r="C1137" s="1">
        <v>10.58</v>
      </c>
      <c r="D1137" s="1">
        <v>0.62</v>
      </c>
      <c r="E1137" s="1" t="s">
        <v>159</v>
      </c>
      <c r="F1137" s="1" t="s">
        <v>159</v>
      </c>
      <c r="G1137" s="1" t="s">
        <v>159</v>
      </c>
      <c r="H1137" s="1" t="str">
        <f>VLOOKUP(F1137,Countries!$A$1:$B$161,2,0)</f>
        <v>Romania</v>
      </c>
    </row>
    <row r="1138" spans="1:8" x14ac:dyDescent="0.3">
      <c r="A1138" s="3">
        <v>46260.951608796298</v>
      </c>
      <c r="B1138" s="1">
        <v>12.33</v>
      </c>
      <c r="C1138" s="1">
        <v>10.58</v>
      </c>
      <c r="D1138" s="1">
        <v>0.62</v>
      </c>
      <c r="E1138" s="1" t="s">
        <v>159</v>
      </c>
      <c r="F1138" s="1" t="s">
        <v>159</v>
      </c>
      <c r="G1138" s="1" t="s">
        <v>159</v>
      </c>
      <c r="H1138" s="1" t="str">
        <f>VLOOKUP(F1138,Countries!$A$1:$B$161,2,0)</f>
        <v>Romania</v>
      </c>
    </row>
    <row r="1139" spans="1:8" x14ac:dyDescent="0.3">
      <c r="A1139" s="3">
        <v>46260.951111111113</v>
      </c>
      <c r="B1139" s="1">
        <v>10.85</v>
      </c>
      <c r="C1139" s="1">
        <v>9.31</v>
      </c>
      <c r="D1139" s="1">
        <v>0.74</v>
      </c>
      <c r="E1139" s="1" t="s">
        <v>115</v>
      </c>
      <c r="F1139" s="1" t="s">
        <v>115</v>
      </c>
      <c r="G1139" s="1" t="s">
        <v>115</v>
      </c>
      <c r="H1139" s="1" t="str">
        <f>VLOOKUP(F1139,Countries!$A$1:$B$161,2,0)</f>
        <v>Switzerland</v>
      </c>
    </row>
    <row r="1140" spans="1:8" x14ac:dyDescent="0.3">
      <c r="A1140" s="3">
        <v>46260.946446759262</v>
      </c>
      <c r="B1140" s="1">
        <v>6.37</v>
      </c>
      <c r="C1140" s="1">
        <v>5.47</v>
      </c>
      <c r="D1140" s="1">
        <v>0.54</v>
      </c>
      <c r="E1140" s="1" t="s">
        <v>113</v>
      </c>
      <c r="F1140" s="1" t="s">
        <v>113</v>
      </c>
      <c r="G1140" s="1" t="s">
        <v>113</v>
      </c>
      <c r="H1140" s="1" t="str">
        <f>VLOOKUP(F1140,Countries!$A$1:$B$161,2,0)</f>
        <v>United States of America</v>
      </c>
    </row>
    <row r="1141" spans="1:8" x14ac:dyDescent="0.3">
      <c r="A1141" s="3">
        <v>46260.945590277777</v>
      </c>
      <c r="B1141" s="1">
        <v>10.85</v>
      </c>
      <c r="C1141" s="1">
        <v>9.31</v>
      </c>
      <c r="D1141" s="1">
        <v>0.74</v>
      </c>
      <c r="E1141" s="1" t="s">
        <v>115</v>
      </c>
      <c r="F1141" s="1" t="s">
        <v>115</v>
      </c>
      <c r="G1141" s="1" t="s">
        <v>115</v>
      </c>
      <c r="H1141" s="1" t="str">
        <f>VLOOKUP(F1141,Countries!$A$1:$B$161,2,0)</f>
        <v>Switzerland</v>
      </c>
    </row>
    <row r="1142" spans="1:8" x14ac:dyDescent="0.3">
      <c r="A1142" s="3">
        <v>46260.943032407413</v>
      </c>
      <c r="B1142" s="1">
        <v>10.62</v>
      </c>
      <c r="C1142" s="1">
        <v>9.11</v>
      </c>
      <c r="D1142" s="1">
        <v>0.73</v>
      </c>
      <c r="E1142" s="1" t="s">
        <v>113</v>
      </c>
      <c r="F1142" s="1" t="s">
        <v>113</v>
      </c>
      <c r="G1142" s="1" t="s">
        <v>113</v>
      </c>
      <c r="H1142" s="1" t="str">
        <f>VLOOKUP(F1142,Countries!$A$1:$B$161,2,0)</f>
        <v>United States of America</v>
      </c>
    </row>
    <row r="1143" spans="1:8" x14ac:dyDescent="0.3">
      <c r="A1143" s="3">
        <v>46260.939791666657</v>
      </c>
      <c r="B1143" s="1">
        <v>10.85</v>
      </c>
      <c r="C1143" s="1">
        <v>9.31</v>
      </c>
      <c r="D1143" s="1">
        <v>0.74</v>
      </c>
      <c r="E1143" s="1" t="s">
        <v>115</v>
      </c>
      <c r="F1143" s="1" t="s">
        <v>115</v>
      </c>
      <c r="G1143" s="1" t="s">
        <v>115</v>
      </c>
      <c r="H1143" s="1" t="str">
        <f>VLOOKUP(F1143,Countries!$A$1:$B$161,2,0)</f>
        <v>Switzerland</v>
      </c>
    </row>
    <row r="1144" spans="1:8" x14ac:dyDescent="0.3">
      <c r="A1144" s="3">
        <v>46260.938472222217</v>
      </c>
      <c r="B1144" s="1">
        <v>10.85</v>
      </c>
      <c r="C1144" s="1">
        <v>9.31</v>
      </c>
      <c r="D1144" s="1">
        <v>0.74</v>
      </c>
      <c r="E1144" s="1" t="s">
        <v>115</v>
      </c>
      <c r="F1144" s="1" t="s">
        <v>115</v>
      </c>
      <c r="G1144" s="1" t="s">
        <v>115</v>
      </c>
      <c r="H1144" s="1" t="str">
        <f>VLOOKUP(F1144,Countries!$A$1:$B$161,2,0)</f>
        <v>Switzerland</v>
      </c>
    </row>
    <row r="1145" spans="1:8" x14ac:dyDescent="0.3">
      <c r="A1145" s="3">
        <v>46260.937731481477</v>
      </c>
      <c r="B1145" s="1">
        <v>11.1</v>
      </c>
      <c r="C1145" s="1">
        <v>9.52</v>
      </c>
      <c r="D1145" s="1">
        <v>0.75</v>
      </c>
      <c r="E1145" s="1" t="s">
        <v>130</v>
      </c>
      <c r="F1145" s="1" t="s">
        <v>130</v>
      </c>
      <c r="G1145" s="1" t="s">
        <v>130</v>
      </c>
      <c r="H1145" s="1" t="str">
        <f>VLOOKUP(F1145,Countries!$A$1:$B$161,2,0)</f>
        <v>Australia</v>
      </c>
    </row>
    <row r="1146" spans="1:8" x14ac:dyDescent="0.3">
      <c r="A1146" s="3">
        <v>46260.936261574083</v>
      </c>
      <c r="B1146" s="1">
        <v>6.37</v>
      </c>
      <c r="C1146" s="1">
        <v>5.47</v>
      </c>
      <c r="D1146" s="1">
        <v>0.54</v>
      </c>
      <c r="E1146" s="1" t="s">
        <v>113</v>
      </c>
      <c r="F1146" s="1" t="s">
        <v>113</v>
      </c>
      <c r="G1146" s="1" t="s">
        <v>113</v>
      </c>
      <c r="H1146" s="1" t="str">
        <f>VLOOKUP(F1146,Countries!$A$1:$B$161,2,0)</f>
        <v>United States of America</v>
      </c>
    </row>
    <row r="1147" spans="1:8" x14ac:dyDescent="0.3">
      <c r="A1147" s="3">
        <v>46260.935856481483</v>
      </c>
      <c r="B1147" s="1">
        <v>10.85</v>
      </c>
      <c r="C1147" s="1">
        <v>9.31</v>
      </c>
      <c r="D1147" s="1">
        <v>0.74</v>
      </c>
      <c r="E1147" s="1" t="s">
        <v>115</v>
      </c>
      <c r="F1147" s="1" t="s">
        <v>115</v>
      </c>
      <c r="G1147" s="1" t="s">
        <v>115</v>
      </c>
      <c r="H1147" s="1" t="str">
        <f>VLOOKUP(F1147,Countries!$A$1:$B$161,2,0)</f>
        <v>Switzerland</v>
      </c>
    </row>
    <row r="1148" spans="1:8" x14ac:dyDescent="0.3">
      <c r="A1148" s="3">
        <v>46260.931030092594</v>
      </c>
      <c r="B1148" s="1">
        <v>10.85</v>
      </c>
      <c r="C1148" s="1">
        <v>9.31</v>
      </c>
      <c r="D1148" s="1">
        <v>0.74</v>
      </c>
      <c r="E1148" s="1" t="s">
        <v>115</v>
      </c>
      <c r="F1148" s="1" t="s">
        <v>115</v>
      </c>
      <c r="G1148" s="1" t="s">
        <v>115</v>
      </c>
      <c r="H1148" s="1" t="str">
        <f>VLOOKUP(F1148,Countries!$A$1:$B$161,2,0)</f>
        <v>Switzerland</v>
      </c>
    </row>
    <row r="1149" spans="1:8" x14ac:dyDescent="0.3">
      <c r="A1149" s="3">
        <v>46260.927337962959</v>
      </c>
      <c r="B1149" s="1">
        <v>6.37</v>
      </c>
      <c r="C1149" s="1">
        <v>5.47</v>
      </c>
      <c r="D1149" s="1">
        <v>0.54</v>
      </c>
      <c r="E1149" s="1" t="s">
        <v>113</v>
      </c>
      <c r="F1149" s="1" t="s">
        <v>113</v>
      </c>
      <c r="G1149" s="1" t="s">
        <v>113</v>
      </c>
      <c r="H1149" s="1" t="str">
        <f>VLOOKUP(F1149,Countries!$A$1:$B$161,2,0)</f>
        <v>United States of America</v>
      </c>
    </row>
    <row r="1150" spans="1:8" x14ac:dyDescent="0.3">
      <c r="A1150" s="3">
        <v>46260.927129629628</v>
      </c>
      <c r="B1150" s="1">
        <v>10.85</v>
      </c>
      <c r="C1150" s="1">
        <v>9.31</v>
      </c>
      <c r="D1150" s="1">
        <v>0.74</v>
      </c>
      <c r="E1150" s="1" t="s">
        <v>115</v>
      </c>
      <c r="F1150" s="1" t="s">
        <v>115</v>
      </c>
      <c r="G1150" s="1" t="s">
        <v>115</v>
      </c>
      <c r="H1150" s="1" t="str">
        <f>VLOOKUP(F1150,Countries!$A$1:$B$161,2,0)</f>
        <v>Switzerland</v>
      </c>
    </row>
    <row r="1151" spans="1:8" x14ac:dyDescent="0.3">
      <c r="A1151" s="3">
        <v>46260.924363425933</v>
      </c>
      <c r="B1151" s="1">
        <v>6.37</v>
      </c>
      <c r="C1151" s="1">
        <v>5.47</v>
      </c>
      <c r="D1151" s="1">
        <v>0.54</v>
      </c>
      <c r="E1151" s="1" t="s">
        <v>113</v>
      </c>
      <c r="F1151" s="1" t="s">
        <v>113</v>
      </c>
      <c r="G1151" s="1" t="s">
        <v>113</v>
      </c>
      <c r="H1151" s="1" t="str">
        <f>VLOOKUP(F1151,Countries!$A$1:$B$161,2,0)</f>
        <v>United States of America</v>
      </c>
    </row>
    <row r="1152" spans="1:8" x14ac:dyDescent="0.3">
      <c r="A1152" s="3">
        <v>46260.922361111108</v>
      </c>
      <c r="B1152" s="1">
        <v>10.85</v>
      </c>
      <c r="C1152" s="1">
        <v>9.31</v>
      </c>
      <c r="D1152" s="1">
        <v>0.74</v>
      </c>
      <c r="E1152" s="1" t="s">
        <v>115</v>
      </c>
      <c r="F1152" s="1" t="s">
        <v>115</v>
      </c>
      <c r="G1152" s="1" t="s">
        <v>115</v>
      </c>
      <c r="H1152" s="1" t="str">
        <f>VLOOKUP(F1152,Countries!$A$1:$B$161,2,0)</f>
        <v>Switzerland</v>
      </c>
    </row>
    <row r="1153" spans="1:8" x14ac:dyDescent="0.3">
      <c r="A1153" s="3">
        <v>46260.917268518519</v>
      </c>
      <c r="B1153" s="1">
        <v>10.85</v>
      </c>
      <c r="C1153" s="1">
        <v>9.31</v>
      </c>
      <c r="D1153" s="1">
        <v>0.74</v>
      </c>
      <c r="E1153" s="1" t="s">
        <v>115</v>
      </c>
      <c r="F1153" s="1" t="s">
        <v>115</v>
      </c>
      <c r="G1153" s="1" t="s">
        <v>115</v>
      </c>
      <c r="H1153" s="1" t="str">
        <f>VLOOKUP(F1153,Countries!$A$1:$B$161,2,0)</f>
        <v>Switzerland</v>
      </c>
    </row>
    <row r="1154" spans="1:8" x14ac:dyDescent="0.3">
      <c r="A1154" s="3">
        <v>46260.913645833331</v>
      </c>
      <c r="B1154" s="1">
        <v>10.85</v>
      </c>
      <c r="C1154" s="1">
        <v>9.31</v>
      </c>
      <c r="D1154" s="1">
        <v>0.74</v>
      </c>
      <c r="E1154" s="1" t="s">
        <v>115</v>
      </c>
      <c r="F1154" s="1" t="s">
        <v>115</v>
      </c>
      <c r="G1154" s="1" t="s">
        <v>115</v>
      </c>
      <c r="H1154" s="1" t="str">
        <f>VLOOKUP(F1154,Countries!$A$1:$B$161,2,0)</f>
        <v>Switzerland</v>
      </c>
    </row>
    <row r="1155" spans="1:8" x14ac:dyDescent="0.3">
      <c r="A1155" s="3">
        <v>46260.911400462966</v>
      </c>
      <c r="B1155" s="1">
        <v>6.65</v>
      </c>
      <c r="C1155" s="1">
        <v>5.71</v>
      </c>
      <c r="D1155" s="1">
        <v>0.55000000000000004</v>
      </c>
      <c r="E1155" s="1" t="s">
        <v>130</v>
      </c>
      <c r="F1155" s="1" t="s">
        <v>130</v>
      </c>
      <c r="G1155" s="1" t="s">
        <v>130</v>
      </c>
      <c r="H1155" s="1" t="str">
        <f>VLOOKUP(F1155,Countries!$A$1:$B$161,2,0)</f>
        <v>Australia</v>
      </c>
    </row>
    <row r="1156" spans="1:8" x14ac:dyDescent="0.3">
      <c r="A1156" s="3">
        <v>46260.910844907397</v>
      </c>
      <c r="B1156" s="1">
        <v>6.37</v>
      </c>
      <c r="C1156" s="1">
        <v>5.47</v>
      </c>
      <c r="D1156" s="1">
        <v>0.54</v>
      </c>
      <c r="E1156" s="1" t="s">
        <v>113</v>
      </c>
      <c r="F1156" s="1" t="s">
        <v>113</v>
      </c>
      <c r="G1156" s="1" t="s">
        <v>113</v>
      </c>
      <c r="H1156" s="1" t="str">
        <f>VLOOKUP(F1156,Countries!$A$1:$B$161,2,0)</f>
        <v>United States of America</v>
      </c>
    </row>
    <row r="1157" spans="1:8" x14ac:dyDescent="0.3">
      <c r="A1157" s="3">
        <v>46260.907048611109</v>
      </c>
      <c r="B1157" s="1">
        <v>10.85</v>
      </c>
      <c r="C1157" s="1">
        <v>9.31</v>
      </c>
      <c r="D1157" s="1">
        <v>0.74</v>
      </c>
      <c r="E1157" s="1" t="s">
        <v>115</v>
      </c>
      <c r="F1157" s="1" t="s">
        <v>115</v>
      </c>
      <c r="G1157" s="1" t="s">
        <v>115</v>
      </c>
      <c r="H1157" s="1" t="str">
        <f>VLOOKUP(F1157,Countries!$A$1:$B$161,2,0)</f>
        <v>Switzerland</v>
      </c>
    </row>
    <row r="1158" spans="1:8" x14ac:dyDescent="0.3">
      <c r="A1158" s="3">
        <v>46260.903171296297</v>
      </c>
      <c r="B1158" s="1">
        <v>36.96</v>
      </c>
      <c r="C1158" s="1">
        <v>31.72</v>
      </c>
      <c r="D1158" s="1">
        <v>1.91</v>
      </c>
      <c r="E1158" s="1" t="s">
        <v>113</v>
      </c>
      <c r="F1158" s="1" t="s">
        <v>113</v>
      </c>
      <c r="G1158" s="1" t="s">
        <v>113</v>
      </c>
      <c r="H1158" s="1" t="str">
        <f>VLOOKUP(F1158,Countries!$A$1:$B$161,2,0)</f>
        <v>United States of America</v>
      </c>
    </row>
    <row r="1159" spans="1:8" x14ac:dyDescent="0.3">
      <c r="A1159" s="3">
        <v>46260.901145833333</v>
      </c>
      <c r="B1159" s="1">
        <v>6.37</v>
      </c>
      <c r="C1159" s="1">
        <v>5.47</v>
      </c>
      <c r="D1159" s="1">
        <v>0.54</v>
      </c>
      <c r="E1159" s="1" t="s">
        <v>113</v>
      </c>
      <c r="F1159" s="1" t="s">
        <v>113</v>
      </c>
      <c r="G1159" s="1" t="s">
        <v>113</v>
      </c>
      <c r="H1159" s="1" t="str">
        <f>VLOOKUP(F1159,Countries!$A$1:$B$161,2,0)</f>
        <v>United States of America</v>
      </c>
    </row>
    <row r="1160" spans="1:8" x14ac:dyDescent="0.3">
      <c r="A1160" s="3">
        <v>46260.899594907409</v>
      </c>
      <c r="B1160" s="1">
        <v>12.33</v>
      </c>
      <c r="C1160" s="1">
        <v>10.58</v>
      </c>
      <c r="D1160" s="1">
        <v>0.62</v>
      </c>
      <c r="E1160" s="1" t="s">
        <v>159</v>
      </c>
      <c r="F1160" s="1" t="s">
        <v>159</v>
      </c>
      <c r="G1160" s="1" t="s">
        <v>159</v>
      </c>
      <c r="H1160" s="1" t="str">
        <f>VLOOKUP(F1160,Countries!$A$1:$B$161,2,0)</f>
        <v>Romania</v>
      </c>
    </row>
    <row r="1161" spans="1:8" x14ac:dyDescent="0.3">
      <c r="A1161" s="3">
        <v>46260.898657407408</v>
      </c>
      <c r="B1161" s="1">
        <v>10.85</v>
      </c>
      <c r="C1161" s="1">
        <v>9.31</v>
      </c>
      <c r="D1161" s="1">
        <v>0.74</v>
      </c>
      <c r="E1161" s="1" t="s">
        <v>115</v>
      </c>
      <c r="F1161" s="1" t="s">
        <v>115</v>
      </c>
      <c r="G1161" s="1" t="s">
        <v>115</v>
      </c>
      <c r="H1161" s="1" t="str">
        <f>VLOOKUP(F1161,Countries!$A$1:$B$161,2,0)</f>
        <v>Switzerland</v>
      </c>
    </row>
    <row r="1162" spans="1:8" x14ac:dyDescent="0.3">
      <c r="A1162" s="3">
        <v>46260.898159722223</v>
      </c>
      <c r="B1162" s="1">
        <v>12.33</v>
      </c>
      <c r="C1162" s="1">
        <v>10.58</v>
      </c>
      <c r="D1162" s="1">
        <v>0.62</v>
      </c>
      <c r="E1162" s="1" t="s">
        <v>159</v>
      </c>
      <c r="F1162" s="1" t="s">
        <v>159</v>
      </c>
      <c r="G1162" s="1" t="s">
        <v>159</v>
      </c>
      <c r="H1162" s="1" t="str">
        <f>VLOOKUP(F1162,Countries!$A$1:$B$161,2,0)</f>
        <v>Romania</v>
      </c>
    </row>
    <row r="1163" spans="1:8" x14ac:dyDescent="0.3">
      <c r="A1163" s="3">
        <v>46260.897766203707</v>
      </c>
      <c r="B1163" s="1">
        <v>12.33</v>
      </c>
      <c r="C1163" s="1">
        <v>10.58</v>
      </c>
      <c r="D1163" s="1">
        <v>0.62</v>
      </c>
      <c r="E1163" s="1" t="s">
        <v>159</v>
      </c>
      <c r="F1163" s="1" t="s">
        <v>159</v>
      </c>
      <c r="G1163" s="1" t="s">
        <v>159</v>
      </c>
      <c r="H1163" s="1" t="str">
        <f>VLOOKUP(F1163,Countries!$A$1:$B$161,2,0)</f>
        <v>Romania</v>
      </c>
    </row>
    <row r="1164" spans="1:8" x14ac:dyDescent="0.3">
      <c r="A1164" s="3">
        <v>46260.897650462961</v>
      </c>
      <c r="B1164" s="1">
        <v>12.33</v>
      </c>
      <c r="C1164" s="1">
        <v>10.58</v>
      </c>
      <c r="D1164" s="1">
        <v>0.62</v>
      </c>
      <c r="E1164" s="1" t="s">
        <v>159</v>
      </c>
      <c r="F1164" s="1" t="s">
        <v>159</v>
      </c>
      <c r="G1164" s="1" t="s">
        <v>159</v>
      </c>
      <c r="H1164" s="1" t="str">
        <f>VLOOKUP(F1164,Countries!$A$1:$B$161,2,0)</f>
        <v>Romania</v>
      </c>
    </row>
    <row r="1165" spans="1:8" x14ac:dyDescent="0.3">
      <c r="A1165" s="3">
        <v>46260.897511574083</v>
      </c>
      <c r="B1165" s="1">
        <v>12.33</v>
      </c>
      <c r="C1165" s="1">
        <v>10.58</v>
      </c>
      <c r="D1165" s="1">
        <v>0.62</v>
      </c>
      <c r="E1165" s="1" t="s">
        <v>159</v>
      </c>
      <c r="F1165" s="1" t="s">
        <v>159</v>
      </c>
      <c r="G1165" s="1" t="s">
        <v>159</v>
      </c>
      <c r="H1165" s="1" t="str">
        <f>VLOOKUP(F1165,Countries!$A$1:$B$161,2,0)</f>
        <v>Romania</v>
      </c>
    </row>
    <row r="1166" spans="1:8" x14ac:dyDescent="0.3">
      <c r="A1166" s="3">
        <v>46260.896550925929</v>
      </c>
      <c r="B1166" s="1">
        <v>10.62</v>
      </c>
      <c r="C1166" s="1">
        <v>9.11</v>
      </c>
      <c r="D1166" s="1">
        <v>0.73</v>
      </c>
      <c r="E1166" s="1" t="s">
        <v>113</v>
      </c>
      <c r="F1166" s="1" t="s">
        <v>113</v>
      </c>
      <c r="G1166" s="1" t="s">
        <v>113</v>
      </c>
      <c r="H1166" s="1" t="str">
        <f>VLOOKUP(F1166,Countries!$A$1:$B$161,2,0)</f>
        <v>United States of America</v>
      </c>
    </row>
    <row r="1167" spans="1:8" x14ac:dyDescent="0.3">
      <c r="A1167" s="3">
        <v>46260.891504629632</v>
      </c>
      <c r="B1167" s="1">
        <v>6.65</v>
      </c>
      <c r="C1167" s="1">
        <v>5.71</v>
      </c>
      <c r="D1167" s="1">
        <v>0.55000000000000004</v>
      </c>
      <c r="E1167" s="1" t="s">
        <v>130</v>
      </c>
      <c r="F1167" s="1" t="s">
        <v>130</v>
      </c>
      <c r="G1167" s="1" t="s">
        <v>130</v>
      </c>
      <c r="H1167" s="1" t="str">
        <f>VLOOKUP(F1167,Countries!$A$1:$B$161,2,0)</f>
        <v>Australia</v>
      </c>
    </row>
    <row r="1168" spans="1:8" x14ac:dyDescent="0.3">
      <c r="A1168" s="3">
        <v>46260.891064814823</v>
      </c>
      <c r="B1168" s="1">
        <v>6.3</v>
      </c>
      <c r="C1168" s="1">
        <v>5.41</v>
      </c>
      <c r="D1168" s="1">
        <v>0.54</v>
      </c>
      <c r="E1168" s="1" t="s">
        <v>132</v>
      </c>
      <c r="F1168" s="1" t="s">
        <v>132</v>
      </c>
      <c r="G1168" s="1" t="s">
        <v>132</v>
      </c>
      <c r="H1168" s="1" t="str">
        <f>VLOOKUP(F1168,Countries!$A$1:$B$161,2,0)</f>
        <v>Canada</v>
      </c>
    </row>
    <row r="1169" spans="1:8" x14ac:dyDescent="0.3">
      <c r="A1169" s="3">
        <v>46260.890972222223</v>
      </c>
      <c r="B1169" s="1">
        <v>10.85</v>
      </c>
      <c r="C1169" s="1">
        <v>9.31</v>
      </c>
      <c r="D1169" s="1">
        <v>0.74</v>
      </c>
      <c r="E1169" s="1" t="s">
        <v>115</v>
      </c>
      <c r="F1169" s="1" t="s">
        <v>115</v>
      </c>
      <c r="G1169" s="1" t="s">
        <v>115</v>
      </c>
      <c r="H1169" s="1" t="str">
        <f>VLOOKUP(F1169,Countries!$A$1:$B$161,2,0)</f>
        <v>Switzerland</v>
      </c>
    </row>
    <row r="1170" spans="1:8" x14ac:dyDescent="0.3">
      <c r="A1170" s="3">
        <v>46260.886793981481</v>
      </c>
      <c r="B1170" s="1">
        <v>6.37</v>
      </c>
      <c r="C1170" s="1">
        <v>5.47</v>
      </c>
      <c r="D1170" s="1">
        <v>0.54</v>
      </c>
      <c r="E1170" s="1" t="s">
        <v>113</v>
      </c>
      <c r="F1170" s="1" t="s">
        <v>113</v>
      </c>
      <c r="G1170" s="1" t="s">
        <v>113</v>
      </c>
      <c r="H1170" s="1" t="str">
        <f>VLOOKUP(F1170,Countries!$A$1:$B$161,2,0)</f>
        <v>United States of America</v>
      </c>
    </row>
    <row r="1171" spans="1:8" x14ac:dyDescent="0.3">
      <c r="A1171" s="3">
        <v>46260.884270833332</v>
      </c>
      <c r="B1171" s="1">
        <v>6.37</v>
      </c>
      <c r="C1171" s="1">
        <v>5.47</v>
      </c>
      <c r="D1171" s="1">
        <v>0.54</v>
      </c>
      <c r="E1171" s="1" t="s">
        <v>113</v>
      </c>
      <c r="F1171" s="1" t="s">
        <v>113</v>
      </c>
      <c r="G1171" s="1" t="s">
        <v>113</v>
      </c>
      <c r="H1171" s="1" t="str">
        <f>VLOOKUP(F1171,Countries!$A$1:$B$161,2,0)</f>
        <v>United States of America</v>
      </c>
    </row>
    <row r="1172" spans="1:8" x14ac:dyDescent="0.3">
      <c r="A1172" s="3">
        <v>46260.883587962962</v>
      </c>
      <c r="B1172" s="1">
        <v>2.99</v>
      </c>
      <c r="C1172" s="1">
        <v>2.57</v>
      </c>
      <c r="D1172" s="1">
        <v>0.38</v>
      </c>
      <c r="E1172" s="1" t="s">
        <v>185</v>
      </c>
      <c r="F1172" s="1" t="s">
        <v>185</v>
      </c>
      <c r="G1172" s="1" t="s">
        <v>185</v>
      </c>
      <c r="H1172" s="1" t="str">
        <f>VLOOKUP(F1172,Countries!$A$1:$B$161,2,0)</f>
        <v>Republic of Serbia</v>
      </c>
    </row>
    <row r="1173" spans="1:8" x14ac:dyDescent="0.3">
      <c r="A1173" s="3">
        <v>46260.882893518523</v>
      </c>
      <c r="B1173" s="1">
        <v>10.85</v>
      </c>
      <c r="C1173" s="1">
        <v>9.31</v>
      </c>
      <c r="D1173" s="1">
        <v>0.74</v>
      </c>
      <c r="E1173" s="1" t="s">
        <v>115</v>
      </c>
      <c r="F1173" s="1" t="s">
        <v>115</v>
      </c>
      <c r="G1173" s="1" t="s">
        <v>115</v>
      </c>
      <c r="H1173" s="1" t="str">
        <f>VLOOKUP(F1173,Countries!$A$1:$B$161,2,0)</f>
        <v>Switzerland</v>
      </c>
    </row>
    <row r="1174" spans="1:8" x14ac:dyDescent="0.3">
      <c r="A1174" s="3">
        <v>46260.882233796299</v>
      </c>
      <c r="B1174" s="1">
        <v>12.33</v>
      </c>
      <c r="C1174" s="1">
        <v>10.58</v>
      </c>
      <c r="D1174" s="1">
        <v>0.62</v>
      </c>
      <c r="E1174" s="1" t="s">
        <v>159</v>
      </c>
      <c r="F1174" s="1" t="s">
        <v>159</v>
      </c>
      <c r="G1174" s="1" t="s">
        <v>159</v>
      </c>
      <c r="H1174" s="1" t="str">
        <f>VLOOKUP(F1174,Countries!$A$1:$B$161,2,0)</f>
        <v>Romania</v>
      </c>
    </row>
    <row r="1175" spans="1:8" x14ac:dyDescent="0.3">
      <c r="A1175" s="3">
        <v>46260.882060185177</v>
      </c>
      <c r="B1175" s="1">
        <v>12.33</v>
      </c>
      <c r="C1175" s="1">
        <v>10.58</v>
      </c>
      <c r="D1175" s="1">
        <v>0.62</v>
      </c>
      <c r="E1175" s="1" t="s">
        <v>159</v>
      </c>
      <c r="F1175" s="1" t="s">
        <v>159</v>
      </c>
      <c r="G1175" s="1" t="s">
        <v>159</v>
      </c>
      <c r="H1175" s="1" t="str">
        <f>VLOOKUP(F1175,Countries!$A$1:$B$161,2,0)</f>
        <v>Romania</v>
      </c>
    </row>
    <row r="1176" spans="1:8" x14ac:dyDescent="0.3">
      <c r="A1176" s="3">
        <v>46260.881701388891</v>
      </c>
      <c r="B1176" s="1">
        <v>10.99</v>
      </c>
      <c r="C1176" s="1">
        <v>9.43</v>
      </c>
      <c r="D1176" s="1">
        <v>0.75</v>
      </c>
      <c r="E1176" s="1" t="s">
        <v>113</v>
      </c>
      <c r="F1176" s="1" t="s">
        <v>113</v>
      </c>
      <c r="G1176" s="1" t="s">
        <v>113</v>
      </c>
      <c r="H1176" s="1" t="str">
        <f>VLOOKUP(F1176,Countries!$A$1:$B$161,2,0)</f>
        <v>United States of America</v>
      </c>
    </row>
    <row r="1177" spans="1:8" x14ac:dyDescent="0.3">
      <c r="A1177" s="3">
        <v>46260.879259259258</v>
      </c>
      <c r="B1177" s="1">
        <v>12.33</v>
      </c>
      <c r="C1177" s="1">
        <v>10.58</v>
      </c>
      <c r="D1177" s="1">
        <v>0.62</v>
      </c>
      <c r="E1177" s="1" t="s">
        <v>159</v>
      </c>
      <c r="F1177" s="1" t="s">
        <v>159</v>
      </c>
      <c r="G1177" s="1" t="s">
        <v>159</v>
      </c>
      <c r="H1177" s="1" t="str">
        <f>VLOOKUP(F1177,Countries!$A$1:$B$161,2,0)</f>
        <v>Romania</v>
      </c>
    </row>
    <row r="1178" spans="1:8" x14ac:dyDescent="0.3">
      <c r="A1178" s="3">
        <v>46260.877997685187</v>
      </c>
      <c r="B1178" s="1">
        <v>6.65</v>
      </c>
      <c r="C1178" s="1">
        <v>5.71</v>
      </c>
      <c r="D1178" s="1">
        <v>0.55000000000000004</v>
      </c>
      <c r="E1178" s="1" t="s">
        <v>121</v>
      </c>
      <c r="F1178" s="1" t="s">
        <v>121</v>
      </c>
      <c r="G1178" s="1" t="s">
        <v>121</v>
      </c>
      <c r="H1178" s="1" t="str">
        <f>VLOOKUP(F1178,Countries!$A$1:$B$161,2,0)</f>
        <v>Japan</v>
      </c>
    </row>
    <row r="1179" spans="1:8" x14ac:dyDescent="0.3">
      <c r="A1179" s="3">
        <v>46260.871342592603</v>
      </c>
      <c r="B1179" s="1">
        <v>10.85</v>
      </c>
      <c r="C1179" s="1">
        <v>9.31</v>
      </c>
      <c r="D1179" s="1">
        <v>0.74</v>
      </c>
      <c r="E1179" s="1" t="s">
        <v>115</v>
      </c>
      <c r="F1179" s="1" t="s">
        <v>115</v>
      </c>
      <c r="G1179" s="1" t="s">
        <v>115</v>
      </c>
      <c r="H1179" s="1" t="str">
        <f>VLOOKUP(F1179,Countries!$A$1:$B$161,2,0)</f>
        <v>Switzerland</v>
      </c>
    </row>
    <row r="1180" spans="1:8" x14ac:dyDescent="0.3">
      <c r="A1180" s="3">
        <v>46260.871319444443</v>
      </c>
      <c r="B1180" s="1">
        <v>12.33</v>
      </c>
      <c r="C1180" s="1">
        <v>10.58</v>
      </c>
      <c r="D1180" s="1">
        <v>0.62</v>
      </c>
      <c r="E1180" s="1" t="s">
        <v>159</v>
      </c>
      <c r="F1180" s="1" t="s">
        <v>159</v>
      </c>
      <c r="G1180" s="1" t="s">
        <v>159</v>
      </c>
      <c r="H1180" s="1" t="str">
        <f>VLOOKUP(F1180,Countries!$A$1:$B$161,2,0)</f>
        <v>Romania</v>
      </c>
    </row>
    <row r="1181" spans="1:8" x14ac:dyDescent="0.3">
      <c r="A1181" s="3">
        <v>46260.871145833327</v>
      </c>
      <c r="B1181" s="1">
        <v>3.69</v>
      </c>
      <c r="C1181" s="1">
        <v>3.17</v>
      </c>
      <c r="D1181" s="1">
        <v>0.36</v>
      </c>
      <c r="E1181" s="1" t="s">
        <v>159</v>
      </c>
      <c r="F1181" s="1" t="s">
        <v>159</v>
      </c>
      <c r="G1181" s="1" t="s">
        <v>159</v>
      </c>
      <c r="H1181" s="1" t="str">
        <f>VLOOKUP(F1181,Countries!$A$1:$B$161,2,0)</f>
        <v>Romania</v>
      </c>
    </row>
    <row r="1182" spans="1:8" x14ac:dyDescent="0.3">
      <c r="A1182" s="3">
        <v>46260.865451388891</v>
      </c>
      <c r="B1182" s="1">
        <v>10.85</v>
      </c>
      <c r="C1182" s="1">
        <v>9.31</v>
      </c>
      <c r="D1182" s="1">
        <v>0.74</v>
      </c>
      <c r="E1182" s="1" t="s">
        <v>115</v>
      </c>
      <c r="F1182" s="1" t="s">
        <v>115</v>
      </c>
      <c r="G1182" s="1" t="s">
        <v>115</v>
      </c>
      <c r="H1182" s="1" t="str">
        <f>VLOOKUP(F1182,Countries!$A$1:$B$161,2,0)</f>
        <v>Switzerland</v>
      </c>
    </row>
    <row r="1183" spans="1:8" x14ac:dyDescent="0.3">
      <c r="A1183" s="3">
        <v>46260.864108796297</v>
      </c>
      <c r="B1183" s="1">
        <v>70.650000000000006</v>
      </c>
      <c r="C1183" s="1">
        <v>60.63</v>
      </c>
      <c r="D1183" s="1">
        <v>3.43</v>
      </c>
      <c r="E1183" s="1" t="s">
        <v>115</v>
      </c>
      <c r="F1183" s="1" t="s">
        <v>115</v>
      </c>
      <c r="G1183" s="1" t="s">
        <v>115</v>
      </c>
      <c r="H1183" s="1" t="str">
        <f>VLOOKUP(F1183,Countries!$A$1:$B$161,2,0)</f>
        <v>Switzerland</v>
      </c>
    </row>
    <row r="1184" spans="1:8" x14ac:dyDescent="0.3">
      <c r="A1184" s="3">
        <v>46260.862523148149</v>
      </c>
      <c r="B1184" s="1">
        <v>3.14</v>
      </c>
      <c r="C1184" s="1">
        <v>2.69</v>
      </c>
      <c r="D1184" s="1">
        <v>0.39</v>
      </c>
      <c r="E1184" s="1" t="s">
        <v>143</v>
      </c>
      <c r="F1184" s="1" t="s">
        <v>143</v>
      </c>
      <c r="G1184" s="1" t="s">
        <v>143</v>
      </c>
      <c r="H1184" s="1" t="str">
        <f>VLOOKUP(F1184,Countries!$A$1:$B$161,2,0)</f>
        <v>United Arab Emirates</v>
      </c>
    </row>
    <row r="1185" spans="1:8" x14ac:dyDescent="0.3">
      <c r="A1185" s="3">
        <v>46260.856122685182</v>
      </c>
      <c r="B1185" s="1">
        <v>10.85</v>
      </c>
      <c r="C1185" s="1">
        <v>9.31</v>
      </c>
      <c r="D1185" s="1">
        <v>0.74</v>
      </c>
      <c r="E1185" s="1" t="s">
        <v>115</v>
      </c>
      <c r="F1185" s="1" t="s">
        <v>115</v>
      </c>
      <c r="G1185" s="1" t="s">
        <v>115</v>
      </c>
      <c r="H1185" s="1" t="str">
        <f>VLOOKUP(F1185,Countries!$A$1:$B$161,2,0)</f>
        <v>Switzerland</v>
      </c>
    </row>
    <row r="1186" spans="1:8" x14ac:dyDescent="0.3">
      <c r="A1186" s="3">
        <v>46260.854780092603</v>
      </c>
      <c r="B1186" s="1">
        <v>2.5099999999999998</v>
      </c>
      <c r="C1186" s="1">
        <v>2.15</v>
      </c>
      <c r="D1186" s="1">
        <v>0.32</v>
      </c>
      <c r="E1186" s="1" t="s">
        <v>151</v>
      </c>
      <c r="F1186" s="1" t="s">
        <v>151</v>
      </c>
      <c r="G1186" s="1" t="s">
        <v>151</v>
      </c>
      <c r="H1186" s="1" t="str">
        <f>VLOOKUP(F1186,Countries!$A$1:$B$161,2,0)</f>
        <v>Netherlands (Holland)</v>
      </c>
    </row>
    <row r="1187" spans="1:8" x14ac:dyDescent="0.3">
      <c r="A1187" s="3">
        <v>46260.850543981483</v>
      </c>
      <c r="B1187" s="1">
        <v>10.85</v>
      </c>
      <c r="C1187" s="1">
        <v>9.31</v>
      </c>
      <c r="D1187" s="1">
        <v>0.74</v>
      </c>
      <c r="E1187" s="1" t="s">
        <v>115</v>
      </c>
      <c r="F1187" s="1" t="s">
        <v>115</v>
      </c>
      <c r="G1187" s="1" t="s">
        <v>115</v>
      </c>
      <c r="H1187" s="1" t="str">
        <f>VLOOKUP(F1187,Countries!$A$1:$B$161,2,0)</f>
        <v>Switzerland</v>
      </c>
    </row>
    <row r="1188" spans="1:8" x14ac:dyDescent="0.3">
      <c r="A1188" s="3">
        <v>46260.845856481479</v>
      </c>
      <c r="B1188" s="1">
        <v>6.37</v>
      </c>
      <c r="C1188" s="1">
        <v>5.47</v>
      </c>
      <c r="D1188" s="1">
        <v>0.54</v>
      </c>
      <c r="E1188" s="1" t="s">
        <v>113</v>
      </c>
      <c r="F1188" s="1" t="s">
        <v>113</v>
      </c>
      <c r="G1188" s="1" t="s">
        <v>113</v>
      </c>
      <c r="H1188" s="1" t="str">
        <f>VLOOKUP(F1188,Countries!$A$1:$B$161,2,0)</f>
        <v>United States of America</v>
      </c>
    </row>
    <row r="1189" spans="1:8" x14ac:dyDescent="0.3">
      <c r="A1189" s="3">
        <v>46260.840324074074</v>
      </c>
      <c r="B1189" s="1">
        <v>3.73</v>
      </c>
      <c r="C1189" s="1">
        <v>3.2</v>
      </c>
      <c r="D1189" s="1">
        <v>0.39</v>
      </c>
      <c r="E1189" s="1" t="s">
        <v>119</v>
      </c>
      <c r="F1189" s="1" t="s">
        <v>119</v>
      </c>
      <c r="G1189" s="1" t="s">
        <v>119</v>
      </c>
      <c r="H1189" s="1" t="str">
        <f>VLOOKUP(F1189,Countries!$A$1:$B$161,2,0)</f>
        <v>Great Britain (United Kingdom)</v>
      </c>
    </row>
    <row r="1190" spans="1:8" x14ac:dyDescent="0.3">
      <c r="A1190" s="3">
        <v>46260.839733796303</v>
      </c>
      <c r="B1190" s="1">
        <v>10.85</v>
      </c>
      <c r="C1190" s="1">
        <v>9.31</v>
      </c>
      <c r="D1190" s="1">
        <v>0.74</v>
      </c>
      <c r="E1190" s="1" t="s">
        <v>115</v>
      </c>
      <c r="F1190" s="1" t="s">
        <v>115</v>
      </c>
      <c r="G1190" s="1" t="s">
        <v>115</v>
      </c>
      <c r="H1190" s="1" t="str">
        <f>VLOOKUP(F1190,Countries!$A$1:$B$161,2,0)</f>
        <v>Switzerland</v>
      </c>
    </row>
    <row r="1191" spans="1:8" x14ac:dyDescent="0.3">
      <c r="A1191" s="3">
        <v>46260.831643518519</v>
      </c>
      <c r="B1191" s="1">
        <v>10.85</v>
      </c>
      <c r="C1191" s="1">
        <v>9.31</v>
      </c>
      <c r="D1191" s="1">
        <v>0.74</v>
      </c>
      <c r="E1191" s="1" t="s">
        <v>115</v>
      </c>
      <c r="F1191" s="1" t="s">
        <v>115</v>
      </c>
      <c r="G1191" s="1" t="s">
        <v>115</v>
      </c>
      <c r="H1191" s="1" t="str">
        <f>VLOOKUP(F1191,Countries!$A$1:$B$161,2,0)</f>
        <v>Switzerland</v>
      </c>
    </row>
    <row r="1192" spans="1:8" x14ac:dyDescent="0.3">
      <c r="A1192" s="3">
        <v>46260.829548611109</v>
      </c>
      <c r="B1192" s="1">
        <v>6.3</v>
      </c>
      <c r="C1192" s="1">
        <v>5.41</v>
      </c>
      <c r="D1192" s="1">
        <v>0.54</v>
      </c>
      <c r="E1192" s="1" t="s">
        <v>132</v>
      </c>
      <c r="F1192" s="1" t="s">
        <v>132</v>
      </c>
      <c r="G1192" s="1" t="s">
        <v>132</v>
      </c>
      <c r="H1192" s="1" t="str">
        <f>VLOOKUP(F1192,Countries!$A$1:$B$161,2,0)</f>
        <v>Canada</v>
      </c>
    </row>
    <row r="1193" spans="1:8" x14ac:dyDescent="0.3">
      <c r="A1193" s="3">
        <v>46260.826388888891</v>
      </c>
      <c r="B1193" s="1">
        <v>10.85</v>
      </c>
      <c r="C1193" s="1">
        <v>9.31</v>
      </c>
      <c r="D1193" s="1">
        <v>0.74</v>
      </c>
      <c r="E1193" s="1" t="s">
        <v>115</v>
      </c>
      <c r="F1193" s="1" t="s">
        <v>115</v>
      </c>
      <c r="G1193" s="1" t="s">
        <v>115</v>
      </c>
      <c r="H1193" s="1" t="str">
        <f>VLOOKUP(F1193,Countries!$A$1:$B$161,2,0)</f>
        <v>Switzerland</v>
      </c>
    </row>
    <row r="1194" spans="1:8" x14ac:dyDescent="0.3">
      <c r="A1194" s="3">
        <v>46260.824097222219</v>
      </c>
      <c r="B1194" s="1">
        <v>6.37</v>
      </c>
      <c r="C1194" s="1">
        <v>5.47</v>
      </c>
      <c r="D1194" s="1">
        <v>0.54</v>
      </c>
      <c r="E1194" s="1" t="s">
        <v>113</v>
      </c>
      <c r="F1194" s="1" t="s">
        <v>113</v>
      </c>
      <c r="G1194" s="1" t="s">
        <v>113</v>
      </c>
      <c r="H1194" s="1" t="str">
        <f>VLOOKUP(F1194,Countries!$A$1:$B$161,2,0)</f>
        <v>United States of America</v>
      </c>
    </row>
    <row r="1195" spans="1:8" x14ac:dyDescent="0.3">
      <c r="A1195" s="3">
        <v>46260.819074074083</v>
      </c>
      <c r="B1195" s="1">
        <v>2.99</v>
      </c>
      <c r="C1195" s="1">
        <v>2.57</v>
      </c>
      <c r="D1195" s="1">
        <v>0.38</v>
      </c>
      <c r="E1195" s="1" t="s">
        <v>113</v>
      </c>
      <c r="F1195" s="1" t="s">
        <v>113</v>
      </c>
      <c r="G1195" s="1" t="s">
        <v>113</v>
      </c>
      <c r="H1195" s="1" t="str">
        <f>VLOOKUP(F1195,Countries!$A$1:$B$161,2,0)</f>
        <v>United States of America</v>
      </c>
    </row>
    <row r="1196" spans="1:8" x14ac:dyDescent="0.3">
      <c r="A1196" s="3">
        <v>46260.818819444437</v>
      </c>
      <c r="B1196" s="1">
        <v>10.85</v>
      </c>
      <c r="C1196" s="1">
        <v>9.31</v>
      </c>
      <c r="D1196" s="1">
        <v>0.74</v>
      </c>
      <c r="E1196" s="1" t="s">
        <v>115</v>
      </c>
      <c r="F1196" s="1" t="s">
        <v>115</v>
      </c>
      <c r="G1196" s="1" t="s">
        <v>115</v>
      </c>
      <c r="H1196" s="1" t="str">
        <f>VLOOKUP(F1196,Countries!$A$1:$B$161,2,0)</f>
        <v>Switzerland</v>
      </c>
    </row>
    <row r="1197" spans="1:8" x14ac:dyDescent="0.3">
      <c r="A1197" s="3">
        <v>46260.813333333332</v>
      </c>
      <c r="B1197" s="1">
        <v>6.37</v>
      </c>
      <c r="C1197" s="1">
        <v>5.47</v>
      </c>
      <c r="D1197" s="1">
        <v>0.54</v>
      </c>
      <c r="E1197" s="1" t="s">
        <v>113</v>
      </c>
      <c r="F1197" s="1" t="s">
        <v>113</v>
      </c>
      <c r="G1197" s="1" t="s">
        <v>113</v>
      </c>
      <c r="H1197" s="1" t="str">
        <f>VLOOKUP(F1197,Countries!$A$1:$B$161,2,0)</f>
        <v>United States of America</v>
      </c>
    </row>
    <row r="1198" spans="1:8" x14ac:dyDescent="0.3">
      <c r="A1198" s="3">
        <v>46260.809502314813</v>
      </c>
      <c r="B1198" s="1">
        <v>7.99</v>
      </c>
      <c r="C1198" s="1">
        <v>6.86</v>
      </c>
      <c r="D1198" s="1">
        <v>0.61</v>
      </c>
      <c r="E1198" s="1" t="s">
        <v>113</v>
      </c>
      <c r="F1198" s="1" t="s">
        <v>113</v>
      </c>
      <c r="G1198" s="1" t="s">
        <v>113</v>
      </c>
      <c r="H1198" s="1" t="str">
        <f>VLOOKUP(F1198,Countries!$A$1:$B$161,2,0)</f>
        <v>United States of America</v>
      </c>
    </row>
    <row r="1199" spans="1:8" x14ac:dyDescent="0.3">
      <c r="A1199" s="3">
        <v>46260.808749999997</v>
      </c>
      <c r="B1199" s="1">
        <v>10.85</v>
      </c>
      <c r="C1199" s="1">
        <v>9.31</v>
      </c>
      <c r="D1199" s="1">
        <v>0.74</v>
      </c>
      <c r="E1199" s="1" t="s">
        <v>115</v>
      </c>
      <c r="F1199" s="1" t="s">
        <v>115</v>
      </c>
      <c r="G1199" s="1" t="s">
        <v>115</v>
      </c>
      <c r="H1199" s="1" t="str">
        <f>VLOOKUP(F1199,Countries!$A$1:$B$161,2,0)</f>
        <v>Switzerland</v>
      </c>
    </row>
    <row r="1200" spans="1:8" x14ac:dyDescent="0.3">
      <c r="A1200" s="3">
        <v>46260.802812499998</v>
      </c>
      <c r="B1200" s="1">
        <v>10.85</v>
      </c>
      <c r="C1200" s="1">
        <v>9.31</v>
      </c>
      <c r="D1200" s="1">
        <v>0.74</v>
      </c>
      <c r="E1200" s="1" t="s">
        <v>115</v>
      </c>
      <c r="F1200" s="1" t="s">
        <v>115</v>
      </c>
      <c r="G1200" s="1" t="s">
        <v>115</v>
      </c>
      <c r="H1200" s="1" t="str">
        <f>VLOOKUP(F1200,Countries!$A$1:$B$161,2,0)</f>
        <v>Switzerland</v>
      </c>
    </row>
    <row r="1201" spans="1:8" x14ac:dyDescent="0.3">
      <c r="A1201" s="3">
        <v>46260.797337962962</v>
      </c>
      <c r="B1201" s="1">
        <v>10.85</v>
      </c>
      <c r="C1201" s="1">
        <v>9.31</v>
      </c>
      <c r="D1201" s="1">
        <v>0.74</v>
      </c>
      <c r="E1201" s="1" t="s">
        <v>115</v>
      </c>
      <c r="F1201" s="1" t="s">
        <v>115</v>
      </c>
      <c r="G1201" s="1" t="s">
        <v>115</v>
      </c>
      <c r="H1201" s="1" t="str">
        <f>VLOOKUP(F1201,Countries!$A$1:$B$161,2,0)</f>
        <v>Switzerland</v>
      </c>
    </row>
    <row r="1202" spans="1:8" x14ac:dyDescent="0.3">
      <c r="A1202" s="3">
        <v>46260.790590277778</v>
      </c>
      <c r="B1202" s="1">
        <v>2.11</v>
      </c>
      <c r="C1202" s="1">
        <v>1.81</v>
      </c>
      <c r="D1202" s="1">
        <v>0.35</v>
      </c>
      <c r="E1202" s="1" t="s">
        <v>113</v>
      </c>
      <c r="F1202" s="1" t="s">
        <v>113</v>
      </c>
      <c r="G1202" s="1" t="s">
        <v>113</v>
      </c>
      <c r="H1202" s="1" t="str">
        <f>VLOOKUP(F1202,Countries!$A$1:$B$161,2,0)</f>
        <v>United States of America</v>
      </c>
    </row>
    <row r="1203" spans="1:8" x14ac:dyDescent="0.3">
      <c r="A1203" s="3">
        <v>46260.788506944453</v>
      </c>
      <c r="B1203" s="1">
        <v>10.85</v>
      </c>
      <c r="C1203" s="1">
        <v>9.31</v>
      </c>
      <c r="D1203" s="1">
        <v>0.74</v>
      </c>
      <c r="E1203" s="1" t="s">
        <v>115</v>
      </c>
      <c r="F1203" s="1" t="s">
        <v>115</v>
      </c>
      <c r="G1203" s="1" t="s">
        <v>115</v>
      </c>
      <c r="H1203" s="1" t="str">
        <f>VLOOKUP(F1203,Countries!$A$1:$B$161,2,0)</f>
        <v>Switzerland</v>
      </c>
    </row>
    <row r="1204" spans="1:8" x14ac:dyDescent="0.3">
      <c r="A1204" s="3">
        <v>46260.784918981481</v>
      </c>
      <c r="B1204" s="1">
        <v>1.99</v>
      </c>
      <c r="C1204" s="1">
        <v>1.71</v>
      </c>
      <c r="D1204" s="1">
        <v>0.34</v>
      </c>
      <c r="E1204" s="1" t="s">
        <v>113</v>
      </c>
      <c r="F1204" s="1" t="s">
        <v>113</v>
      </c>
      <c r="G1204" s="1" t="s">
        <v>113</v>
      </c>
      <c r="H1204" s="1" t="str">
        <f>VLOOKUP(F1204,Countries!$A$1:$B$161,2,0)</f>
        <v>United States of America</v>
      </c>
    </row>
    <row r="1205" spans="1:8" x14ac:dyDescent="0.3">
      <c r="A1205" s="3">
        <v>46260.783495370371</v>
      </c>
      <c r="B1205" s="1">
        <v>27.17</v>
      </c>
      <c r="C1205" s="1">
        <v>23.32</v>
      </c>
      <c r="D1205" s="1">
        <v>1.48</v>
      </c>
      <c r="E1205" s="1" t="s">
        <v>115</v>
      </c>
      <c r="F1205" s="1" t="s">
        <v>115</v>
      </c>
      <c r="G1205" s="1" t="s">
        <v>115</v>
      </c>
      <c r="H1205" s="1" t="str">
        <f>VLOOKUP(F1205,Countries!$A$1:$B$161,2,0)</f>
        <v>Switzerland</v>
      </c>
    </row>
    <row r="1206" spans="1:8" x14ac:dyDescent="0.3">
      <c r="A1206" s="3">
        <v>46260.779652777783</v>
      </c>
      <c r="B1206" s="1">
        <v>10.85</v>
      </c>
      <c r="C1206" s="1">
        <v>9.31</v>
      </c>
      <c r="D1206" s="1">
        <v>0.74</v>
      </c>
      <c r="E1206" s="1" t="s">
        <v>115</v>
      </c>
      <c r="F1206" s="1" t="s">
        <v>115</v>
      </c>
      <c r="G1206" s="1" t="s">
        <v>115</v>
      </c>
      <c r="H1206" s="1" t="str">
        <f>VLOOKUP(F1206,Countries!$A$1:$B$161,2,0)</f>
        <v>Switzerland</v>
      </c>
    </row>
    <row r="1207" spans="1:8" x14ac:dyDescent="0.3">
      <c r="A1207" s="3">
        <v>46260.773530092592</v>
      </c>
      <c r="B1207" s="1">
        <v>10.85</v>
      </c>
      <c r="C1207" s="1">
        <v>9.31</v>
      </c>
      <c r="D1207" s="1">
        <v>0.74</v>
      </c>
      <c r="E1207" s="1" t="s">
        <v>115</v>
      </c>
      <c r="F1207" s="1" t="s">
        <v>115</v>
      </c>
      <c r="G1207" s="1" t="s">
        <v>115</v>
      </c>
      <c r="H1207" s="1" t="str">
        <f>VLOOKUP(F1207,Countries!$A$1:$B$161,2,0)</f>
        <v>Switzerland</v>
      </c>
    </row>
    <row r="1208" spans="1:8" x14ac:dyDescent="0.3">
      <c r="A1208" s="3">
        <v>46260.767569444448</v>
      </c>
      <c r="B1208" s="1">
        <v>14.77</v>
      </c>
      <c r="C1208" s="1">
        <v>12.68</v>
      </c>
      <c r="D1208" s="1">
        <v>0.91</v>
      </c>
      <c r="E1208" s="1" t="s">
        <v>113</v>
      </c>
      <c r="F1208" s="1" t="s">
        <v>113</v>
      </c>
      <c r="G1208" s="1" t="s">
        <v>113</v>
      </c>
      <c r="H1208" s="1" t="str">
        <f>VLOOKUP(F1208,Countries!$A$1:$B$161,2,0)</f>
        <v>United States of America</v>
      </c>
    </row>
    <row r="1209" spans="1:8" x14ac:dyDescent="0.3">
      <c r="A1209" s="3">
        <v>46260.767280092587</v>
      </c>
      <c r="B1209" s="1">
        <v>6.37</v>
      </c>
      <c r="C1209" s="1">
        <v>5.47</v>
      </c>
      <c r="D1209" s="1">
        <v>0.54</v>
      </c>
      <c r="E1209" s="1" t="s">
        <v>113</v>
      </c>
      <c r="F1209" s="1" t="s">
        <v>113</v>
      </c>
      <c r="G1209" s="1" t="s">
        <v>113</v>
      </c>
      <c r="H1209" s="1" t="str">
        <f>VLOOKUP(F1209,Countries!$A$1:$B$161,2,0)</f>
        <v>United States of America</v>
      </c>
    </row>
    <row r="1210" spans="1:8" x14ac:dyDescent="0.3">
      <c r="A1210" s="3">
        <v>46260.76699074074</v>
      </c>
      <c r="B1210" s="1">
        <v>14.77</v>
      </c>
      <c r="C1210" s="1">
        <v>12.68</v>
      </c>
      <c r="D1210" s="1">
        <v>0.91</v>
      </c>
      <c r="E1210" s="1" t="s">
        <v>113</v>
      </c>
      <c r="F1210" s="1" t="s">
        <v>113</v>
      </c>
      <c r="G1210" s="1" t="s">
        <v>113</v>
      </c>
      <c r="H1210" s="1" t="str">
        <f>VLOOKUP(F1210,Countries!$A$1:$B$161,2,0)</f>
        <v>United States of America</v>
      </c>
    </row>
    <row r="1211" spans="1:8" x14ac:dyDescent="0.3">
      <c r="A1211" s="3">
        <v>46260.765752314823</v>
      </c>
      <c r="B1211" s="1">
        <v>10.62</v>
      </c>
      <c r="C1211" s="1">
        <v>9.11</v>
      </c>
      <c r="D1211" s="1">
        <v>0.73</v>
      </c>
      <c r="E1211" s="1" t="s">
        <v>113</v>
      </c>
      <c r="F1211" s="1" t="s">
        <v>113</v>
      </c>
      <c r="G1211" s="1" t="s">
        <v>113</v>
      </c>
      <c r="H1211" s="1" t="str">
        <f>VLOOKUP(F1211,Countries!$A$1:$B$161,2,0)</f>
        <v>United States of America</v>
      </c>
    </row>
    <row r="1212" spans="1:8" x14ac:dyDescent="0.3">
      <c r="A1212" s="3">
        <v>46260.763993055552</v>
      </c>
      <c r="B1212" s="1">
        <v>2.11</v>
      </c>
      <c r="C1212" s="1">
        <v>1.81</v>
      </c>
      <c r="D1212" s="1">
        <v>0.35</v>
      </c>
      <c r="E1212" s="1" t="s">
        <v>113</v>
      </c>
      <c r="F1212" s="1" t="s">
        <v>113</v>
      </c>
      <c r="G1212" s="1" t="s">
        <v>113</v>
      </c>
      <c r="H1212" s="1" t="str">
        <f>VLOOKUP(F1212,Countries!$A$1:$B$161,2,0)</f>
        <v>United States of America</v>
      </c>
    </row>
    <row r="1213" spans="1:8" x14ac:dyDescent="0.3">
      <c r="A1213" s="3">
        <v>46260.763425925928</v>
      </c>
      <c r="B1213" s="1">
        <v>10.85</v>
      </c>
      <c r="C1213" s="1">
        <v>9.31</v>
      </c>
      <c r="D1213" s="1">
        <v>0.74</v>
      </c>
      <c r="E1213" s="1" t="s">
        <v>115</v>
      </c>
      <c r="F1213" s="1" t="s">
        <v>115</v>
      </c>
      <c r="G1213" s="1" t="s">
        <v>115</v>
      </c>
      <c r="H1213" s="1" t="str">
        <f>VLOOKUP(F1213,Countries!$A$1:$B$161,2,0)</f>
        <v>Switzerland</v>
      </c>
    </row>
    <row r="1214" spans="1:8" x14ac:dyDescent="0.3">
      <c r="A1214" s="3">
        <v>46260.760127314818</v>
      </c>
      <c r="B1214" s="1">
        <v>6.37</v>
      </c>
      <c r="C1214" s="1">
        <v>5.47</v>
      </c>
      <c r="D1214" s="1">
        <v>0.54</v>
      </c>
      <c r="E1214" s="1" t="s">
        <v>113</v>
      </c>
      <c r="F1214" s="1" t="s">
        <v>113</v>
      </c>
      <c r="G1214" s="1" t="s">
        <v>113</v>
      </c>
      <c r="H1214" s="1" t="str">
        <f>VLOOKUP(F1214,Countries!$A$1:$B$161,2,0)</f>
        <v>United States of America</v>
      </c>
    </row>
    <row r="1215" spans="1:8" x14ac:dyDescent="0.3">
      <c r="A1215" s="3">
        <v>46260.756331018521</v>
      </c>
      <c r="B1215" s="1">
        <v>7.04</v>
      </c>
      <c r="C1215" s="1">
        <v>6.04</v>
      </c>
      <c r="D1215" s="1">
        <v>0.56999999999999995</v>
      </c>
      <c r="E1215" s="1" t="s">
        <v>160</v>
      </c>
      <c r="F1215" s="1" t="s">
        <v>160</v>
      </c>
      <c r="G1215" s="1" t="s">
        <v>160</v>
      </c>
      <c r="H1215" s="1" t="str">
        <f>VLOOKUP(F1215,Countries!$A$1:$B$161,2,0)</f>
        <v>New Zealand</v>
      </c>
    </row>
    <row r="1216" spans="1:8" x14ac:dyDescent="0.3">
      <c r="A1216" s="3">
        <v>46260.752245370371</v>
      </c>
      <c r="B1216" s="1">
        <v>10.85</v>
      </c>
      <c r="C1216" s="1">
        <v>9.31</v>
      </c>
      <c r="D1216" s="1">
        <v>0.74</v>
      </c>
      <c r="E1216" s="1" t="s">
        <v>115</v>
      </c>
      <c r="F1216" s="1" t="s">
        <v>115</v>
      </c>
      <c r="G1216" s="1" t="s">
        <v>115</v>
      </c>
      <c r="H1216" s="1" t="str">
        <f>VLOOKUP(F1216,Countries!$A$1:$B$161,2,0)</f>
        <v>Switzerland</v>
      </c>
    </row>
    <row r="1217" spans="1:8" x14ac:dyDescent="0.3">
      <c r="A1217" s="3">
        <v>46260.731562499997</v>
      </c>
      <c r="B1217" s="1">
        <v>7.58</v>
      </c>
      <c r="C1217" s="1">
        <v>6.51</v>
      </c>
      <c r="D1217" s="1">
        <v>0.48</v>
      </c>
      <c r="E1217" s="1" t="s">
        <v>116</v>
      </c>
      <c r="F1217" s="1" t="s">
        <v>116</v>
      </c>
      <c r="G1217" s="1" t="s">
        <v>116</v>
      </c>
      <c r="H1217" s="1" t="str">
        <f>VLOOKUP(F1217,Countries!$A$1:$B$161,2,0)</f>
        <v>Spain</v>
      </c>
    </row>
    <row r="1218" spans="1:8" x14ac:dyDescent="0.3">
      <c r="A1218" s="3">
        <v>46260.729733796303</v>
      </c>
      <c r="B1218" s="1">
        <v>27.17</v>
      </c>
      <c r="C1218" s="1">
        <v>23.32</v>
      </c>
      <c r="D1218" s="1">
        <v>1.48</v>
      </c>
      <c r="E1218" s="1" t="s">
        <v>115</v>
      </c>
      <c r="F1218" s="1" t="s">
        <v>115</v>
      </c>
      <c r="G1218" s="1" t="s">
        <v>115</v>
      </c>
      <c r="H1218" s="1" t="str">
        <f>VLOOKUP(F1218,Countries!$A$1:$B$161,2,0)</f>
        <v>Switzerland</v>
      </c>
    </row>
    <row r="1219" spans="1:8" x14ac:dyDescent="0.3">
      <c r="A1219" s="3">
        <v>46260.727152777778</v>
      </c>
      <c r="B1219" s="1">
        <v>10.85</v>
      </c>
      <c r="C1219" s="1">
        <v>9.31</v>
      </c>
      <c r="D1219" s="1">
        <v>0.74</v>
      </c>
      <c r="E1219" s="1" t="s">
        <v>115</v>
      </c>
      <c r="F1219" s="1" t="s">
        <v>115</v>
      </c>
      <c r="G1219" s="1" t="s">
        <v>115</v>
      </c>
      <c r="H1219" s="1" t="str">
        <f>VLOOKUP(F1219,Countries!$A$1:$B$161,2,0)</f>
        <v>Switzerland</v>
      </c>
    </row>
    <row r="1220" spans="1:8" x14ac:dyDescent="0.3">
      <c r="A1220" s="3">
        <v>46260.722650462973</v>
      </c>
      <c r="B1220" s="1">
        <v>6.65</v>
      </c>
      <c r="C1220" s="1">
        <v>5.71</v>
      </c>
      <c r="D1220" s="1">
        <v>0.55000000000000004</v>
      </c>
      <c r="E1220" s="1" t="s">
        <v>130</v>
      </c>
      <c r="F1220" s="1" t="s">
        <v>130</v>
      </c>
      <c r="G1220" s="1" t="s">
        <v>130</v>
      </c>
      <c r="H1220" s="1" t="str">
        <f>VLOOKUP(F1220,Countries!$A$1:$B$161,2,0)</f>
        <v>Australia</v>
      </c>
    </row>
    <row r="1221" spans="1:8" x14ac:dyDescent="0.3">
      <c r="A1221" s="3">
        <v>46260.718715277777</v>
      </c>
      <c r="B1221" s="1">
        <v>29.57</v>
      </c>
      <c r="C1221" s="1">
        <v>25.38</v>
      </c>
      <c r="D1221" s="1">
        <v>1.58</v>
      </c>
      <c r="E1221" s="1" t="s">
        <v>113</v>
      </c>
      <c r="F1221" s="1" t="s">
        <v>113</v>
      </c>
      <c r="G1221" s="1" t="s">
        <v>113</v>
      </c>
      <c r="H1221" s="1" t="str">
        <f>VLOOKUP(F1221,Countries!$A$1:$B$161,2,0)</f>
        <v>United States of America</v>
      </c>
    </row>
    <row r="1222" spans="1:8" x14ac:dyDescent="0.3">
      <c r="A1222" s="3">
        <v>46260.710393518522</v>
      </c>
      <c r="B1222" s="1">
        <v>17.010000000000002</v>
      </c>
      <c r="C1222" s="1">
        <v>14.6</v>
      </c>
      <c r="D1222" s="1">
        <v>1.01</v>
      </c>
      <c r="E1222" s="1" t="s">
        <v>113</v>
      </c>
      <c r="F1222" s="1" t="s">
        <v>113</v>
      </c>
      <c r="G1222" s="1" t="s">
        <v>113</v>
      </c>
      <c r="H1222" s="1" t="str">
        <f>VLOOKUP(F1222,Countries!$A$1:$B$161,2,0)</f>
        <v>United States of America</v>
      </c>
    </row>
    <row r="1223" spans="1:8" x14ac:dyDescent="0.3">
      <c r="A1223" s="3">
        <v>46260.709849537037</v>
      </c>
      <c r="B1223" s="1">
        <v>6.37</v>
      </c>
      <c r="C1223" s="1">
        <v>5.47</v>
      </c>
      <c r="D1223" s="1">
        <v>0.54</v>
      </c>
      <c r="E1223" s="1" t="s">
        <v>113</v>
      </c>
      <c r="F1223" s="1" t="s">
        <v>113</v>
      </c>
      <c r="G1223" s="1" t="s">
        <v>113</v>
      </c>
      <c r="H1223" s="1" t="str">
        <f>VLOOKUP(F1223,Countries!$A$1:$B$161,2,0)</f>
        <v>United States of America</v>
      </c>
    </row>
    <row r="1224" spans="1:8" x14ac:dyDescent="0.3">
      <c r="A1224" s="3">
        <v>46260.706782407397</v>
      </c>
      <c r="B1224" s="1">
        <v>2.11</v>
      </c>
      <c r="C1224" s="1">
        <v>1.81</v>
      </c>
      <c r="D1224" s="1">
        <v>0.35</v>
      </c>
      <c r="E1224" s="1" t="s">
        <v>113</v>
      </c>
      <c r="F1224" s="1" t="s">
        <v>113</v>
      </c>
      <c r="G1224" s="1" t="s">
        <v>113</v>
      </c>
      <c r="H1224" s="1" t="str">
        <f>VLOOKUP(F1224,Countries!$A$1:$B$161,2,0)</f>
        <v>United States of America</v>
      </c>
    </row>
    <row r="1225" spans="1:8" x14ac:dyDescent="0.3">
      <c r="A1225" s="3">
        <v>46260.700590277767</v>
      </c>
      <c r="B1225" s="1">
        <v>6.37</v>
      </c>
      <c r="C1225" s="1">
        <v>5.47</v>
      </c>
      <c r="D1225" s="1">
        <v>0.54</v>
      </c>
      <c r="E1225" s="1" t="s">
        <v>113</v>
      </c>
      <c r="F1225" s="1" t="s">
        <v>113</v>
      </c>
      <c r="G1225" s="1" t="s">
        <v>113</v>
      </c>
      <c r="H1225" s="1" t="str">
        <f>VLOOKUP(F1225,Countries!$A$1:$B$161,2,0)</f>
        <v>United States of America</v>
      </c>
    </row>
    <row r="1226" spans="1:8" x14ac:dyDescent="0.3">
      <c r="A1226" s="3">
        <v>46260.689583333333</v>
      </c>
      <c r="B1226" s="1">
        <v>6.37</v>
      </c>
      <c r="C1226" s="1">
        <v>5.47</v>
      </c>
      <c r="D1226" s="1">
        <v>0.54</v>
      </c>
      <c r="E1226" s="1" t="s">
        <v>113</v>
      </c>
      <c r="F1226" s="1" t="s">
        <v>113</v>
      </c>
      <c r="G1226" s="1" t="s">
        <v>113</v>
      </c>
      <c r="H1226" s="1" t="str">
        <f>VLOOKUP(F1226,Countries!$A$1:$B$161,2,0)</f>
        <v>United States of America</v>
      </c>
    </row>
    <row r="1227" spans="1:8" x14ac:dyDescent="0.3">
      <c r="A1227" s="3">
        <v>46260.688587962963</v>
      </c>
      <c r="B1227" s="1">
        <v>2.99</v>
      </c>
      <c r="C1227" s="1">
        <v>2.57</v>
      </c>
      <c r="D1227" s="1">
        <v>0.36</v>
      </c>
      <c r="E1227" s="1" t="s">
        <v>119</v>
      </c>
      <c r="F1227" s="1" t="s">
        <v>119</v>
      </c>
      <c r="G1227" s="1" t="s">
        <v>119</v>
      </c>
      <c r="H1227" s="1" t="str">
        <f>VLOOKUP(F1227,Countries!$A$1:$B$161,2,0)</f>
        <v>Great Britain (United Kingdom)</v>
      </c>
    </row>
    <row r="1228" spans="1:8" x14ac:dyDescent="0.3">
      <c r="A1228" s="3">
        <v>46260.682395833333</v>
      </c>
      <c r="B1228" s="1">
        <v>2.21</v>
      </c>
      <c r="C1228" s="1">
        <v>1.9</v>
      </c>
      <c r="D1228" s="1">
        <v>0.35</v>
      </c>
      <c r="E1228" s="1" t="s">
        <v>130</v>
      </c>
      <c r="F1228" s="1" t="s">
        <v>130</v>
      </c>
      <c r="G1228" s="1" t="s">
        <v>130</v>
      </c>
      <c r="H1228" s="1" t="str">
        <f>VLOOKUP(F1228,Countries!$A$1:$B$161,2,0)</f>
        <v>Australia</v>
      </c>
    </row>
    <row r="1229" spans="1:8" x14ac:dyDescent="0.3">
      <c r="A1229" s="3">
        <v>46260.678391203714</v>
      </c>
      <c r="B1229" s="1">
        <v>6.37</v>
      </c>
      <c r="C1229" s="1">
        <v>5.47</v>
      </c>
      <c r="D1229" s="1">
        <v>0.54</v>
      </c>
      <c r="E1229" s="1" t="s">
        <v>113</v>
      </c>
      <c r="F1229" s="1" t="s">
        <v>113</v>
      </c>
      <c r="G1229" s="1" t="s">
        <v>113</v>
      </c>
      <c r="H1229" s="1" t="str">
        <f>VLOOKUP(F1229,Countries!$A$1:$B$161,2,0)</f>
        <v>United States of America</v>
      </c>
    </row>
    <row r="1230" spans="1:8" x14ac:dyDescent="0.3">
      <c r="A1230" s="3">
        <v>46260.675740740742</v>
      </c>
      <c r="B1230" s="1">
        <v>6.37</v>
      </c>
      <c r="C1230" s="1">
        <v>5.47</v>
      </c>
      <c r="D1230" s="1">
        <v>0.54</v>
      </c>
      <c r="E1230" s="1" t="s">
        <v>113</v>
      </c>
      <c r="F1230" s="1" t="s">
        <v>113</v>
      </c>
      <c r="G1230" s="1" t="s">
        <v>113</v>
      </c>
      <c r="H1230" s="1" t="str">
        <f>VLOOKUP(F1230,Countries!$A$1:$B$161,2,0)</f>
        <v>United States of America</v>
      </c>
    </row>
    <row r="1231" spans="1:8" x14ac:dyDescent="0.3">
      <c r="A1231" s="3">
        <v>46260.665034722217</v>
      </c>
      <c r="B1231" s="1">
        <v>14.77</v>
      </c>
      <c r="C1231" s="1">
        <v>12.68</v>
      </c>
      <c r="D1231" s="1">
        <v>0.91</v>
      </c>
      <c r="E1231" s="1" t="s">
        <v>113</v>
      </c>
      <c r="F1231" s="1" t="s">
        <v>113</v>
      </c>
      <c r="G1231" s="1" t="s">
        <v>113</v>
      </c>
      <c r="H1231" s="1" t="str">
        <f>VLOOKUP(F1231,Countries!$A$1:$B$161,2,0)</f>
        <v>United States of America</v>
      </c>
    </row>
    <row r="1232" spans="1:8" x14ac:dyDescent="0.3">
      <c r="A1232" s="3">
        <v>46260.661423611113</v>
      </c>
      <c r="B1232" s="1">
        <v>7.67</v>
      </c>
      <c r="C1232" s="1">
        <v>6.59</v>
      </c>
      <c r="D1232" s="1">
        <v>0.48</v>
      </c>
      <c r="E1232" s="1" t="s">
        <v>124</v>
      </c>
      <c r="F1232" s="1" t="s">
        <v>124</v>
      </c>
      <c r="G1232" s="1" t="s">
        <v>124</v>
      </c>
      <c r="H1232" s="1" t="str">
        <f>VLOOKUP(F1232,Countries!$A$1:$B$161,2,0)</f>
        <v>Italy</v>
      </c>
    </row>
    <row r="1233" spans="1:8" x14ac:dyDescent="0.3">
      <c r="A1233" s="3">
        <v>46260.661307870367</v>
      </c>
      <c r="B1233" s="1">
        <v>36.96</v>
      </c>
      <c r="C1233" s="1">
        <v>31.74</v>
      </c>
      <c r="D1233" s="1">
        <v>1.91</v>
      </c>
      <c r="E1233" s="1" t="s">
        <v>183</v>
      </c>
      <c r="F1233" s="1" t="s">
        <v>183</v>
      </c>
      <c r="G1233" s="1" t="s">
        <v>183</v>
      </c>
      <c r="H1233" s="1" t="str">
        <f>VLOOKUP(F1233,Countries!$A$1:$B$161,2,0)</f>
        <v>Malaysia</v>
      </c>
    </row>
    <row r="1234" spans="1:8" x14ac:dyDescent="0.3">
      <c r="A1234" s="3">
        <v>46260.65934027778</v>
      </c>
      <c r="B1234" s="1">
        <v>7.39</v>
      </c>
      <c r="C1234" s="1">
        <v>6.35</v>
      </c>
      <c r="D1234" s="1">
        <v>0.59</v>
      </c>
      <c r="E1234" s="1" t="s">
        <v>183</v>
      </c>
      <c r="F1234" s="1" t="s">
        <v>183</v>
      </c>
      <c r="G1234" s="1" t="s">
        <v>183</v>
      </c>
      <c r="H1234" s="1" t="str">
        <f>VLOOKUP(F1234,Countries!$A$1:$B$161,2,0)</f>
        <v>Malaysia</v>
      </c>
    </row>
    <row r="1235" spans="1:8" x14ac:dyDescent="0.3">
      <c r="A1235" s="3">
        <v>46260.65556712963</v>
      </c>
      <c r="B1235" s="1">
        <v>6.37</v>
      </c>
      <c r="C1235" s="1">
        <v>5.47</v>
      </c>
      <c r="D1235" s="1">
        <v>0.54</v>
      </c>
      <c r="E1235" s="1" t="s">
        <v>113</v>
      </c>
      <c r="F1235" s="1" t="s">
        <v>113</v>
      </c>
      <c r="G1235" s="1" t="s">
        <v>113</v>
      </c>
      <c r="H1235" s="1" t="str">
        <f>VLOOKUP(F1235,Countries!$A$1:$B$161,2,0)</f>
        <v>United States of America</v>
      </c>
    </row>
    <row r="1236" spans="1:8" x14ac:dyDescent="0.3">
      <c r="A1236" s="3">
        <v>46260.642187500001</v>
      </c>
      <c r="B1236" s="1">
        <v>6.3</v>
      </c>
      <c r="C1236" s="1">
        <v>5.41</v>
      </c>
      <c r="D1236" s="1">
        <v>0.54</v>
      </c>
      <c r="E1236" s="1" t="s">
        <v>132</v>
      </c>
      <c r="F1236" s="1" t="s">
        <v>132</v>
      </c>
      <c r="G1236" s="1" t="s">
        <v>132</v>
      </c>
      <c r="H1236" s="1" t="str">
        <f>VLOOKUP(F1236,Countries!$A$1:$B$161,2,0)</f>
        <v>Canada</v>
      </c>
    </row>
    <row r="1237" spans="1:8" x14ac:dyDescent="0.3">
      <c r="A1237" s="3">
        <v>46260.63890046296</v>
      </c>
      <c r="B1237" s="1">
        <v>10.51</v>
      </c>
      <c r="C1237" s="1">
        <v>9.02</v>
      </c>
      <c r="D1237" s="1">
        <v>0.72</v>
      </c>
      <c r="E1237" s="1" t="s">
        <v>132</v>
      </c>
      <c r="F1237" s="1" t="s">
        <v>132</v>
      </c>
      <c r="G1237" s="1" t="s">
        <v>132</v>
      </c>
      <c r="H1237" s="1" t="str">
        <f>VLOOKUP(F1237,Countries!$A$1:$B$161,2,0)</f>
        <v>Canada</v>
      </c>
    </row>
    <row r="1238" spans="1:8" x14ac:dyDescent="0.3">
      <c r="A1238" s="3">
        <v>46260.633333333331</v>
      </c>
      <c r="B1238" s="1">
        <v>14.77</v>
      </c>
      <c r="C1238" s="1">
        <v>12.68</v>
      </c>
      <c r="D1238" s="1">
        <v>0.91</v>
      </c>
      <c r="E1238" s="1" t="s">
        <v>113</v>
      </c>
      <c r="F1238" s="1" t="s">
        <v>113</v>
      </c>
      <c r="G1238" s="1" t="s">
        <v>113</v>
      </c>
      <c r="H1238" s="1" t="str">
        <f>VLOOKUP(F1238,Countries!$A$1:$B$161,2,0)</f>
        <v>United States of America</v>
      </c>
    </row>
    <row r="1239" spans="1:8" x14ac:dyDescent="0.3">
      <c r="A1239" s="3">
        <v>46260.631122685183</v>
      </c>
      <c r="B1239" s="1">
        <v>12.97</v>
      </c>
      <c r="C1239" s="1">
        <v>11.14</v>
      </c>
      <c r="D1239" s="1">
        <v>0.64</v>
      </c>
      <c r="E1239" s="1" t="s">
        <v>112</v>
      </c>
      <c r="F1239" s="1" t="s">
        <v>112</v>
      </c>
      <c r="G1239" s="1" t="s">
        <v>112</v>
      </c>
      <c r="H1239" s="1" t="str">
        <f>VLOOKUP(F1239,Countries!$A$1:$B$161,2,0)</f>
        <v>Ireland</v>
      </c>
    </row>
    <row r="1240" spans="1:8" x14ac:dyDescent="0.3">
      <c r="A1240" s="3">
        <v>46260.629236111112</v>
      </c>
      <c r="B1240" s="1">
        <v>6.37</v>
      </c>
      <c r="C1240" s="1">
        <v>5.47</v>
      </c>
      <c r="D1240" s="1">
        <v>0.54</v>
      </c>
      <c r="E1240" s="1" t="s">
        <v>113</v>
      </c>
      <c r="F1240" s="1" t="s">
        <v>113</v>
      </c>
      <c r="G1240" s="1" t="s">
        <v>113</v>
      </c>
      <c r="H1240" s="1" t="str">
        <f>VLOOKUP(F1240,Countries!$A$1:$B$161,2,0)</f>
        <v>United States of America</v>
      </c>
    </row>
    <row r="1241" spans="1:8" x14ac:dyDescent="0.3">
      <c r="A1241" s="3">
        <v>46260.627129629633</v>
      </c>
      <c r="B1241" s="1">
        <v>17.739999999999998</v>
      </c>
      <c r="C1241" s="1">
        <v>15.23</v>
      </c>
      <c r="D1241" s="1">
        <v>1.04</v>
      </c>
      <c r="E1241" s="1" t="s">
        <v>113</v>
      </c>
      <c r="F1241" s="1" t="s">
        <v>113</v>
      </c>
      <c r="G1241" s="1" t="s">
        <v>113</v>
      </c>
      <c r="H1241" s="1" t="str">
        <f>VLOOKUP(F1241,Countries!$A$1:$B$161,2,0)</f>
        <v>United States of America</v>
      </c>
    </row>
    <row r="1242" spans="1:8" x14ac:dyDescent="0.3">
      <c r="A1242" s="3">
        <v>46260.626979166656</v>
      </c>
      <c r="B1242" s="1">
        <v>14.77</v>
      </c>
      <c r="C1242" s="1">
        <v>12.67</v>
      </c>
      <c r="D1242" s="1">
        <v>0.91</v>
      </c>
      <c r="E1242" s="1" t="s">
        <v>113</v>
      </c>
      <c r="F1242" s="1" t="s">
        <v>113</v>
      </c>
      <c r="G1242" s="1" t="s">
        <v>113</v>
      </c>
      <c r="H1242" s="1" t="str">
        <f>VLOOKUP(F1242,Countries!$A$1:$B$161,2,0)</f>
        <v>United States of America</v>
      </c>
    </row>
    <row r="1243" spans="1:8" x14ac:dyDescent="0.3">
      <c r="A1243" s="3">
        <v>46260.619745370372</v>
      </c>
      <c r="B1243" s="1">
        <v>17.739999999999998</v>
      </c>
      <c r="C1243" s="1">
        <v>15.22</v>
      </c>
      <c r="D1243" s="1">
        <v>1.04</v>
      </c>
      <c r="E1243" s="1" t="s">
        <v>113</v>
      </c>
      <c r="F1243" s="1" t="s">
        <v>113</v>
      </c>
      <c r="G1243" s="1" t="s">
        <v>113</v>
      </c>
      <c r="H1243" s="1" t="str">
        <f>VLOOKUP(F1243,Countries!$A$1:$B$161,2,0)</f>
        <v>United States of America</v>
      </c>
    </row>
    <row r="1244" spans="1:8" x14ac:dyDescent="0.3">
      <c r="A1244" s="3">
        <v>46260.619513888887</v>
      </c>
      <c r="B1244" s="1">
        <v>6.37</v>
      </c>
      <c r="C1244" s="1">
        <v>5.47</v>
      </c>
      <c r="D1244" s="1">
        <v>0.54</v>
      </c>
      <c r="E1244" s="1" t="s">
        <v>113</v>
      </c>
      <c r="F1244" s="1" t="s">
        <v>113</v>
      </c>
      <c r="G1244" s="1" t="s">
        <v>113</v>
      </c>
      <c r="H1244" s="1" t="str">
        <f>VLOOKUP(F1244,Countries!$A$1:$B$161,2,0)</f>
        <v>United States of America</v>
      </c>
    </row>
    <row r="1245" spans="1:8" x14ac:dyDescent="0.3">
      <c r="A1245" s="3">
        <v>46260.616388888891</v>
      </c>
      <c r="B1245" s="1">
        <v>6.3</v>
      </c>
      <c r="C1245" s="1">
        <v>5.41</v>
      </c>
      <c r="D1245" s="1">
        <v>0.54</v>
      </c>
      <c r="E1245" s="1" t="s">
        <v>143</v>
      </c>
      <c r="F1245" s="1" t="s">
        <v>143</v>
      </c>
      <c r="G1245" s="1" t="s">
        <v>143</v>
      </c>
      <c r="H1245" s="1" t="str">
        <f>VLOOKUP(F1245,Countries!$A$1:$B$161,2,0)</f>
        <v>United Arab Emirates</v>
      </c>
    </row>
    <row r="1246" spans="1:8" x14ac:dyDescent="0.3">
      <c r="A1246" s="3">
        <v>46260.612800925926</v>
      </c>
      <c r="B1246" s="1">
        <v>3.18</v>
      </c>
      <c r="C1246" s="1">
        <v>2.73</v>
      </c>
      <c r="D1246" s="1">
        <v>0.39</v>
      </c>
      <c r="E1246" s="1" t="s">
        <v>113</v>
      </c>
      <c r="F1246" s="1" t="s">
        <v>113</v>
      </c>
      <c r="G1246" s="1" t="s">
        <v>113</v>
      </c>
      <c r="H1246" s="1" t="str">
        <f>VLOOKUP(F1246,Countries!$A$1:$B$161,2,0)</f>
        <v>United States of America</v>
      </c>
    </row>
    <row r="1247" spans="1:8" x14ac:dyDescent="0.3">
      <c r="A1247" s="3">
        <v>46260.612002314818</v>
      </c>
      <c r="B1247" s="1">
        <v>61.58</v>
      </c>
      <c r="C1247" s="1">
        <v>52.84</v>
      </c>
      <c r="D1247" s="1">
        <v>2.1</v>
      </c>
      <c r="E1247" s="1" t="s">
        <v>116</v>
      </c>
      <c r="F1247" s="1" t="s">
        <v>116</v>
      </c>
      <c r="G1247" s="1" t="s">
        <v>116</v>
      </c>
      <c r="H1247" s="1" t="str">
        <f>VLOOKUP(F1247,Countries!$A$1:$B$161,2,0)</f>
        <v>Spain</v>
      </c>
    </row>
    <row r="1248" spans="1:8" x14ac:dyDescent="0.3">
      <c r="A1248" s="3">
        <v>46260.610763888893</v>
      </c>
      <c r="B1248" s="1">
        <v>61.58</v>
      </c>
      <c r="C1248" s="1">
        <v>52.84</v>
      </c>
      <c r="D1248" s="1">
        <v>2.1</v>
      </c>
      <c r="E1248" s="1" t="s">
        <v>116</v>
      </c>
      <c r="F1248" s="1" t="s">
        <v>116</v>
      </c>
      <c r="G1248" s="1" t="s">
        <v>116</v>
      </c>
      <c r="H1248" s="1" t="str">
        <f>VLOOKUP(F1248,Countries!$A$1:$B$161,2,0)</f>
        <v>Spain</v>
      </c>
    </row>
    <row r="1249" spans="1:8" x14ac:dyDescent="0.3">
      <c r="A1249" s="3">
        <v>46260.6018287037</v>
      </c>
      <c r="B1249" s="1">
        <v>6.37</v>
      </c>
      <c r="C1249" s="1">
        <v>5.47</v>
      </c>
      <c r="D1249" s="1">
        <v>0.54</v>
      </c>
      <c r="E1249" s="1" t="s">
        <v>113</v>
      </c>
      <c r="F1249" s="1" t="s">
        <v>113</v>
      </c>
      <c r="G1249" s="1" t="s">
        <v>113</v>
      </c>
      <c r="H1249" s="1" t="str">
        <f>VLOOKUP(F1249,Countries!$A$1:$B$161,2,0)</f>
        <v>United States of America</v>
      </c>
    </row>
    <row r="1250" spans="1:8" x14ac:dyDescent="0.3">
      <c r="A1250" s="3">
        <v>46260.590486111112</v>
      </c>
      <c r="B1250" s="1">
        <v>2.11</v>
      </c>
      <c r="C1250" s="1">
        <v>1.81</v>
      </c>
      <c r="D1250" s="1">
        <v>0.35</v>
      </c>
      <c r="E1250" s="1" t="s">
        <v>113</v>
      </c>
      <c r="F1250" s="1" t="s">
        <v>113</v>
      </c>
      <c r="G1250" s="1" t="s">
        <v>113</v>
      </c>
      <c r="H1250" s="1" t="str">
        <f>VLOOKUP(F1250,Countries!$A$1:$B$161,2,0)</f>
        <v>United States of America</v>
      </c>
    </row>
    <row r="1251" spans="1:8" x14ac:dyDescent="0.3">
      <c r="A1251" s="3">
        <v>46260.586273148147</v>
      </c>
      <c r="B1251" s="1">
        <v>2.99</v>
      </c>
      <c r="C1251" s="1">
        <v>2.57</v>
      </c>
      <c r="D1251" s="1">
        <v>0.38</v>
      </c>
      <c r="E1251" s="1" t="s">
        <v>135</v>
      </c>
      <c r="F1251" s="1" t="s">
        <v>135</v>
      </c>
      <c r="G1251" s="1" t="s">
        <v>135</v>
      </c>
      <c r="H1251" s="1" t="str">
        <f>VLOOKUP(F1251,Countries!$A$1:$B$161,2,0)</f>
        <v>Kuwait</v>
      </c>
    </row>
    <row r="1252" spans="1:8" x14ac:dyDescent="0.3">
      <c r="A1252" s="3">
        <v>46260.579965277779</v>
      </c>
      <c r="B1252" s="1">
        <v>7.98</v>
      </c>
      <c r="C1252" s="1">
        <v>6.85</v>
      </c>
      <c r="D1252" s="1">
        <v>0.49</v>
      </c>
      <c r="E1252" s="1" t="s">
        <v>178</v>
      </c>
      <c r="F1252" s="1" t="s">
        <v>178</v>
      </c>
      <c r="G1252" s="1" t="s">
        <v>178</v>
      </c>
      <c r="H1252" s="1" t="str">
        <f>VLOOKUP(F1252,Countries!$A$1:$B$161,2,0)</f>
        <v>Sweden</v>
      </c>
    </row>
    <row r="1253" spans="1:8" x14ac:dyDescent="0.3">
      <c r="A1253" s="3">
        <v>46260.570509259262</v>
      </c>
      <c r="B1253" s="1">
        <v>59.03</v>
      </c>
      <c r="C1253" s="1">
        <v>50.64</v>
      </c>
      <c r="D1253" s="1">
        <v>2.91</v>
      </c>
      <c r="E1253" s="1" t="s">
        <v>113</v>
      </c>
      <c r="F1253" s="1" t="s">
        <v>113</v>
      </c>
      <c r="G1253" s="1" t="s">
        <v>113</v>
      </c>
      <c r="H1253" s="1" t="str">
        <f>VLOOKUP(F1253,Countries!$A$1:$B$161,2,0)</f>
        <v>United States of America</v>
      </c>
    </row>
    <row r="1254" spans="1:8" x14ac:dyDescent="0.3">
      <c r="A1254" s="3">
        <v>46260.569247685176</v>
      </c>
      <c r="B1254" s="1">
        <v>14.77</v>
      </c>
      <c r="C1254" s="1">
        <v>12.67</v>
      </c>
      <c r="D1254" s="1">
        <v>0.91</v>
      </c>
      <c r="E1254" s="1" t="s">
        <v>113</v>
      </c>
      <c r="F1254" s="1" t="s">
        <v>113</v>
      </c>
      <c r="G1254" s="1" t="s">
        <v>113</v>
      </c>
      <c r="H1254" s="1" t="str">
        <f>VLOOKUP(F1254,Countries!$A$1:$B$161,2,0)</f>
        <v>United States of America</v>
      </c>
    </row>
    <row r="1255" spans="1:8" x14ac:dyDescent="0.3">
      <c r="A1255" s="3">
        <v>46260.568969907406</v>
      </c>
      <c r="B1255" s="1">
        <v>10.62</v>
      </c>
      <c r="C1255" s="1">
        <v>9.11</v>
      </c>
      <c r="D1255" s="1">
        <v>0.73</v>
      </c>
      <c r="E1255" s="1" t="s">
        <v>113</v>
      </c>
      <c r="F1255" s="1" t="s">
        <v>113</v>
      </c>
      <c r="G1255" s="1" t="s">
        <v>113</v>
      </c>
      <c r="H1255" s="1" t="str">
        <f>VLOOKUP(F1255,Countries!$A$1:$B$161,2,0)</f>
        <v>United States of America</v>
      </c>
    </row>
    <row r="1256" spans="1:8" x14ac:dyDescent="0.3">
      <c r="A1256" s="3">
        <v>46260.567604166667</v>
      </c>
      <c r="B1256" s="1">
        <v>6.37</v>
      </c>
      <c r="C1256" s="1">
        <v>5.46</v>
      </c>
      <c r="D1256" s="1">
        <v>0.54</v>
      </c>
      <c r="E1256" s="1" t="s">
        <v>113</v>
      </c>
      <c r="F1256" s="1" t="s">
        <v>113</v>
      </c>
      <c r="G1256" s="1" t="s">
        <v>113</v>
      </c>
      <c r="H1256" s="1" t="str">
        <f>VLOOKUP(F1256,Countries!$A$1:$B$161,2,0)</f>
        <v>United States of America</v>
      </c>
    </row>
    <row r="1257" spans="1:8" x14ac:dyDescent="0.3">
      <c r="A1257" s="3">
        <v>46260.564976851849</v>
      </c>
      <c r="B1257" s="1">
        <v>6.37</v>
      </c>
      <c r="C1257" s="1">
        <v>5.46</v>
      </c>
      <c r="D1257" s="1">
        <v>0.54</v>
      </c>
      <c r="E1257" s="1" t="s">
        <v>113</v>
      </c>
      <c r="F1257" s="1" t="s">
        <v>113</v>
      </c>
      <c r="G1257" s="1" t="s">
        <v>113</v>
      </c>
      <c r="H1257" s="1" t="str">
        <f>VLOOKUP(F1257,Countries!$A$1:$B$161,2,0)</f>
        <v>United States of America</v>
      </c>
    </row>
    <row r="1258" spans="1:8" x14ac:dyDescent="0.3">
      <c r="A1258" s="3">
        <v>46260.561006944437</v>
      </c>
      <c r="B1258" s="1">
        <v>7.99</v>
      </c>
      <c r="C1258" s="1">
        <v>6.85</v>
      </c>
      <c r="D1258" s="1">
        <v>0.61</v>
      </c>
      <c r="E1258" s="1" t="s">
        <v>186</v>
      </c>
      <c r="F1258" s="1" t="s">
        <v>186</v>
      </c>
      <c r="G1258" s="1" t="s">
        <v>186</v>
      </c>
      <c r="H1258" s="1" t="str">
        <f>VLOOKUP(F1258,Countries!$A$1:$B$161,2,0)</f>
        <v>Paraguay</v>
      </c>
    </row>
    <row r="1259" spans="1:8" x14ac:dyDescent="0.3">
      <c r="A1259" s="3">
        <v>46260.545370370368</v>
      </c>
      <c r="B1259" s="1">
        <v>2.11</v>
      </c>
      <c r="C1259" s="1">
        <v>1.81</v>
      </c>
      <c r="D1259" s="1">
        <v>0.35</v>
      </c>
      <c r="E1259" s="1" t="s">
        <v>113</v>
      </c>
      <c r="F1259" s="1" t="s">
        <v>113</v>
      </c>
      <c r="G1259" s="1" t="s">
        <v>113</v>
      </c>
      <c r="H1259" s="1" t="str">
        <f>VLOOKUP(F1259,Countries!$A$1:$B$161,2,0)</f>
        <v>United States of America</v>
      </c>
    </row>
    <row r="1260" spans="1:8" x14ac:dyDescent="0.3">
      <c r="A1260" s="3">
        <v>46260.539351851847</v>
      </c>
      <c r="B1260" s="1">
        <v>2.99</v>
      </c>
      <c r="C1260" s="1">
        <v>2.56</v>
      </c>
      <c r="D1260" s="1">
        <v>0.38</v>
      </c>
      <c r="E1260" s="1" t="s">
        <v>113</v>
      </c>
      <c r="F1260" s="1" t="s">
        <v>113</v>
      </c>
      <c r="G1260" s="1" t="s">
        <v>113</v>
      </c>
      <c r="H1260" s="1" t="str">
        <f>VLOOKUP(F1260,Countries!$A$1:$B$161,2,0)</f>
        <v>United States of America</v>
      </c>
    </row>
    <row r="1261" spans="1:8" x14ac:dyDescent="0.3">
      <c r="A1261" s="3">
        <v>46260.533414351848</v>
      </c>
      <c r="B1261" s="1">
        <v>3.18</v>
      </c>
      <c r="C1261" s="1">
        <v>2.73</v>
      </c>
      <c r="D1261" s="1">
        <v>0.39</v>
      </c>
      <c r="E1261" s="1" t="s">
        <v>113</v>
      </c>
      <c r="F1261" s="1" t="s">
        <v>113</v>
      </c>
      <c r="G1261" s="1" t="s">
        <v>113</v>
      </c>
      <c r="H1261" s="1" t="str">
        <f>VLOOKUP(F1261,Countries!$A$1:$B$161,2,0)</f>
        <v>United States of America</v>
      </c>
    </row>
    <row r="1262" spans="1:8" x14ac:dyDescent="0.3">
      <c r="A1262" s="3">
        <v>46260.518217592587</v>
      </c>
      <c r="B1262" s="1">
        <v>6.37</v>
      </c>
      <c r="C1262" s="1">
        <v>5.46</v>
      </c>
      <c r="D1262" s="1">
        <v>0.54</v>
      </c>
      <c r="E1262" s="1" t="s">
        <v>113</v>
      </c>
      <c r="F1262" s="1" t="s">
        <v>113</v>
      </c>
      <c r="G1262" s="1" t="s">
        <v>113</v>
      </c>
      <c r="H1262" s="1" t="str">
        <f>VLOOKUP(F1262,Countries!$A$1:$B$161,2,0)</f>
        <v>United States of America</v>
      </c>
    </row>
    <row r="1263" spans="1:8" x14ac:dyDescent="0.3">
      <c r="A1263" s="3">
        <v>46260.513553240737</v>
      </c>
      <c r="B1263" s="1">
        <v>9.07</v>
      </c>
      <c r="C1263" s="1">
        <v>7.77</v>
      </c>
      <c r="D1263" s="1">
        <v>0.66</v>
      </c>
      <c r="E1263" s="1" t="s">
        <v>114</v>
      </c>
      <c r="F1263" s="1" t="s">
        <v>114</v>
      </c>
      <c r="G1263" s="1" t="s">
        <v>114</v>
      </c>
      <c r="H1263" s="1" t="str">
        <f>VLOOKUP(F1263,Countries!$A$1:$B$161,2,0)</f>
        <v>Philippines</v>
      </c>
    </row>
    <row r="1264" spans="1:8" x14ac:dyDescent="0.3">
      <c r="A1264" s="3">
        <v>46260.503472222219</v>
      </c>
      <c r="B1264" s="1">
        <v>7.58</v>
      </c>
      <c r="C1264" s="1">
        <v>6.5</v>
      </c>
      <c r="D1264" s="1">
        <v>0.48</v>
      </c>
      <c r="E1264" s="1" t="s">
        <v>116</v>
      </c>
      <c r="F1264" s="1" t="s">
        <v>116</v>
      </c>
      <c r="G1264" s="1" t="s">
        <v>116</v>
      </c>
      <c r="H1264" s="1" t="str">
        <f>VLOOKUP(F1264,Countries!$A$1:$B$161,2,0)</f>
        <v>Spain</v>
      </c>
    </row>
    <row r="1265" spans="1:8" x14ac:dyDescent="0.3">
      <c r="A1265" s="3">
        <v>46260.493020833332</v>
      </c>
      <c r="B1265" s="1">
        <v>60.81</v>
      </c>
      <c r="C1265" s="1">
        <v>52.14</v>
      </c>
      <c r="D1265" s="1">
        <v>2.0699999999999998</v>
      </c>
      <c r="E1265" s="1" t="s">
        <v>123</v>
      </c>
      <c r="F1265" s="1" t="s">
        <v>123</v>
      </c>
      <c r="G1265" s="1" t="s">
        <v>123</v>
      </c>
      <c r="H1265" s="1" t="str">
        <f>VLOOKUP(F1265,Countries!$A$1:$B$161,2,0)</f>
        <v>France</v>
      </c>
    </row>
    <row r="1266" spans="1:8" x14ac:dyDescent="0.3">
      <c r="A1266" s="3">
        <v>46260.490914351853</v>
      </c>
      <c r="B1266" s="1">
        <v>7.58</v>
      </c>
      <c r="C1266" s="1">
        <v>6.5</v>
      </c>
      <c r="D1266" s="1">
        <v>0.48</v>
      </c>
      <c r="E1266" s="1" t="s">
        <v>116</v>
      </c>
      <c r="F1266" s="1" t="s">
        <v>116</v>
      </c>
      <c r="G1266" s="1" t="s">
        <v>116</v>
      </c>
      <c r="H1266" s="1" t="str">
        <f>VLOOKUP(F1266,Countries!$A$1:$B$161,2,0)</f>
        <v>Spain</v>
      </c>
    </row>
    <row r="1267" spans="1:8" x14ac:dyDescent="0.3">
      <c r="A1267" s="3">
        <v>46260.488067129627</v>
      </c>
      <c r="B1267" s="1">
        <v>35.18</v>
      </c>
      <c r="C1267" s="1">
        <v>30.16</v>
      </c>
      <c r="D1267" s="1">
        <v>1.3</v>
      </c>
      <c r="E1267" s="1" t="s">
        <v>120</v>
      </c>
      <c r="F1267" s="1" t="s">
        <v>120</v>
      </c>
      <c r="G1267" s="1" t="s">
        <v>120</v>
      </c>
      <c r="H1267" s="1" t="str">
        <f>VLOOKUP(F1267,Countries!$A$1:$B$161,2,0)</f>
        <v>Czech Republic</v>
      </c>
    </row>
    <row r="1268" spans="1:8" x14ac:dyDescent="0.3">
      <c r="A1268" s="3">
        <v>46260.486747685187</v>
      </c>
      <c r="B1268" s="1">
        <v>7.58</v>
      </c>
      <c r="C1268" s="1">
        <v>6.5</v>
      </c>
      <c r="D1268" s="1">
        <v>0.48</v>
      </c>
      <c r="E1268" s="1" t="s">
        <v>120</v>
      </c>
      <c r="F1268" s="1" t="s">
        <v>120</v>
      </c>
      <c r="G1268" s="1" t="s">
        <v>120</v>
      </c>
      <c r="H1268" s="1" t="str">
        <f>VLOOKUP(F1268,Countries!$A$1:$B$161,2,0)</f>
        <v>Czech Republic</v>
      </c>
    </row>
    <row r="1269" spans="1:8" x14ac:dyDescent="0.3">
      <c r="A1269" s="3">
        <v>46260.486076388886</v>
      </c>
      <c r="B1269" s="1">
        <v>12.97</v>
      </c>
      <c r="C1269" s="1">
        <v>11.12</v>
      </c>
      <c r="D1269" s="1">
        <v>0.64</v>
      </c>
      <c r="E1269" s="1" t="s">
        <v>112</v>
      </c>
      <c r="F1269" s="1" t="s">
        <v>112</v>
      </c>
      <c r="G1269" s="1" t="s">
        <v>112</v>
      </c>
      <c r="H1269" s="1" t="str">
        <f>VLOOKUP(F1269,Countries!$A$1:$B$161,2,0)</f>
        <v>Ireland</v>
      </c>
    </row>
    <row r="1270" spans="1:8" x14ac:dyDescent="0.3">
      <c r="A1270" s="3">
        <v>46260.485844907409</v>
      </c>
      <c r="B1270" s="1">
        <v>12.97</v>
      </c>
      <c r="C1270" s="1">
        <v>11.12</v>
      </c>
      <c r="D1270" s="1">
        <v>0.64</v>
      </c>
      <c r="E1270" s="1" t="s">
        <v>112</v>
      </c>
      <c r="F1270" s="1" t="s">
        <v>112</v>
      </c>
      <c r="G1270" s="1" t="s">
        <v>112</v>
      </c>
      <c r="H1270" s="1" t="str">
        <f>VLOOKUP(F1270,Countries!$A$1:$B$161,2,0)</f>
        <v>Ireland</v>
      </c>
    </row>
    <row r="1271" spans="1:8" x14ac:dyDescent="0.3">
      <c r="A1271" s="3">
        <v>46260.482766203713</v>
      </c>
      <c r="B1271" s="1">
        <v>6.3</v>
      </c>
      <c r="C1271" s="1">
        <v>5.4</v>
      </c>
      <c r="D1271" s="1">
        <v>0.54</v>
      </c>
      <c r="E1271" s="1" t="s">
        <v>132</v>
      </c>
      <c r="F1271" s="1" t="s">
        <v>132</v>
      </c>
      <c r="G1271" s="1" t="s">
        <v>132</v>
      </c>
      <c r="H1271" s="1" t="str">
        <f>VLOOKUP(F1271,Countries!$A$1:$B$161,2,0)</f>
        <v>Canada</v>
      </c>
    </row>
    <row r="1272" spans="1:8" x14ac:dyDescent="0.3">
      <c r="A1272" s="3">
        <v>46260.47923611111</v>
      </c>
      <c r="B1272" s="1">
        <v>6.37</v>
      </c>
      <c r="C1272" s="1">
        <v>5.46</v>
      </c>
      <c r="D1272" s="1">
        <v>0.54</v>
      </c>
      <c r="E1272" s="1" t="s">
        <v>113</v>
      </c>
      <c r="F1272" s="1" t="s">
        <v>113</v>
      </c>
      <c r="G1272" s="1" t="s">
        <v>113</v>
      </c>
      <c r="H1272" s="1" t="str">
        <f>VLOOKUP(F1272,Countries!$A$1:$B$161,2,0)</f>
        <v>United States of America</v>
      </c>
    </row>
    <row r="1273" spans="1:8" x14ac:dyDescent="0.3">
      <c r="A1273" s="3">
        <v>46260.473009259258</v>
      </c>
      <c r="B1273" s="1">
        <v>12.97</v>
      </c>
      <c r="C1273" s="1">
        <v>11.12</v>
      </c>
      <c r="D1273" s="1">
        <v>0.64</v>
      </c>
      <c r="E1273" s="1" t="s">
        <v>112</v>
      </c>
      <c r="F1273" s="1" t="s">
        <v>112</v>
      </c>
      <c r="G1273" s="1" t="s">
        <v>112</v>
      </c>
      <c r="H1273" s="1" t="str">
        <f>VLOOKUP(F1273,Countries!$A$1:$B$161,2,0)</f>
        <v>Ireland</v>
      </c>
    </row>
    <row r="1274" spans="1:8" x14ac:dyDescent="0.3">
      <c r="A1274" s="3">
        <v>46260.471539351849</v>
      </c>
      <c r="B1274" s="1">
        <v>51.93</v>
      </c>
      <c r="C1274" s="1">
        <v>44.53</v>
      </c>
      <c r="D1274" s="1">
        <v>1.81</v>
      </c>
      <c r="E1274" s="1" t="s">
        <v>112</v>
      </c>
      <c r="F1274" s="1" t="s">
        <v>112</v>
      </c>
      <c r="G1274" s="1" t="s">
        <v>112</v>
      </c>
      <c r="H1274" s="1" t="str">
        <f>VLOOKUP(F1274,Countries!$A$1:$B$161,2,0)</f>
        <v>Ireland</v>
      </c>
    </row>
    <row r="1275" spans="1:8" x14ac:dyDescent="0.3">
      <c r="A1275" s="3">
        <v>46260.467210648138</v>
      </c>
      <c r="B1275" s="1">
        <v>51.93</v>
      </c>
      <c r="C1275" s="1">
        <v>44.53</v>
      </c>
      <c r="D1275" s="1">
        <v>1.81</v>
      </c>
      <c r="E1275" s="1" t="s">
        <v>112</v>
      </c>
      <c r="F1275" s="1" t="s">
        <v>112</v>
      </c>
      <c r="G1275" s="1" t="s">
        <v>112</v>
      </c>
      <c r="H1275" s="1" t="str">
        <f>VLOOKUP(F1275,Countries!$A$1:$B$161,2,0)</f>
        <v>Ireland</v>
      </c>
    </row>
    <row r="1276" spans="1:8" x14ac:dyDescent="0.3">
      <c r="A1276" s="3">
        <v>46260.457789351851</v>
      </c>
      <c r="B1276" s="1">
        <v>10.85</v>
      </c>
      <c r="C1276" s="1">
        <v>9.3000000000000007</v>
      </c>
      <c r="D1276" s="1">
        <v>0.74</v>
      </c>
      <c r="E1276" s="1" t="s">
        <v>115</v>
      </c>
      <c r="F1276" s="1" t="s">
        <v>115</v>
      </c>
      <c r="G1276" s="1" t="s">
        <v>115</v>
      </c>
      <c r="H1276" s="1" t="str">
        <f>VLOOKUP(F1276,Countries!$A$1:$B$161,2,0)</f>
        <v>Switzerland</v>
      </c>
    </row>
    <row r="1277" spans="1:8" x14ac:dyDescent="0.3">
      <c r="A1277" s="3">
        <v>46260.451655092591</v>
      </c>
      <c r="B1277" s="1">
        <v>2.99</v>
      </c>
      <c r="C1277" s="1">
        <v>2.56</v>
      </c>
      <c r="D1277" s="1">
        <v>0.38</v>
      </c>
      <c r="E1277" s="1" t="s">
        <v>113</v>
      </c>
      <c r="F1277" s="1" t="s">
        <v>113</v>
      </c>
      <c r="G1277" s="1" t="s">
        <v>113</v>
      </c>
      <c r="H1277" s="1" t="str">
        <f>VLOOKUP(F1277,Countries!$A$1:$B$161,2,0)</f>
        <v>United States of America</v>
      </c>
    </row>
    <row r="1278" spans="1:8" x14ac:dyDescent="0.3">
      <c r="A1278" s="3">
        <v>46260.439641203702</v>
      </c>
      <c r="B1278" s="1">
        <v>10.85</v>
      </c>
      <c r="C1278" s="1">
        <v>9.3000000000000007</v>
      </c>
      <c r="D1278" s="1">
        <v>0.74</v>
      </c>
      <c r="E1278" s="1" t="s">
        <v>115</v>
      </c>
      <c r="F1278" s="1" t="s">
        <v>115</v>
      </c>
      <c r="G1278" s="1" t="s">
        <v>115</v>
      </c>
      <c r="H1278" s="1" t="str">
        <f>VLOOKUP(F1278,Countries!$A$1:$B$161,2,0)</f>
        <v>Switzerland</v>
      </c>
    </row>
    <row r="1279" spans="1:8" x14ac:dyDescent="0.3">
      <c r="A1279" s="3">
        <v>46260.438425925917</v>
      </c>
      <c r="B1279" s="1">
        <v>2.11</v>
      </c>
      <c r="C1279" s="1">
        <v>1.81</v>
      </c>
      <c r="D1279" s="1">
        <v>0.35</v>
      </c>
      <c r="E1279" s="1" t="s">
        <v>113</v>
      </c>
      <c r="F1279" s="1" t="s">
        <v>113</v>
      </c>
      <c r="G1279" s="1" t="s">
        <v>113</v>
      </c>
      <c r="H1279" s="1" t="str">
        <f>VLOOKUP(F1279,Countries!$A$1:$B$161,2,0)</f>
        <v>United States of America</v>
      </c>
    </row>
    <row r="1280" spans="1:8" x14ac:dyDescent="0.3">
      <c r="A1280" s="3">
        <v>46260.436284722222</v>
      </c>
      <c r="B1280" s="1">
        <v>6.37</v>
      </c>
      <c r="C1280" s="1">
        <v>5.46</v>
      </c>
      <c r="D1280" s="1">
        <v>0.54</v>
      </c>
      <c r="E1280" s="1" t="s">
        <v>113</v>
      </c>
      <c r="F1280" s="1" t="s">
        <v>113</v>
      </c>
      <c r="G1280" s="1" t="s">
        <v>113</v>
      </c>
      <c r="H1280" s="1" t="str">
        <f>VLOOKUP(F1280,Countries!$A$1:$B$161,2,0)</f>
        <v>United States of America</v>
      </c>
    </row>
    <row r="1281" spans="1:8" x14ac:dyDescent="0.3">
      <c r="A1281" s="3">
        <v>46260.430324074077</v>
      </c>
      <c r="B1281" s="1">
        <v>3.51</v>
      </c>
      <c r="C1281" s="1">
        <v>3.01</v>
      </c>
      <c r="D1281" s="1">
        <v>0.41</v>
      </c>
      <c r="E1281" s="1" t="s">
        <v>160</v>
      </c>
      <c r="F1281" s="1" t="s">
        <v>160</v>
      </c>
      <c r="G1281" s="1" t="s">
        <v>160</v>
      </c>
      <c r="H1281" s="1" t="str">
        <f>VLOOKUP(F1281,Countries!$A$1:$B$161,2,0)</f>
        <v>New Zealand</v>
      </c>
    </row>
    <row r="1282" spans="1:8" x14ac:dyDescent="0.3">
      <c r="A1282" s="3">
        <v>46260.420891203707</v>
      </c>
      <c r="B1282" s="1">
        <v>3.39</v>
      </c>
      <c r="C1282" s="1">
        <v>2.91</v>
      </c>
      <c r="D1282" s="1">
        <v>0.4</v>
      </c>
      <c r="E1282" s="1" t="s">
        <v>114</v>
      </c>
      <c r="F1282" s="1" t="s">
        <v>114</v>
      </c>
      <c r="G1282" s="1" t="s">
        <v>114</v>
      </c>
      <c r="H1282" s="1" t="str">
        <f>VLOOKUP(F1282,Countries!$A$1:$B$161,2,0)</f>
        <v>Philippines</v>
      </c>
    </row>
    <row r="1283" spans="1:8" x14ac:dyDescent="0.3">
      <c r="A1283" s="3">
        <v>46260.411527777767</v>
      </c>
      <c r="B1283" s="1">
        <v>7.58</v>
      </c>
      <c r="C1283" s="1">
        <v>6.49</v>
      </c>
      <c r="D1283" s="1">
        <v>0.48</v>
      </c>
      <c r="E1283" s="1" t="s">
        <v>116</v>
      </c>
      <c r="F1283" s="1" t="s">
        <v>116</v>
      </c>
      <c r="G1283" s="1" t="s">
        <v>116</v>
      </c>
      <c r="H1283" s="1" t="str">
        <f>VLOOKUP(F1283,Countries!$A$1:$B$161,2,0)</f>
        <v>Spain</v>
      </c>
    </row>
    <row r="1284" spans="1:8" x14ac:dyDescent="0.3">
      <c r="A1284" s="3">
        <v>46260.402962962973</v>
      </c>
      <c r="B1284" s="1">
        <v>1.99</v>
      </c>
      <c r="C1284" s="1">
        <v>1.7</v>
      </c>
      <c r="D1284" s="1">
        <v>0.34</v>
      </c>
      <c r="E1284" s="1" t="s">
        <v>187</v>
      </c>
      <c r="F1284" s="1" t="s">
        <v>187</v>
      </c>
      <c r="G1284" s="1" t="s">
        <v>187</v>
      </c>
      <c r="H1284" s="1" t="str">
        <f>VLOOKUP(F1284,Countries!$A$1:$B$161,2,0)</f>
        <v>Jamaica</v>
      </c>
    </row>
    <row r="1285" spans="1:8" x14ac:dyDescent="0.3">
      <c r="A1285" s="3">
        <v>46260.402824074074</v>
      </c>
      <c r="B1285" s="1">
        <v>20.75</v>
      </c>
      <c r="C1285" s="1">
        <v>17.78</v>
      </c>
      <c r="D1285" s="1">
        <v>0.88</v>
      </c>
      <c r="E1285" s="1" t="s">
        <v>112</v>
      </c>
      <c r="F1285" s="1" t="s">
        <v>112</v>
      </c>
      <c r="G1285" s="1" t="s">
        <v>112</v>
      </c>
      <c r="H1285" s="1" t="str">
        <f>VLOOKUP(F1285,Countries!$A$1:$B$161,2,0)</f>
        <v>Ireland</v>
      </c>
    </row>
    <row r="1286" spans="1:8" x14ac:dyDescent="0.3">
      <c r="A1286" s="3">
        <v>46260.385821759257</v>
      </c>
      <c r="B1286" s="1">
        <v>7.98</v>
      </c>
      <c r="C1286" s="1">
        <v>6.84</v>
      </c>
      <c r="D1286" s="1">
        <v>0.49</v>
      </c>
      <c r="E1286" s="1" t="s">
        <v>125</v>
      </c>
      <c r="F1286" s="1" t="s">
        <v>125</v>
      </c>
      <c r="G1286" s="1" t="s">
        <v>125</v>
      </c>
      <c r="H1286" s="1" t="str">
        <f>VLOOKUP(F1286,Countries!$A$1:$B$161,2,0)</f>
        <v>Norway</v>
      </c>
    </row>
    <row r="1287" spans="1:8" x14ac:dyDescent="0.3">
      <c r="A1287" s="3">
        <v>46260.383310185192</v>
      </c>
      <c r="B1287" s="1">
        <v>17.010000000000002</v>
      </c>
      <c r="C1287" s="1">
        <v>14.57</v>
      </c>
      <c r="D1287" s="1">
        <v>1.01</v>
      </c>
      <c r="E1287" s="1" t="s">
        <v>113</v>
      </c>
      <c r="F1287" s="1" t="s">
        <v>113</v>
      </c>
      <c r="G1287" s="1" t="s">
        <v>113</v>
      </c>
      <c r="H1287" s="1" t="str">
        <f>VLOOKUP(F1287,Countries!$A$1:$B$161,2,0)</f>
        <v>United States of America</v>
      </c>
    </row>
    <row r="1288" spans="1:8" x14ac:dyDescent="0.3">
      <c r="A1288" s="3">
        <v>46260.378553240742</v>
      </c>
      <c r="B1288" s="1">
        <v>59.03</v>
      </c>
      <c r="C1288" s="1">
        <v>50.58</v>
      </c>
      <c r="D1288" s="1">
        <v>2.9</v>
      </c>
      <c r="E1288" s="1" t="s">
        <v>113</v>
      </c>
      <c r="F1288" s="1" t="s">
        <v>113</v>
      </c>
      <c r="G1288" s="1" t="s">
        <v>113</v>
      </c>
      <c r="H1288" s="1" t="str">
        <f>VLOOKUP(F1288,Countries!$A$1:$B$161,2,0)</f>
        <v>United States of America</v>
      </c>
    </row>
    <row r="1289" spans="1:8" x14ac:dyDescent="0.3">
      <c r="A1289" s="3">
        <v>46260.376550925917</v>
      </c>
      <c r="B1289" s="1">
        <v>6.37</v>
      </c>
      <c r="C1289" s="1">
        <v>5.46</v>
      </c>
      <c r="D1289" s="1">
        <v>0.54</v>
      </c>
      <c r="E1289" s="1" t="s">
        <v>113</v>
      </c>
      <c r="F1289" s="1" t="s">
        <v>113</v>
      </c>
      <c r="G1289" s="1" t="s">
        <v>113</v>
      </c>
      <c r="H1289" s="1" t="str">
        <f>VLOOKUP(F1289,Countries!$A$1:$B$161,2,0)</f>
        <v>United States of America</v>
      </c>
    </row>
    <row r="1290" spans="1:8" x14ac:dyDescent="0.3">
      <c r="A1290" s="3">
        <v>46260.376099537039</v>
      </c>
      <c r="B1290" s="1">
        <v>6.37</v>
      </c>
      <c r="C1290" s="1">
        <v>5.46</v>
      </c>
      <c r="D1290" s="1">
        <v>0.54</v>
      </c>
      <c r="E1290" s="1" t="s">
        <v>113</v>
      </c>
      <c r="F1290" s="1" t="s">
        <v>113</v>
      </c>
      <c r="G1290" s="1" t="s">
        <v>113</v>
      </c>
      <c r="H1290" s="1" t="str">
        <f>VLOOKUP(F1290,Countries!$A$1:$B$161,2,0)</f>
        <v>United States of America</v>
      </c>
    </row>
    <row r="1291" spans="1:8" x14ac:dyDescent="0.3">
      <c r="A1291" s="3">
        <v>46260.367476851847</v>
      </c>
      <c r="B1291" s="1">
        <v>5.99</v>
      </c>
      <c r="C1291" s="1">
        <v>5.13</v>
      </c>
      <c r="D1291" s="1">
        <v>0.52</v>
      </c>
      <c r="E1291" s="1" t="s">
        <v>188</v>
      </c>
      <c r="F1291" s="1" t="s">
        <v>188</v>
      </c>
      <c r="G1291" s="1" t="s">
        <v>188</v>
      </c>
      <c r="H1291" s="1" t="str">
        <f>VLOOKUP(F1291,Countries!$A$1:$B$161,2,0)</f>
        <v>Dominican Republic</v>
      </c>
    </row>
    <row r="1292" spans="1:8" x14ac:dyDescent="0.3">
      <c r="A1292" s="3">
        <v>46260.365914351853</v>
      </c>
      <c r="B1292" s="1">
        <v>6.37</v>
      </c>
      <c r="C1292" s="1">
        <v>5.46</v>
      </c>
      <c r="D1292" s="1">
        <v>0.54</v>
      </c>
      <c r="E1292" s="1" t="s">
        <v>113</v>
      </c>
      <c r="F1292" s="1" t="s">
        <v>113</v>
      </c>
      <c r="G1292" s="1" t="s">
        <v>113</v>
      </c>
      <c r="H1292" s="1" t="str">
        <f>VLOOKUP(F1292,Countries!$A$1:$B$161,2,0)</f>
        <v>United States of America</v>
      </c>
    </row>
    <row r="1293" spans="1:8" x14ac:dyDescent="0.3">
      <c r="A1293" s="3">
        <v>46260.365567129629</v>
      </c>
      <c r="B1293" s="1">
        <v>61.71</v>
      </c>
      <c r="C1293" s="1">
        <v>52.88</v>
      </c>
      <c r="D1293" s="1">
        <v>2.1</v>
      </c>
      <c r="E1293" s="1" t="s">
        <v>159</v>
      </c>
      <c r="F1293" s="1" t="s">
        <v>159</v>
      </c>
      <c r="G1293" s="1" t="s">
        <v>159</v>
      </c>
      <c r="H1293" s="1" t="str">
        <f>VLOOKUP(F1293,Countries!$A$1:$B$161,2,0)</f>
        <v>Romania</v>
      </c>
    </row>
    <row r="1294" spans="1:8" x14ac:dyDescent="0.3">
      <c r="A1294" s="3">
        <v>46260.364432870367</v>
      </c>
      <c r="B1294" s="1">
        <v>3.18</v>
      </c>
      <c r="C1294" s="1">
        <v>2.73</v>
      </c>
      <c r="D1294" s="1">
        <v>0.39</v>
      </c>
      <c r="E1294" s="1" t="s">
        <v>113</v>
      </c>
      <c r="F1294" s="1" t="s">
        <v>113</v>
      </c>
      <c r="G1294" s="1" t="s">
        <v>113</v>
      </c>
      <c r="H1294" s="1" t="str">
        <f>VLOOKUP(F1294,Countries!$A$1:$B$161,2,0)</f>
        <v>United States of America</v>
      </c>
    </row>
    <row r="1295" spans="1:8" x14ac:dyDescent="0.3">
      <c r="A1295" s="3">
        <v>46260.361215277779</v>
      </c>
      <c r="B1295" s="1">
        <v>6.37</v>
      </c>
      <c r="C1295" s="1">
        <v>5.46</v>
      </c>
      <c r="D1295" s="1">
        <v>0.54</v>
      </c>
      <c r="E1295" s="1" t="s">
        <v>113</v>
      </c>
      <c r="F1295" s="1" t="s">
        <v>113</v>
      </c>
      <c r="G1295" s="1" t="s">
        <v>113</v>
      </c>
      <c r="H1295" s="1" t="str">
        <f>VLOOKUP(F1295,Countries!$A$1:$B$161,2,0)</f>
        <v>United States of America</v>
      </c>
    </row>
    <row r="1296" spans="1:8" x14ac:dyDescent="0.3">
      <c r="A1296" s="3">
        <v>46260.358113425929</v>
      </c>
      <c r="B1296" s="1">
        <v>2.99</v>
      </c>
      <c r="C1296" s="1">
        <v>2.56</v>
      </c>
      <c r="D1296" s="1">
        <v>0.38</v>
      </c>
      <c r="E1296" s="1" t="s">
        <v>142</v>
      </c>
      <c r="F1296" s="1" t="s">
        <v>142</v>
      </c>
      <c r="G1296" s="1" t="s">
        <v>142</v>
      </c>
      <c r="H1296" s="1" t="str">
        <f>VLOOKUP(F1296,Countries!$A$1:$B$161,2,0)</f>
        <v>India</v>
      </c>
    </row>
    <row r="1297" spans="1:8" x14ac:dyDescent="0.3">
      <c r="A1297" s="3">
        <v>46260.355636574073</v>
      </c>
      <c r="B1297" s="1">
        <v>12.33</v>
      </c>
      <c r="C1297" s="1">
        <v>10.57</v>
      </c>
      <c r="D1297" s="1">
        <v>0.62</v>
      </c>
      <c r="E1297" s="1" t="s">
        <v>159</v>
      </c>
      <c r="F1297" s="1" t="s">
        <v>159</v>
      </c>
      <c r="G1297" s="1" t="s">
        <v>159</v>
      </c>
      <c r="H1297" s="1" t="str">
        <f>VLOOKUP(F1297,Countries!$A$1:$B$161,2,0)</f>
        <v>Romania</v>
      </c>
    </row>
    <row r="1298" spans="1:8" x14ac:dyDescent="0.3">
      <c r="A1298" s="3">
        <v>46260.352048611108</v>
      </c>
      <c r="B1298" s="1">
        <v>3.18</v>
      </c>
      <c r="C1298" s="1">
        <v>2.73</v>
      </c>
      <c r="D1298" s="1">
        <v>0.39</v>
      </c>
      <c r="E1298" s="1" t="s">
        <v>183</v>
      </c>
      <c r="F1298" s="1" t="s">
        <v>183</v>
      </c>
      <c r="G1298" s="1" t="s">
        <v>183</v>
      </c>
      <c r="H1298" s="1" t="str">
        <f>VLOOKUP(F1298,Countries!$A$1:$B$161,2,0)</f>
        <v>Malaysia</v>
      </c>
    </row>
    <row r="1299" spans="1:8" x14ac:dyDescent="0.3">
      <c r="A1299" s="3">
        <v>46260.351053240738</v>
      </c>
      <c r="B1299" s="1">
        <v>51.93</v>
      </c>
      <c r="C1299" s="1">
        <v>44.5</v>
      </c>
      <c r="D1299" s="1">
        <v>1.81</v>
      </c>
      <c r="E1299" s="1" t="s">
        <v>112</v>
      </c>
      <c r="F1299" s="1" t="s">
        <v>112</v>
      </c>
      <c r="G1299" s="1" t="s">
        <v>112</v>
      </c>
      <c r="H1299" s="1" t="str">
        <f>VLOOKUP(F1299,Countries!$A$1:$B$161,2,0)</f>
        <v>Ireland</v>
      </c>
    </row>
    <row r="1300" spans="1:8" x14ac:dyDescent="0.3">
      <c r="A1300" s="3">
        <v>46260.349687499998</v>
      </c>
      <c r="B1300" s="1">
        <v>7.39</v>
      </c>
      <c r="C1300" s="1">
        <v>6.33</v>
      </c>
      <c r="D1300" s="1">
        <v>0.47</v>
      </c>
      <c r="E1300" s="1" t="s">
        <v>147</v>
      </c>
      <c r="F1300" s="1" t="s">
        <v>147</v>
      </c>
      <c r="G1300" s="1" t="s">
        <v>147</v>
      </c>
      <c r="H1300" s="1" t="str">
        <f>VLOOKUP(F1300,Countries!$A$1:$B$161,2,0)</f>
        <v>Germany</v>
      </c>
    </row>
    <row r="1301" spans="1:8" x14ac:dyDescent="0.3">
      <c r="A1301" s="3">
        <v>46260.349479166667</v>
      </c>
      <c r="B1301" s="1">
        <v>6.37</v>
      </c>
      <c r="C1301" s="1">
        <v>5.46</v>
      </c>
      <c r="D1301" s="1">
        <v>0.54</v>
      </c>
      <c r="E1301" s="1" t="s">
        <v>113</v>
      </c>
      <c r="F1301" s="1" t="s">
        <v>113</v>
      </c>
      <c r="G1301" s="1" t="s">
        <v>113</v>
      </c>
      <c r="H1301" s="1" t="str">
        <f>VLOOKUP(F1301,Countries!$A$1:$B$161,2,0)</f>
        <v>United States of America</v>
      </c>
    </row>
    <row r="1302" spans="1:8" x14ac:dyDescent="0.3">
      <c r="A1302" s="3">
        <v>46260.348136574074</v>
      </c>
      <c r="B1302" s="1">
        <v>6.37</v>
      </c>
      <c r="C1302" s="1">
        <v>5.46</v>
      </c>
      <c r="D1302" s="1">
        <v>0.54</v>
      </c>
      <c r="E1302" s="1" t="s">
        <v>113</v>
      </c>
      <c r="F1302" s="1" t="s">
        <v>113</v>
      </c>
      <c r="G1302" s="1" t="s">
        <v>113</v>
      </c>
      <c r="H1302" s="1" t="str">
        <f>VLOOKUP(F1302,Countries!$A$1:$B$161,2,0)</f>
        <v>United States of America</v>
      </c>
    </row>
    <row r="1303" spans="1:8" x14ac:dyDescent="0.3">
      <c r="A1303" s="3">
        <v>46260.3437037037</v>
      </c>
      <c r="B1303" s="1">
        <v>2.58</v>
      </c>
      <c r="C1303" s="1">
        <v>2.21</v>
      </c>
      <c r="D1303" s="1">
        <v>0.32</v>
      </c>
      <c r="E1303" s="1" t="s">
        <v>137</v>
      </c>
      <c r="F1303" s="1" t="s">
        <v>137</v>
      </c>
      <c r="G1303" s="1" t="s">
        <v>137</v>
      </c>
      <c r="H1303" s="1" t="str">
        <f>VLOOKUP(F1303,Countries!$A$1:$B$161,2,0)</f>
        <v>Poland</v>
      </c>
    </row>
    <row r="1304" spans="1:8" x14ac:dyDescent="0.3">
      <c r="A1304" s="3">
        <v>46260.342129629629</v>
      </c>
      <c r="B1304" s="1">
        <v>22.66</v>
      </c>
      <c r="C1304" s="1">
        <v>19.420000000000002</v>
      </c>
      <c r="D1304" s="1">
        <v>1.27</v>
      </c>
      <c r="E1304" s="1" t="s">
        <v>115</v>
      </c>
      <c r="F1304" s="1" t="s">
        <v>115</v>
      </c>
      <c r="G1304" s="1" t="s">
        <v>115</v>
      </c>
      <c r="H1304" s="1" t="str">
        <f>VLOOKUP(F1304,Countries!$A$1:$B$161,2,0)</f>
        <v>Switzerland</v>
      </c>
    </row>
    <row r="1305" spans="1:8" x14ac:dyDescent="0.3">
      <c r="A1305" s="3">
        <v>46260.341620370367</v>
      </c>
      <c r="B1305" s="1">
        <v>17.38</v>
      </c>
      <c r="C1305" s="1">
        <v>14.89</v>
      </c>
      <c r="D1305" s="1">
        <v>1.03</v>
      </c>
      <c r="E1305" s="1" t="s">
        <v>115</v>
      </c>
      <c r="F1305" s="1" t="s">
        <v>115</v>
      </c>
      <c r="G1305" s="1" t="s">
        <v>115</v>
      </c>
      <c r="H1305" s="1" t="str">
        <f>VLOOKUP(F1305,Countries!$A$1:$B$161,2,0)</f>
        <v>Switzerland</v>
      </c>
    </row>
    <row r="1306" spans="1:8" x14ac:dyDescent="0.3">
      <c r="A1306" s="3">
        <v>46260.340856481482</v>
      </c>
      <c r="B1306" s="1">
        <v>7.77</v>
      </c>
      <c r="C1306" s="1">
        <v>6.66</v>
      </c>
      <c r="D1306" s="1">
        <v>0.48</v>
      </c>
      <c r="E1306" s="1" t="s">
        <v>137</v>
      </c>
      <c r="F1306" s="1" t="s">
        <v>137</v>
      </c>
      <c r="G1306" s="1" t="s">
        <v>137</v>
      </c>
      <c r="H1306" s="1" t="str">
        <f>VLOOKUP(F1306,Countries!$A$1:$B$161,2,0)</f>
        <v>Poland</v>
      </c>
    </row>
    <row r="1307" spans="1:8" x14ac:dyDescent="0.3">
      <c r="A1307" s="3">
        <v>46260.339687500003</v>
      </c>
      <c r="B1307" s="1">
        <v>1.99</v>
      </c>
      <c r="C1307" s="1">
        <v>1.71</v>
      </c>
      <c r="D1307" s="1">
        <v>0.34</v>
      </c>
      <c r="E1307" s="1" t="s">
        <v>182</v>
      </c>
      <c r="F1307" s="1" t="s">
        <v>182</v>
      </c>
      <c r="G1307" s="1" t="s">
        <v>182</v>
      </c>
      <c r="H1307" s="1" t="str">
        <f>VLOOKUP(F1307,Countries!$A$1:$B$161,2,0)</f>
        <v>Guatemala</v>
      </c>
    </row>
    <row r="1308" spans="1:8" x14ac:dyDescent="0.3">
      <c r="A1308" s="3">
        <v>46260.337407407409</v>
      </c>
      <c r="B1308" s="1">
        <v>30.86</v>
      </c>
      <c r="C1308" s="1">
        <v>26.45</v>
      </c>
      <c r="D1308" s="1">
        <v>1.18</v>
      </c>
      <c r="E1308" s="1" t="s">
        <v>159</v>
      </c>
      <c r="F1308" s="1" t="s">
        <v>159</v>
      </c>
      <c r="G1308" s="1" t="s">
        <v>159</v>
      </c>
      <c r="H1308" s="1" t="str">
        <f>VLOOKUP(F1308,Countries!$A$1:$B$161,2,0)</f>
        <v>Romania</v>
      </c>
    </row>
    <row r="1309" spans="1:8" x14ac:dyDescent="0.3">
      <c r="A1309" s="3">
        <v>46260.337314814817</v>
      </c>
      <c r="B1309" s="1">
        <v>12.33</v>
      </c>
      <c r="C1309" s="1">
        <v>10.57</v>
      </c>
      <c r="D1309" s="1">
        <v>0.62</v>
      </c>
      <c r="E1309" s="1" t="s">
        <v>159</v>
      </c>
      <c r="F1309" s="1" t="s">
        <v>159</v>
      </c>
      <c r="G1309" s="1" t="s">
        <v>159</v>
      </c>
      <c r="H1309" s="1" t="str">
        <f>VLOOKUP(F1309,Countries!$A$1:$B$161,2,0)</f>
        <v>Romania</v>
      </c>
    </row>
    <row r="1310" spans="1:8" x14ac:dyDescent="0.3">
      <c r="A1310" s="3">
        <v>46260.336921296293</v>
      </c>
      <c r="B1310" s="1">
        <v>12.33</v>
      </c>
      <c r="C1310" s="1">
        <v>10.57</v>
      </c>
      <c r="D1310" s="1">
        <v>0.62</v>
      </c>
      <c r="E1310" s="1" t="s">
        <v>159</v>
      </c>
      <c r="F1310" s="1" t="s">
        <v>159</v>
      </c>
      <c r="G1310" s="1" t="s">
        <v>159</v>
      </c>
      <c r="H1310" s="1" t="str">
        <f>VLOOKUP(F1310,Countries!$A$1:$B$161,2,0)</f>
        <v>Romania</v>
      </c>
    </row>
    <row r="1311" spans="1:8" x14ac:dyDescent="0.3">
      <c r="A1311" s="3">
        <v>46260.334016203713</v>
      </c>
      <c r="B1311" s="1">
        <v>6.37</v>
      </c>
      <c r="C1311" s="1">
        <v>5.46</v>
      </c>
      <c r="D1311" s="1">
        <v>0.54</v>
      </c>
      <c r="E1311" s="1" t="s">
        <v>113</v>
      </c>
      <c r="F1311" s="1" t="s">
        <v>113</v>
      </c>
      <c r="G1311" s="1" t="s">
        <v>113</v>
      </c>
      <c r="H1311" s="1" t="str">
        <f>VLOOKUP(F1311,Countries!$A$1:$B$161,2,0)</f>
        <v>United States of America</v>
      </c>
    </row>
    <row r="1312" spans="1:8" x14ac:dyDescent="0.3">
      <c r="A1312" s="3">
        <v>46260.333796296298</v>
      </c>
      <c r="B1312" s="1">
        <v>6.37</v>
      </c>
      <c r="C1312" s="1">
        <v>5.46</v>
      </c>
      <c r="D1312" s="1">
        <v>0.54</v>
      </c>
      <c r="E1312" s="1" t="s">
        <v>113</v>
      </c>
      <c r="F1312" s="1" t="s">
        <v>113</v>
      </c>
      <c r="G1312" s="1" t="s">
        <v>113</v>
      </c>
      <c r="H1312" s="1" t="str">
        <f>VLOOKUP(F1312,Countries!$A$1:$B$161,2,0)</f>
        <v>United States of America</v>
      </c>
    </row>
    <row r="1313" spans="1:8" x14ac:dyDescent="0.3">
      <c r="A1313" s="3">
        <v>46260.332881944443</v>
      </c>
      <c r="B1313" s="1">
        <v>6.37</v>
      </c>
      <c r="C1313" s="1">
        <v>5.46</v>
      </c>
      <c r="D1313" s="1">
        <v>0.54</v>
      </c>
      <c r="E1313" s="1" t="s">
        <v>113</v>
      </c>
      <c r="F1313" s="1" t="s">
        <v>113</v>
      </c>
      <c r="G1313" s="1" t="s">
        <v>113</v>
      </c>
      <c r="H1313" s="1" t="str">
        <f>VLOOKUP(F1313,Countries!$A$1:$B$161,2,0)</f>
        <v>United States of America</v>
      </c>
    </row>
    <row r="1314" spans="1:8" x14ac:dyDescent="0.3">
      <c r="A1314" s="3">
        <v>46260.325775462959</v>
      </c>
      <c r="B1314" s="1">
        <v>12.33</v>
      </c>
      <c r="C1314" s="1">
        <v>10.57</v>
      </c>
      <c r="D1314" s="1">
        <v>0.62</v>
      </c>
      <c r="E1314" s="1" t="s">
        <v>159</v>
      </c>
      <c r="F1314" s="1" t="s">
        <v>159</v>
      </c>
      <c r="G1314" s="1" t="s">
        <v>159</v>
      </c>
      <c r="H1314" s="1" t="str">
        <f>VLOOKUP(F1314,Countries!$A$1:$B$161,2,0)</f>
        <v>Romania</v>
      </c>
    </row>
    <row r="1315" spans="1:8" x14ac:dyDescent="0.3">
      <c r="A1315" s="3">
        <v>46260.324699074074</v>
      </c>
      <c r="B1315" s="1">
        <v>51.93</v>
      </c>
      <c r="C1315" s="1">
        <v>44.51</v>
      </c>
      <c r="D1315" s="1">
        <v>1.81</v>
      </c>
      <c r="E1315" s="1" t="s">
        <v>112</v>
      </c>
      <c r="F1315" s="1" t="s">
        <v>112</v>
      </c>
      <c r="G1315" s="1" t="s">
        <v>112</v>
      </c>
      <c r="H1315" s="1" t="str">
        <f>VLOOKUP(F1315,Countries!$A$1:$B$161,2,0)</f>
        <v>Ireland</v>
      </c>
    </row>
    <row r="1316" spans="1:8" x14ac:dyDescent="0.3">
      <c r="A1316" s="3">
        <v>46260.323055555556</v>
      </c>
      <c r="B1316" s="1">
        <v>5.99</v>
      </c>
      <c r="C1316" s="1">
        <v>5.13</v>
      </c>
      <c r="D1316" s="1">
        <v>0.52</v>
      </c>
      <c r="E1316" s="1" t="s">
        <v>129</v>
      </c>
      <c r="F1316" s="1" t="s">
        <v>129</v>
      </c>
      <c r="G1316" s="1" t="s">
        <v>129</v>
      </c>
      <c r="H1316" s="1" t="str">
        <f>VLOOKUP(F1316,Countries!$A$1:$B$161,2,0)</f>
        <v>Qatar</v>
      </c>
    </row>
    <row r="1317" spans="1:8" x14ac:dyDescent="0.3">
      <c r="A1317" s="3">
        <v>46260.319664351853</v>
      </c>
      <c r="B1317" s="1">
        <v>7.48</v>
      </c>
      <c r="C1317" s="1">
        <v>6.41</v>
      </c>
      <c r="D1317" s="1">
        <v>0.48</v>
      </c>
      <c r="E1317" s="1" t="s">
        <v>123</v>
      </c>
      <c r="F1317" s="1" t="s">
        <v>123</v>
      </c>
      <c r="G1317" s="1" t="s">
        <v>123</v>
      </c>
      <c r="H1317" s="1" t="str">
        <f>VLOOKUP(F1317,Countries!$A$1:$B$161,2,0)</f>
        <v>France</v>
      </c>
    </row>
    <row r="1318" spans="1:8" x14ac:dyDescent="0.3">
      <c r="A1318" s="3">
        <v>46260.315416666657</v>
      </c>
      <c r="B1318" s="1">
        <v>30.86</v>
      </c>
      <c r="C1318" s="1">
        <v>26.45</v>
      </c>
      <c r="D1318" s="1">
        <v>1.18</v>
      </c>
      <c r="E1318" s="1" t="s">
        <v>159</v>
      </c>
      <c r="F1318" s="1" t="s">
        <v>159</v>
      </c>
      <c r="G1318" s="1" t="s">
        <v>159</v>
      </c>
      <c r="H1318" s="1" t="str">
        <f>VLOOKUP(F1318,Countries!$A$1:$B$161,2,0)</f>
        <v>Romania</v>
      </c>
    </row>
    <row r="1319" spans="1:8" x14ac:dyDescent="0.3">
      <c r="A1319" s="3">
        <v>46260.315312500003</v>
      </c>
      <c r="B1319" s="1">
        <v>12.33</v>
      </c>
      <c r="C1319" s="1">
        <v>10.57</v>
      </c>
      <c r="D1319" s="1">
        <v>0.62</v>
      </c>
      <c r="E1319" s="1" t="s">
        <v>159</v>
      </c>
      <c r="F1319" s="1" t="s">
        <v>159</v>
      </c>
      <c r="G1319" s="1" t="s">
        <v>159</v>
      </c>
      <c r="H1319" s="1" t="str">
        <f>VLOOKUP(F1319,Countries!$A$1:$B$161,2,0)</f>
        <v>Romania</v>
      </c>
    </row>
    <row r="1320" spans="1:8" x14ac:dyDescent="0.3">
      <c r="A1320" s="3">
        <v>46260.312986111108</v>
      </c>
      <c r="B1320" s="1">
        <v>12.33</v>
      </c>
      <c r="C1320" s="1">
        <v>10.57</v>
      </c>
      <c r="D1320" s="1">
        <v>0.62</v>
      </c>
      <c r="E1320" s="1" t="s">
        <v>159</v>
      </c>
      <c r="F1320" s="1" t="s">
        <v>159</v>
      </c>
      <c r="G1320" s="1" t="s">
        <v>159</v>
      </c>
      <c r="H1320" s="1" t="str">
        <f>VLOOKUP(F1320,Countries!$A$1:$B$161,2,0)</f>
        <v>Romania</v>
      </c>
    </row>
    <row r="1321" spans="1:8" x14ac:dyDescent="0.3">
      <c r="A1321" s="3">
        <v>46260.312858796293</v>
      </c>
      <c r="B1321" s="1">
        <v>19.98</v>
      </c>
      <c r="C1321" s="1">
        <v>17.13</v>
      </c>
      <c r="D1321" s="1">
        <v>0.85</v>
      </c>
      <c r="E1321" s="1" t="s">
        <v>189</v>
      </c>
      <c r="F1321" s="1" t="s">
        <v>189</v>
      </c>
      <c r="G1321" s="1" t="s">
        <v>189</v>
      </c>
      <c r="H1321" s="1" t="str">
        <f>VLOOKUP(F1321,Countries!$A$1:$B$161,2,0)</f>
        <v>Austria</v>
      </c>
    </row>
    <row r="1322" spans="1:8" x14ac:dyDescent="0.3">
      <c r="A1322" s="3">
        <v>46260.310416666667</v>
      </c>
      <c r="B1322" s="1">
        <v>51.93</v>
      </c>
      <c r="C1322" s="1">
        <v>44.51</v>
      </c>
      <c r="D1322" s="1">
        <v>1.81</v>
      </c>
      <c r="E1322" s="1" t="s">
        <v>112</v>
      </c>
      <c r="F1322" s="1" t="s">
        <v>112</v>
      </c>
      <c r="G1322" s="1" t="s">
        <v>112</v>
      </c>
      <c r="H1322" s="1" t="str">
        <f>VLOOKUP(F1322,Countries!$A$1:$B$161,2,0)</f>
        <v>Ireland</v>
      </c>
    </row>
    <row r="1323" spans="1:8" x14ac:dyDescent="0.3">
      <c r="A1323" s="3">
        <v>46260.30940972222</v>
      </c>
      <c r="B1323" s="1">
        <v>17.760000000000002</v>
      </c>
      <c r="C1323" s="1">
        <v>15.22</v>
      </c>
      <c r="D1323" s="1">
        <v>1.04</v>
      </c>
      <c r="E1323" s="1" t="s">
        <v>130</v>
      </c>
      <c r="F1323" s="1" t="s">
        <v>130</v>
      </c>
      <c r="G1323" s="1" t="s">
        <v>130</v>
      </c>
      <c r="H1323" s="1" t="str">
        <f>VLOOKUP(F1323,Countries!$A$1:$B$161,2,0)</f>
        <v>Australia</v>
      </c>
    </row>
    <row r="1324" spans="1:8" x14ac:dyDescent="0.3">
      <c r="A1324" s="3">
        <v>46260.308923611112</v>
      </c>
      <c r="B1324" s="1">
        <v>6.37</v>
      </c>
      <c r="C1324" s="1">
        <v>5.46</v>
      </c>
      <c r="D1324" s="1">
        <v>0.54</v>
      </c>
      <c r="E1324" s="1" t="s">
        <v>113</v>
      </c>
      <c r="F1324" s="1" t="s">
        <v>113</v>
      </c>
      <c r="G1324" s="1" t="s">
        <v>113</v>
      </c>
      <c r="H1324" s="1" t="str">
        <f>VLOOKUP(F1324,Countries!$A$1:$B$161,2,0)</f>
        <v>United States of America</v>
      </c>
    </row>
    <row r="1325" spans="1:8" x14ac:dyDescent="0.3">
      <c r="A1325" s="3">
        <v>46260.308680555558</v>
      </c>
      <c r="B1325" s="1">
        <v>3.39</v>
      </c>
      <c r="C1325" s="1">
        <v>2.91</v>
      </c>
      <c r="D1325" s="1">
        <v>0.4</v>
      </c>
      <c r="E1325" s="1" t="s">
        <v>114</v>
      </c>
      <c r="F1325" s="1" t="s">
        <v>114</v>
      </c>
      <c r="G1325" s="1" t="s">
        <v>114</v>
      </c>
      <c r="H1325" s="1" t="str">
        <f>VLOOKUP(F1325,Countries!$A$1:$B$161,2,0)</f>
        <v>Philippines</v>
      </c>
    </row>
    <row r="1326" spans="1:8" x14ac:dyDescent="0.3">
      <c r="A1326" s="3">
        <v>46260.307766203703</v>
      </c>
      <c r="B1326" s="1">
        <v>51.93</v>
      </c>
      <c r="C1326" s="1">
        <v>44.51</v>
      </c>
      <c r="D1326" s="1">
        <v>1.81</v>
      </c>
      <c r="E1326" s="1" t="s">
        <v>112</v>
      </c>
      <c r="F1326" s="1" t="s">
        <v>112</v>
      </c>
      <c r="G1326" s="1" t="s">
        <v>112</v>
      </c>
      <c r="H1326" s="1" t="str">
        <f>VLOOKUP(F1326,Countries!$A$1:$B$161,2,0)</f>
        <v>Ireland</v>
      </c>
    </row>
    <row r="1327" spans="1:8" x14ac:dyDescent="0.3">
      <c r="A1327" s="3">
        <v>46260.303194444437</v>
      </c>
      <c r="B1327" s="1">
        <v>12.33</v>
      </c>
      <c r="C1327" s="1">
        <v>10.57</v>
      </c>
      <c r="D1327" s="1">
        <v>0.62</v>
      </c>
      <c r="E1327" s="1" t="s">
        <v>159</v>
      </c>
      <c r="F1327" s="1" t="s">
        <v>159</v>
      </c>
      <c r="G1327" s="1" t="s">
        <v>159</v>
      </c>
      <c r="H1327" s="1" t="str">
        <f>VLOOKUP(F1327,Countries!$A$1:$B$161,2,0)</f>
        <v>Romania</v>
      </c>
    </row>
    <row r="1328" spans="1:8" x14ac:dyDescent="0.3">
      <c r="A1328" s="3">
        <v>46260.303043981483</v>
      </c>
      <c r="B1328" s="1">
        <v>12.33</v>
      </c>
      <c r="C1328" s="1">
        <v>10.57</v>
      </c>
      <c r="D1328" s="1">
        <v>0.62</v>
      </c>
      <c r="E1328" s="1" t="s">
        <v>159</v>
      </c>
      <c r="F1328" s="1" t="s">
        <v>159</v>
      </c>
      <c r="G1328" s="1" t="s">
        <v>159</v>
      </c>
      <c r="H1328" s="1" t="str">
        <f>VLOOKUP(F1328,Countries!$A$1:$B$161,2,0)</f>
        <v>Romania</v>
      </c>
    </row>
    <row r="1329" spans="1:8" x14ac:dyDescent="0.3">
      <c r="A1329" s="3">
        <v>46260.302916666667</v>
      </c>
      <c r="B1329" s="1">
        <v>12.33</v>
      </c>
      <c r="C1329" s="1">
        <v>10.57</v>
      </c>
      <c r="D1329" s="1">
        <v>0.62</v>
      </c>
      <c r="E1329" s="1" t="s">
        <v>159</v>
      </c>
      <c r="F1329" s="1" t="s">
        <v>159</v>
      </c>
      <c r="G1329" s="1" t="s">
        <v>159</v>
      </c>
      <c r="H1329" s="1" t="str">
        <f>VLOOKUP(F1329,Countries!$A$1:$B$161,2,0)</f>
        <v>Romania</v>
      </c>
    </row>
    <row r="1330" spans="1:8" x14ac:dyDescent="0.3">
      <c r="A1330" s="3">
        <v>46260.295856481483</v>
      </c>
      <c r="B1330" s="1">
        <v>12.33</v>
      </c>
      <c r="C1330" s="1">
        <v>10.57</v>
      </c>
      <c r="D1330" s="1">
        <v>0.62</v>
      </c>
      <c r="E1330" s="1" t="s">
        <v>159</v>
      </c>
      <c r="F1330" s="1" t="s">
        <v>159</v>
      </c>
      <c r="G1330" s="1" t="s">
        <v>159</v>
      </c>
      <c r="H1330" s="1" t="str">
        <f>VLOOKUP(F1330,Countries!$A$1:$B$161,2,0)</f>
        <v>Romania</v>
      </c>
    </row>
    <row r="1331" spans="1:8" x14ac:dyDescent="0.3">
      <c r="A1331" s="3">
        <v>46260.290717592587</v>
      </c>
      <c r="B1331" s="1">
        <v>4.24</v>
      </c>
      <c r="C1331" s="1">
        <v>3.64</v>
      </c>
      <c r="D1331" s="1">
        <v>0.44</v>
      </c>
      <c r="E1331" s="1" t="s">
        <v>113</v>
      </c>
      <c r="F1331" s="1" t="s">
        <v>113</v>
      </c>
      <c r="G1331" s="1" t="s">
        <v>113</v>
      </c>
      <c r="H1331" s="1" t="str">
        <f>VLOOKUP(F1331,Countries!$A$1:$B$161,2,0)</f>
        <v>United States of America</v>
      </c>
    </row>
    <row r="1332" spans="1:8" x14ac:dyDescent="0.3">
      <c r="A1332" s="3">
        <v>46260.286053240743</v>
      </c>
      <c r="B1332" s="1">
        <v>3.69</v>
      </c>
      <c r="C1332" s="1">
        <v>3.16</v>
      </c>
      <c r="D1332" s="1">
        <v>0.36</v>
      </c>
      <c r="E1332" s="1" t="s">
        <v>159</v>
      </c>
      <c r="F1332" s="1" t="s">
        <v>159</v>
      </c>
      <c r="G1332" s="1" t="s">
        <v>159</v>
      </c>
      <c r="H1332" s="1" t="str">
        <f>VLOOKUP(F1332,Countries!$A$1:$B$161,2,0)</f>
        <v>Romania</v>
      </c>
    </row>
    <row r="1333" spans="1:8" x14ac:dyDescent="0.3">
      <c r="A1333" s="3">
        <v>46260.284699074073</v>
      </c>
      <c r="B1333" s="1">
        <v>12.33</v>
      </c>
      <c r="C1333" s="1">
        <v>10.57</v>
      </c>
      <c r="D1333" s="1">
        <v>0.62</v>
      </c>
      <c r="E1333" s="1" t="s">
        <v>159</v>
      </c>
      <c r="F1333" s="1" t="s">
        <v>159</v>
      </c>
      <c r="G1333" s="1" t="s">
        <v>159</v>
      </c>
      <c r="H1333" s="1" t="str">
        <f>VLOOKUP(F1333,Countries!$A$1:$B$161,2,0)</f>
        <v>Romania</v>
      </c>
    </row>
    <row r="1334" spans="1:8" x14ac:dyDescent="0.3">
      <c r="A1334" s="3">
        <v>46260.272407407407</v>
      </c>
      <c r="B1334" s="1">
        <v>1.99</v>
      </c>
      <c r="C1334" s="1">
        <v>1.71</v>
      </c>
      <c r="D1334" s="1">
        <v>0.34</v>
      </c>
      <c r="E1334" s="1" t="s">
        <v>140</v>
      </c>
      <c r="F1334" s="1" t="s">
        <v>140</v>
      </c>
      <c r="G1334" s="1" t="s">
        <v>140</v>
      </c>
      <c r="H1334" s="1" t="str">
        <f>VLOOKUP(F1334,Countries!$A$1:$B$161,2,0)</f>
        <v>Colombia</v>
      </c>
    </row>
    <row r="1335" spans="1:8" x14ac:dyDescent="0.3">
      <c r="A1335" s="3">
        <v>46260.258738425917</v>
      </c>
      <c r="B1335" s="1">
        <v>6.37</v>
      </c>
      <c r="C1335" s="1">
        <v>5.46</v>
      </c>
      <c r="D1335" s="1">
        <v>0.54</v>
      </c>
      <c r="E1335" s="1" t="s">
        <v>113</v>
      </c>
      <c r="F1335" s="1" t="s">
        <v>113</v>
      </c>
      <c r="G1335" s="1" t="s">
        <v>113</v>
      </c>
      <c r="H1335" s="1" t="str">
        <f>VLOOKUP(F1335,Countries!$A$1:$B$161,2,0)</f>
        <v>United States of America</v>
      </c>
    </row>
    <row r="1336" spans="1:8" x14ac:dyDescent="0.3">
      <c r="A1336" s="3">
        <v>46260.257395833331</v>
      </c>
      <c r="B1336" s="1">
        <v>1.99</v>
      </c>
      <c r="C1336" s="1">
        <v>1.71</v>
      </c>
      <c r="D1336" s="1">
        <v>0.34</v>
      </c>
      <c r="E1336" s="1" t="s">
        <v>150</v>
      </c>
      <c r="F1336" s="1" t="s">
        <v>150</v>
      </c>
      <c r="G1336" s="1" t="s">
        <v>150</v>
      </c>
      <c r="H1336" s="1" t="str">
        <f>VLOOKUP(F1336,Countries!$A$1:$B$161,2,0)</f>
        <v>El Salvador</v>
      </c>
    </row>
    <row r="1337" spans="1:8" x14ac:dyDescent="0.3">
      <c r="A1337" s="3">
        <v>46260.242175925923</v>
      </c>
      <c r="B1337" s="1">
        <v>10.85</v>
      </c>
      <c r="C1337" s="1">
        <v>9.3000000000000007</v>
      </c>
      <c r="D1337" s="1">
        <v>0.74</v>
      </c>
      <c r="E1337" s="1" t="s">
        <v>115</v>
      </c>
      <c r="F1337" s="1" t="s">
        <v>115</v>
      </c>
      <c r="G1337" s="1" t="s">
        <v>115</v>
      </c>
      <c r="H1337" s="1" t="str">
        <f>VLOOKUP(F1337,Countries!$A$1:$B$161,2,0)</f>
        <v>Switzerland</v>
      </c>
    </row>
    <row r="1338" spans="1:8" x14ac:dyDescent="0.3">
      <c r="A1338" s="3">
        <v>46260.233356481483</v>
      </c>
      <c r="B1338" s="1">
        <v>22.18</v>
      </c>
      <c r="C1338" s="1">
        <v>19.02</v>
      </c>
      <c r="D1338" s="1">
        <v>1.25</v>
      </c>
      <c r="E1338" s="1" t="s">
        <v>183</v>
      </c>
      <c r="F1338" s="1" t="s">
        <v>183</v>
      </c>
      <c r="G1338" s="1" t="s">
        <v>183</v>
      </c>
      <c r="H1338" s="1" t="str">
        <f>VLOOKUP(F1338,Countries!$A$1:$B$161,2,0)</f>
        <v>Malaysia</v>
      </c>
    </row>
    <row r="1339" spans="1:8" x14ac:dyDescent="0.3">
      <c r="A1339" s="3">
        <v>46260.231585648151</v>
      </c>
      <c r="B1339" s="1">
        <v>3.99</v>
      </c>
      <c r="C1339" s="1">
        <v>3.42</v>
      </c>
      <c r="D1339" s="1">
        <v>0.43</v>
      </c>
      <c r="E1339" s="1" t="s">
        <v>113</v>
      </c>
      <c r="F1339" s="1" t="s">
        <v>113</v>
      </c>
      <c r="G1339" s="1" t="s">
        <v>113</v>
      </c>
      <c r="H1339" s="1" t="str">
        <f>VLOOKUP(F1339,Countries!$A$1:$B$161,2,0)</f>
        <v>United States of America</v>
      </c>
    </row>
    <row r="1340" spans="1:8" x14ac:dyDescent="0.3">
      <c r="A1340" s="3">
        <v>46260.228182870371</v>
      </c>
      <c r="B1340" s="1">
        <v>3.35</v>
      </c>
      <c r="C1340" s="1">
        <v>2.87</v>
      </c>
      <c r="D1340" s="1">
        <v>0.4</v>
      </c>
      <c r="E1340" s="1" t="s">
        <v>183</v>
      </c>
      <c r="F1340" s="1" t="s">
        <v>183</v>
      </c>
      <c r="G1340" s="1" t="s">
        <v>183</v>
      </c>
      <c r="H1340" s="1" t="str">
        <f>VLOOKUP(F1340,Countries!$A$1:$B$161,2,0)</f>
        <v>Malaysia</v>
      </c>
    </row>
    <row r="1341" spans="1:8" x14ac:dyDescent="0.3">
      <c r="A1341" s="3">
        <v>46260.227488425917</v>
      </c>
      <c r="B1341" s="1">
        <v>6.37</v>
      </c>
      <c r="C1341" s="1">
        <v>5.46</v>
      </c>
      <c r="D1341" s="1">
        <v>0.54</v>
      </c>
      <c r="E1341" s="1" t="s">
        <v>113</v>
      </c>
      <c r="F1341" s="1" t="s">
        <v>113</v>
      </c>
      <c r="G1341" s="1" t="s">
        <v>113</v>
      </c>
      <c r="H1341" s="1" t="str">
        <f>VLOOKUP(F1341,Countries!$A$1:$B$161,2,0)</f>
        <v>United States of America</v>
      </c>
    </row>
    <row r="1342" spans="1:8" x14ac:dyDescent="0.3">
      <c r="A1342" s="3">
        <v>46260.226863425924</v>
      </c>
      <c r="B1342" s="1">
        <v>5.99</v>
      </c>
      <c r="C1342" s="1">
        <v>5.14</v>
      </c>
      <c r="D1342" s="1">
        <v>0.52</v>
      </c>
      <c r="E1342" s="1" t="s">
        <v>113</v>
      </c>
      <c r="F1342" s="1" t="s">
        <v>113</v>
      </c>
      <c r="G1342" s="1" t="s">
        <v>113</v>
      </c>
      <c r="H1342" s="1" t="str">
        <f>VLOOKUP(F1342,Countries!$A$1:$B$161,2,0)</f>
        <v>United States of America</v>
      </c>
    </row>
    <row r="1343" spans="1:8" x14ac:dyDescent="0.3">
      <c r="A1343" s="3">
        <v>46260.211006944453</v>
      </c>
      <c r="B1343" s="1">
        <v>17.010000000000002</v>
      </c>
      <c r="C1343" s="1">
        <v>14.59</v>
      </c>
      <c r="D1343" s="1">
        <v>1.01</v>
      </c>
      <c r="E1343" s="1" t="s">
        <v>113</v>
      </c>
      <c r="F1343" s="1" t="s">
        <v>113</v>
      </c>
      <c r="G1343" s="1" t="s">
        <v>113</v>
      </c>
      <c r="H1343" s="1" t="str">
        <f>VLOOKUP(F1343,Countries!$A$1:$B$161,2,0)</f>
        <v>United States of America</v>
      </c>
    </row>
    <row r="1344" spans="1:8" x14ac:dyDescent="0.3">
      <c r="A1344" s="3">
        <v>46260.187974537039</v>
      </c>
      <c r="B1344" s="1">
        <v>6.37</v>
      </c>
      <c r="C1344" s="1">
        <v>5.46</v>
      </c>
      <c r="D1344" s="1">
        <v>0.54</v>
      </c>
      <c r="E1344" s="1" t="s">
        <v>113</v>
      </c>
      <c r="F1344" s="1" t="s">
        <v>113</v>
      </c>
      <c r="G1344" s="1" t="s">
        <v>113</v>
      </c>
      <c r="H1344" s="1" t="str">
        <f>VLOOKUP(F1344,Countries!$A$1:$B$161,2,0)</f>
        <v>United States of America</v>
      </c>
    </row>
    <row r="1345" spans="1:8" x14ac:dyDescent="0.3">
      <c r="A1345" s="3">
        <v>46260.177858796298</v>
      </c>
      <c r="B1345" s="1">
        <v>17.36</v>
      </c>
      <c r="C1345" s="1">
        <v>14.88</v>
      </c>
      <c r="D1345" s="1">
        <v>0.92</v>
      </c>
      <c r="E1345" s="1" t="s">
        <v>119</v>
      </c>
      <c r="F1345" s="1" t="s">
        <v>119</v>
      </c>
      <c r="G1345" s="1" t="s">
        <v>119</v>
      </c>
      <c r="H1345" s="1" t="str">
        <f>VLOOKUP(F1345,Countries!$A$1:$B$161,2,0)</f>
        <v>Great Britain (United Kingdom)</v>
      </c>
    </row>
    <row r="1346" spans="1:8" x14ac:dyDescent="0.3">
      <c r="A1346" s="3">
        <v>46260.175844907397</v>
      </c>
      <c r="B1346" s="1">
        <v>6.37</v>
      </c>
      <c r="C1346" s="1">
        <v>5.46</v>
      </c>
      <c r="D1346" s="1">
        <v>0.54</v>
      </c>
      <c r="E1346" s="1" t="s">
        <v>113</v>
      </c>
      <c r="F1346" s="1" t="s">
        <v>113</v>
      </c>
      <c r="G1346" s="1" t="s">
        <v>113</v>
      </c>
      <c r="H1346" s="1" t="str">
        <f>VLOOKUP(F1346,Countries!$A$1:$B$161,2,0)</f>
        <v>United States of America</v>
      </c>
    </row>
    <row r="1347" spans="1:8" x14ac:dyDescent="0.3">
      <c r="A1347" s="3">
        <v>46260.173796296287</v>
      </c>
      <c r="B1347" s="1">
        <v>7.58</v>
      </c>
      <c r="C1347" s="1">
        <v>6.5</v>
      </c>
      <c r="D1347" s="1">
        <v>0.48</v>
      </c>
      <c r="E1347" s="1" t="s">
        <v>116</v>
      </c>
      <c r="F1347" s="1" t="s">
        <v>116</v>
      </c>
      <c r="G1347" s="1" t="s">
        <v>116</v>
      </c>
      <c r="H1347" s="1" t="str">
        <f>VLOOKUP(F1347,Countries!$A$1:$B$161,2,0)</f>
        <v>Spain</v>
      </c>
    </row>
    <row r="1348" spans="1:8" x14ac:dyDescent="0.3">
      <c r="A1348" s="3">
        <v>46260.168310185189</v>
      </c>
      <c r="B1348" s="1">
        <v>17.36</v>
      </c>
      <c r="C1348" s="1">
        <v>14.88</v>
      </c>
      <c r="D1348" s="1">
        <v>0.92</v>
      </c>
      <c r="E1348" s="1" t="s">
        <v>119</v>
      </c>
      <c r="F1348" s="1" t="s">
        <v>119</v>
      </c>
      <c r="G1348" s="1" t="s">
        <v>119</v>
      </c>
      <c r="H1348" s="1" t="str">
        <f>VLOOKUP(F1348,Countries!$A$1:$B$161,2,0)</f>
        <v>Great Britain (United Kingdom)</v>
      </c>
    </row>
    <row r="1349" spans="1:8" x14ac:dyDescent="0.3">
      <c r="A1349" s="3">
        <v>46260.163495370369</v>
      </c>
      <c r="B1349" s="1">
        <v>3.51</v>
      </c>
      <c r="C1349" s="1">
        <v>3.01</v>
      </c>
      <c r="D1349" s="1">
        <v>0.41</v>
      </c>
      <c r="E1349" s="1" t="s">
        <v>163</v>
      </c>
      <c r="F1349" s="1" t="s">
        <v>163</v>
      </c>
      <c r="G1349" s="1" t="s">
        <v>163</v>
      </c>
      <c r="H1349" s="1" t="str">
        <f>VLOOKUP(F1349,Countries!$A$1:$B$161,2,0)</f>
        <v>Saudi Arabia</v>
      </c>
    </row>
    <row r="1350" spans="1:8" x14ac:dyDescent="0.3">
      <c r="A1350" s="3">
        <v>46260.162488425929</v>
      </c>
      <c r="B1350" s="1">
        <v>6.37</v>
      </c>
      <c r="C1350" s="1">
        <v>5.46</v>
      </c>
      <c r="D1350" s="1">
        <v>0.54</v>
      </c>
      <c r="E1350" s="1" t="s">
        <v>113</v>
      </c>
      <c r="F1350" s="1" t="s">
        <v>113</v>
      </c>
      <c r="G1350" s="1" t="s">
        <v>113</v>
      </c>
      <c r="H1350" s="1" t="str">
        <f>VLOOKUP(F1350,Countries!$A$1:$B$161,2,0)</f>
        <v>United States of America</v>
      </c>
    </row>
    <row r="1351" spans="1:8" x14ac:dyDescent="0.3">
      <c r="A1351" s="3">
        <v>46260.159930555557</v>
      </c>
      <c r="B1351" s="1">
        <v>6.65</v>
      </c>
      <c r="C1351" s="1">
        <v>5.7</v>
      </c>
      <c r="D1351" s="1">
        <v>0.55000000000000004</v>
      </c>
      <c r="E1351" s="1" t="s">
        <v>130</v>
      </c>
      <c r="F1351" s="1" t="s">
        <v>130</v>
      </c>
      <c r="G1351" s="1" t="s">
        <v>130</v>
      </c>
      <c r="H1351" s="1" t="str">
        <f>VLOOKUP(F1351,Countries!$A$1:$B$161,2,0)</f>
        <v>Australia</v>
      </c>
    </row>
    <row r="1352" spans="1:8" x14ac:dyDescent="0.3">
      <c r="A1352" s="3">
        <v>46260.157881944448</v>
      </c>
      <c r="B1352" s="1">
        <v>2.11</v>
      </c>
      <c r="C1352" s="1">
        <v>1.81</v>
      </c>
      <c r="D1352" s="1">
        <v>0.35</v>
      </c>
      <c r="E1352" s="1" t="s">
        <v>113</v>
      </c>
      <c r="F1352" s="1" t="s">
        <v>113</v>
      </c>
      <c r="G1352" s="1" t="s">
        <v>113</v>
      </c>
      <c r="H1352" s="1" t="str">
        <f>VLOOKUP(F1352,Countries!$A$1:$B$161,2,0)</f>
        <v>United States of America</v>
      </c>
    </row>
    <row r="1353" spans="1:8" x14ac:dyDescent="0.3">
      <c r="A1353" s="3">
        <v>46260.15215277778</v>
      </c>
      <c r="B1353" s="1">
        <v>6.37</v>
      </c>
      <c r="C1353" s="1">
        <v>5.46</v>
      </c>
      <c r="D1353" s="1">
        <v>0.54</v>
      </c>
      <c r="E1353" s="1" t="s">
        <v>113</v>
      </c>
      <c r="F1353" s="1" t="s">
        <v>113</v>
      </c>
      <c r="G1353" s="1" t="s">
        <v>113</v>
      </c>
      <c r="H1353" s="1" t="str">
        <f>VLOOKUP(F1353,Countries!$A$1:$B$161,2,0)</f>
        <v>United States of America</v>
      </c>
    </row>
    <row r="1354" spans="1:8" x14ac:dyDescent="0.3">
      <c r="A1354" s="3">
        <v>46260.139641203707</v>
      </c>
      <c r="B1354" s="1">
        <v>6.3</v>
      </c>
      <c r="C1354" s="1">
        <v>5.4</v>
      </c>
      <c r="D1354" s="1">
        <v>0.54</v>
      </c>
      <c r="E1354" s="1" t="s">
        <v>132</v>
      </c>
      <c r="F1354" s="1" t="s">
        <v>132</v>
      </c>
      <c r="G1354" s="1" t="s">
        <v>132</v>
      </c>
      <c r="H1354" s="1" t="str">
        <f>VLOOKUP(F1354,Countries!$A$1:$B$161,2,0)</f>
        <v>Canada</v>
      </c>
    </row>
    <row r="1355" spans="1:8" x14ac:dyDescent="0.3">
      <c r="A1355" s="3">
        <v>46260.137916666667</v>
      </c>
      <c r="B1355" s="1">
        <v>10.62</v>
      </c>
      <c r="C1355" s="1">
        <v>9.1</v>
      </c>
      <c r="D1355" s="1">
        <v>0.73</v>
      </c>
      <c r="E1355" s="1" t="s">
        <v>130</v>
      </c>
      <c r="F1355" s="1" t="s">
        <v>130</v>
      </c>
      <c r="G1355" s="1" t="s">
        <v>130</v>
      </c>
      <c r="H1355" s="1" t="str">
        <f>VLOOKUP(F1355,Countries!$A$1:$B$161,2,0)</f>
        <v>Australia</v>
      </c>
    </row>
    <row r="1356" spans="1:8" x14ac:dyDescent="0.3">
      <c r="A1356" s="3">
        <v>46260.136423611111</v>
      </c>
      <c r="B1356" s="1">
        <v>14.77</v>
      </c>
      <c r="C1356" s="1">
        <v>12.66</v>
      </c>
      <c r="D1356" s="1">
        <v>0.91</v>
      </c>
      <c r="E1356" s="1" t="s">
        <v>113</v>
      </c>
      <c r="F1356" s="1" t="s">
        <v>113</v>
      </c>
      <c r="G1356" s="1" t="s">
        <v>113</v>
      </c>
      <c r="H1356" s="1" t="str">
        <f>VLOOKUP(F1356,Countries!$A$1:$B$161,2,0)</f>
        <v>United States of America</v>
      </c>
    </row>
    <row r="1357" spans="1:8" x14ac:dyDescent="0.3">
      <c r="A1357" s="3">
        <v>46260.130196759259</v>
      </c>
      <c r="B1357" s="1">
        <v>22.18</v>
      </c>
      <c r="C1357" s="1">
        <v>19.010000000000002</v>
      </c>
      <c r="D1357" s="1">
        <v>1.25</v>
      </c>
      <c r="E1357" s="1" t="s">
        <v>113</v>
      </c>
      <c r="F1357" s="1" t="s">
        <v>113</v>
      </c>
      <c r="G1357" s="1" t="s">
        <v>113</v>
      </c>
      <c r="H1357" s="1" t="str">
        <f>VLOOKUP(F1357,Countries!$A$1:$B$161,2,0)</f>
        <v>United States of America</v>
      </c>
    </row>
    <row r="1358" spans="1:8" x14ac:dyDescent="0.3">
      <c r="A1358" s="3">
        <v>46260.129513888889</v>
      </c>
      <c r="B1358" s="1">
        <v>14.78</v>
      </c>
      <c r="C1358" s="1">
        <v>12.67</v>
      </c>
      <c r="D1358" s="1">
        <v>0.91</v>
      </c>
      <c r="E1358" s="1" t="s">
        <v>113</v>
      </c>
      <c r="F1358" s="1" t="s">
        <v>113</v>
      </c>
      <c r="G1358" s="1" t="s">
        <v>113</v>
      </c>
      <c r="H1358" s="1" t="str">
        <f>VLOOKUP(F1358,Countries!$A$1:$B$161,2,0)</f>
        <v>United States of America</v>
      </c>
    </row>
    <row r="1359" spans="1:8" x14ac:dyDescent="0.3">
      <c r="A1359" s="3">
        <v>46260.128391203703</v>
      </c>
      <c r="B1359" s="1">
        <v>2.11</v>
      </c>
      <c r="C1359" s="1">
        <v>1.81</v>
      </c>
      <c r="D1359" s="1">
        <v>0.35</v>
      </c>
      <c r="E1359" s="1" t="s">
        <v>113</v>
      </c>
      <c r="F1359" s="1" t="s">
        <v>113</v>
      </c>
      <c r="G1359" s="1" t="s">
        <v>113</v>
      </c>
      <c r="H1359" s="1" t="str">
        <f>VLOOKUP(F1359,Countries!$A$1:$B$161,2,0)</f>
        <v>United States of America</v>
      </c>
    </row>
    <row r="1360" spans="1:8" x14ac:dyDescent="0.3">
      <c r="A1360" s="3">
        <v>46260.121527777781</v>
      </c>
      <c r="B1360" s="1">
        <v>127.64</v>
      </c>
      <c r="C1360" s="1">
        <v>109.37</v>
      </c>
      <c r="D1360" s="1">
        <v>5.99</v>
      </c>
      <c r="E1360" s="1" t="s">
        <v>113</v>
      </c>
      <c r="F1360" s="1" t="s">
        <v>113</v>
      </c>
      <c r="G1360" s="1" t="s">
        <v>113</v>
      </c>
      <c r="H1360" s="1" t="str">
        <f>VLOOKUP(F1360,Countries!$A$1:$B$161,2,0)</f>
        <v>United States of America</v>
      </c>
    </row>
    <row r="1361" spans="1:8" x14ac:dyDescent="0.3">
      <c r="A1361" s="3">
        <v>46260.121180555558</v>
      </c>
      <c r="B1361" s="1">
        <v>6.65</v>
      </c>
      <c r="C1361" s="1">
        <v>5.7</v>
      </c>
      <c r="D1361" s="1">
        <v>0.55000000000000004</v>
      </c>
      <c r="E1361" s="1" t="s">
        <v>130</v>
      </c>
      <c r="F1361" s="1" t="s">
        <v>130</v>
      </c>
      <c r="G1361" s="1" t="s">
        <v>130</v>
      </c>
      <c r="H1361" s="1" t="str">
        <f>VLOOKUP(F1361,Countries!$A$1:$B$161,2,0)</f>
        <v>Australia</v>
      </c>
    </row>
    <row r="1362" spans="1:8" x14ac:dyDescent="0.3">
      <c r="A1362" s="3">
        <v>46260.112037037034</v>
      </c>
      <c r="B1362" s="1">
        <v>6.37</v>
      </c>
      <c r="C1362" s="1">
        <v>5.46</v>
      </c>
      <c r="D1362" s="1">
        <v>0.54</v>
      </c>
      <c r="E1362" s="1" t="s">
        <v>113</v>
      </c>
      <c r="F1362" s="1" t="s">
        <v>113</v>
      </c>
      <c r="G1362" s="1" t="s">
        <v>113</v>
      </c>
      <c r="H1362" s="1" t="str">
        <f>VLOOKUP(F1362,Countries!$A$1:$B$161,2,0)</f>
        <v>United States of America</v>
      </c>
    </row>
    <row r="1363" spans="1:8" x14ac:dyDescent="0.3">
      <c r="A1363" s="3">
        <v>46260.096956018519</v>
      </c>
      <c r="B1363" s="1">
        <v>7.98</v>
      </c>
      <c r="C1363" s="1">
        <v>6.84</v>
      </c>
      <c r="D1363" s="1">
        <v>0.49</v>
      </c>
      <c r="E1363" s="1" t="s">
        <v>125</v>
      </c>
      <c r="F1363" s="1" t="s">
        <v>125</v>
      </c>
      <c r="G1363" s="1" t="s">
        <v>125</v>
      </c>
      <c r="H1363" s="1" t="str">
        <f>VLOOKUP(F1363,Countries!$A$1:$B$161,2,0)</f>
        <v>Norway</v>
      </c>
    </row>
    <row r="1364" spans="1:8" x14ac:dyDescent="0.3">
      <c r="A1364" s="3">
        <v>46260.082233796304</v>
      </c>
      <c r="B1364" s="1">
        <v>6.37</v>
      </c>
      <c r="C1364" s="1">
        <v>5.46</v>
      </c>
      <c r="D1364" s="1">
        <v>0.54</v>
      </c>
      <c r="E1364" s="1" t="s">
        <v>113</v>
      </c>
      <c r="F1364" s="1" t="s">
        <v>113</v>
      </c>
      <c r="G1364" s="1" t="s">
        <v>113</v>
      </c>
      <c r="H1364" s="1" t="str">
        <f>VLOOKUP(F1364,Countries!$A$1:$B$161,2,0)</f>
        <v>United States of America</v>
      </c>
    </row>
    <row r="1365" spans="1:8" x14ac:dyDescent="0.3">
      <c r="A1365" s="3">
        <v>46260.066446759258</v>
      </c>
      <c r="B1365" s="1">
        <v>17.37</v>
      </c>
      <c r="C1365" s="1">
        <v>14.88</v>
      </c>
      <c r="D1365" s="1">
        <v>0.92</v>
      </c>
      <c r="E1365" s="1" t="s">
        <v>119</v>
      </c>
      <c r="F1365" s="1" t="s">
        <v>119</v>
      </c>
      <c r="G1365" s="1" t="s">
        <v>119</v>
      </c>
      <c r="H1365" s="1" t="str">
        <f>VLOOKUP(F1365,Countries!$A$1:$B$161,2,0)</f>
        <v>Great Britain (United Kingdom)</v>
      </c>
    </row>
    <row r="1366" spans="1:8" x14ac:dyDescent="0.3">
      <c r="A1366" s="3">
        <v>46260.060266203713</v>
      </c>
      <c r="B1366" s="1">
        <v>7.48</v>
      </c>
      <c r="C1366" s="1">
        <v>6.41</v>
      </c>
      <c r="D1366" s="1">
        <v>0.54</v>
      </c>
      <c r="E1366" s="1" t="s">
        <v>119</v>
      </c>
      <c r="F1366" s="1" t="s">
        <v>119</v>
      </c>
      <c r="G1366" s="1" t="s">
        <v>119</v>
      </c>
      <c r="H1366" s="1" t="str">
        <f>VLOOKUP(F1366,Countries!$A$1:$B$161,2,0)</f>
        <v>Great Britain (United Kingdom)</v>
      </c>
    </row>
    <row r="1367" spans="1:8" x14ac:dyDescent="0.3">
      <c r="A1367" s="3">
        <v>46260.049687500003</v>
      </c>
      <c r="B1367" s="1">
        <v>11.1</v>
      </c>
      <c r="C1367" s="1">
        <v>9.51</v>
      </c>
      <c r="D1367" s="1">
        <v>0.75</v>
      </c>
      <c r="E1367" s="1" t="s">
        <v>171</v>
      </c>
      <c r="F1367" s="1" t="s">
        <v>171</v>
      </c>
      <c r="G1367" s="1" t="s">
        <v>171</v>
      </c>
      <c r="H1367" s="1" t="str">
        <f>VLOOKUP(F1367,Countries!$A$1:$B$161,2,0)</f>
        <v>Korea (South)</v>
      </c>
    </row>
    <row r="1368" spans="1:8" x14ac:dyDescent="0.3">
      <c r="A1368" s="3">
        <v>46260.048819444448</v>
      </c>
      <c r="B1368" s="1">
        <v>2.99</v>
      </c>
      <c r="C1368" s="1">
        <v>2.56</v>
      </c>
      <c r="D1368" s="1">
        <v>0.38</v>
      </c>
      <c r="E1368" s="1" t="s">
        <v>129</v>
      </c>
      <c r="F1368" s="1" t="s">
        <v>129</v>
      </c>
      <c r="G1368" s="1" t="s">
        <v>129</v>
      </c>
      <c r="H1368" s="1" t="str">
        <f>VLOOKUP(F1368,Countries!$A$1:$B$161,2,0)</f>
        <v>Qatar</v>
      </c>
    </row>
    <row r="1369" spans="1:8" x14ac:dyDescent="0.3">
      <c r="A1369" s="3">
        <v>46260.04241898148</v>
      </c>
      <c r="B1369" s="1">
        <v>3.99</v>
      </c>
      <c r="C1369" s="1">
        <v>3.42</v>
      </c>
      <c r="D1369" s="1">
        <v>0.43</v>
      </c>
      <c r="E1369" s="1" t="s">
        <v>165</v>
      </c>
      <c r="F1369" s="1" t="s">
        <v>165</v>
      </c>
      <c r="G1369" s="1" t="s">
        <v>165</v>
      </c>
      <c r="H1369" s="1" t="str">
        <f>VLOOKUP(F1369,Countries!$A$1:$B$161,2,0)</f>
        <v>Israel</v>
      </c>
    </row>
    <row r="1370" spans="1:8" x14ac:dyDescent="0.3">
      <c r="A1370" s="3">
        <v>46260.042002314818</v>
      </c>
      <c r="B1370" s="1">
        <v>6.65</v>
      </c>
      <c r="C1370" s="1">
        <v>5.7</v>
      </c>
      <c r="D1370" s="1">
        <v>0.55000000000000004</v>
      </c>
      <c r="E1370" s="1" t="s">
        <v>171</v>
      </c>
      <c r="F1370" s="1" t="s">
        <v>171</v>
      </c>
      <c r="G1370" s="1" t="s">
        <v>171</v>
      </c>
      <c r="H1370" s="1" t="str">
        <f>VLOOKUP(F1370,Countries!$A$1:$B$161,2,0)</f>
        <v>Korea (South)</v>
      </c>
    </row>
    <row r="1371" spans="1:8" x14ac:dyDescent="0.3">
      <c r="A1371" s="3">
        <v>46260.041863425933</v>
      </c>
      <c r="B1371" s="1">
        <v>2.99</v>
      </c>
      <c r="C1371" s="1">
        <v>2.56</v>
      </c>
      <c r="D1371" s="1">
        <v>0.38</v>
      </c>
      <c r="E1371" s="1" t="s">
        <v>167</v>
      </c>
      <c r="F1371" s="1" t="s">
        <v>136</v>
      </c>
      <c r="G1371" s="1" t="s">
        <v>136</v>
      </c>
      <c r="H1371" s="1" t="str">
        <f>VLOOKUP(F1371,Countries!$A$1:$B$161,2,0)</f>
        <v>Turkey</v>
      </c>
    </row>
    <row r="1372" spans="1:8" x14ac:dyDescent="0.3">
      <c r="A1372" s="3">
        <v>46260.039363425924</v>
      </c>
      <c r="B1372" s="1">
        <v>6.37</v>
      </c>
      <c r="C1372" s="1">
        <v>5.46</v>
      </c>
      <c r="D1372" s="1">
        <v>0.54</v>
      </c>
      <c r="E1372" s="1" t="s">
        <v>113</v>
      </c>
      <c r="F1372" s="1" t="s">
        <v>113</v>
      </c>
      <c r="G1372" s="1" t="s">
        <v>113</v>
      </c>
      <c r="H1372" s="1" t="str">
        <f>VLOOKUP(F1372,Countries!$A$1:$B$161,2,0)</f>
        <v>United States of America</v>
      </c>
    </row>
    <row r="1373" spans="1:8" x14ac:dyDescent="0.3">
      <c r="A1373" s="3">
        <v>46260.034583333327</v>
      </c>
      <c r="B1373" s="1">
        <v>6.37</v>
      </c>
      <c r="C1373" s="1">
        <v>5.46</v>
      </c>
      <c r="D1373" s="1">
        <v>0.54</v>
      </c>
      <c r="E1373" s="1" t="s">
        <v>113</v>
      </c>
      <c r="F1373" s="1" t="s">
        <v>113</v>
      </c>
      <c r="G1373" s="1" t="s">
        <v>113</v>
      </c>
      <c r="H1373" s="1" t="str">
        <f>VLOOKUP(F1373,Countries!$A$1:$B$161,2,0)</f>
        <v>United States of America</v>
      </c>
    </row>
    <row r="1374" spans="1:8" x14ac:dyDescent="0.3">
      <c r="A1374" s="3">
        <v>46260.028703703712</v>
      </c>
      <c r="B1374" s="1">
        <v>5.99</v>
      </c>
      <c r="C1374" s="1">
        <v>5.13</v>
      </c>
      <c r="D1374" s="1">
        <v>0.52</v>
      </c>
      <c r="E1374" s="1" t="s">
        <v>129</v>
      </c>
      <c r="F1374" s="1" t="s">
        <v>129</v>
      </c>
      <c r="G1374" s="1" t="s">
        <v>129</v>
      </c>
      <c r="H1374" s="1" t="str">
        <f>VLOOKUP(F1374,Countries!$A$1:$B$161,2,0)</f>
        <v>Qatar</v>
      </c>
    </row>
    <row r="1375" spans="1:8" x14ac:dyDescent="0.3">
      <c r="A1375" s="3">
        <v>46260.025590277779</v>
      </c>
      <c r="B1375" s="1">
        <v>6.37</v>
      </c>
      <c r="C1375" s="1">
        <v>5.46</v>
      </c>
      <c r="D1375" s="1">
        <v>0.54</v>
      </c>
      <c r="E1375" s="1" t="s">
        <v>113</v>
      </c>
      <c r="F1375" s="1" t="s">
        <v>113</v>
      </c>
      <c r="G1375" s="1" t="s">
        <v>113</v>
      </c>
      <c r="H1375" s="1" t="str">
        <f>VLOOKUP(F1375,Countries!$A$1:$B$161,2,0)</f>
        <v>United States of America</v>
      </c>
    </row>
    <row r="1376" spans="1:8" x14ac:dyDescent="0.3">
      <c r="A1376" s="3">
        <v>46260.023668981477</v>
      </c>
      <c r="B1376" s="1">
        <v>7.39</v>
      </c>
      <c r="C1376" s="1">
        <v>6.33</v>
      </c>
      <c r="D1376" s="1">
        <v>0.47</v>
      </c>
      <c r="E1376" s="1" t="s">
        <v>147</v>
      </c>
      <c r="F1376" s="1" t="s">
        <v>147</v>
      </c>
      <c r="G1376" s="1" t="s">
        <v>147</v>
      </c>
      <c r="H1376" s="1" t="str">
        <f>VLOOKUP(F1376,Countries!$A$1:$B$161,2,0)</f>
        <v>Germany</v>
      </c>
    </row>
    <row r="1377" spans="1:8" x14ac:dyDescent="0.3">
      <c r="A1377" s="3">
        <v>46260.01321759259</v>
      </c>
      <c r="B1377" s="1">
        <v>2.11</v>
      </c>
      <c r="C1377" s="1">
        <v>1.81</v>
      </c>
      <c r="D1377" s="1">
        <v>0.35</v>
      </c>
      <c r="E1377" s="1" t="s">
        <v>113</v>
      </c>
      <c r="F1377" s="1" t="s">
        <v>113</v>
      </c>
      <c r="G1377" s="1" t="s">
        <v>113</v>
      </c>
      <c r="H1377" s="1" t="str">
        <f>VLOOKUP(F1377,Countries!$A$1:$B$161,2,0)</f>
        <v>United States of America</v>
      </c>
    </row>
    <row r="1378" spans="1:8" x14ac:dyDescent="0.3">
      <c r="A1378" s="3">
        <v>46260.011041666658</v>
      </c>
      <c r="B1378" s="1">
        <v>6.37</v>
      </c>
      <c r="C1378" s="1">
        <v>5.46</v>
      </c>
      <c r="D1378" s="1">
        <v>0.54</v>
      </c>
      <c r="E1378" s="1" t="s">
        <v>183</v>
      </c>
      <c r="F1378" s="1" t="s">
        <v>183</v>
      </c>
      <c r="G1378" s="1" t="s">
        <v>183</v>
      </c>
      <c r="H1378" s="1" t="str">
        <f>VLOOKUP(F1378,Countries!$A$1:$B$161,2,0)</f>
        <v>Malaysia</v>
      </c>
    </row>
    <row r="1379" spans="1:8" x14ac:dyDescent="0.3">
      <c r="A1379" s="3">
        <v>46260.008356481478</v>
      </c>
      <c r="B1379" s="1">
        <v>7.48</v>
      </c>
      <c r="C1379" s="1">
        <v>6.41</v>
      </c>
      <c r="D1379" s="1">
        <v>0.54</v>
      </c>
      <c r="E1379" s="1" t="s">
        <v>119</v>
      </c>
      <c r="F1379" s="1" t="s">
        <v>119</v>
      </c>
      <c r="G1379" s="1" t="s">
        <v>119</v>
      </c>
      <c r="H1379" s="1" t="str">
        <f>VLOOKUP(F1379,Countries!$A$1:$B$161,2,0)</f>
        <v>Great Britain (United Kingdom)</v>
      </c>
    </row>
    <row r="1380" spans="1:8" x14ac:dyDescent="0.3">
      <c r="A1380" s="3">
        <v>46260.008275462962</v>
      </c>
      <c r="B1380" s="1">
        <v>2.11</v>
      </c>
      <c r="C1380" s="1">
        <v>1.81</v>
      </c>
      <c r="D1380" s="1">
        <v>0.35</v>
      </c>
      <c r="E1380" s="1" t="s">
        <v>113</v>
      </c>
      <c r="F1380" s="1" t="s">
        <v>113</v>
      </c>
      <c r="G1380" s="1" t="s">
        <v>113</v>
      </c>
      <c r="H1380" s="1" t="str">
        <f>VLOOKUP(F1380,Countries!$A$1:$B$161,2,0)</f>
        <v>United States of America</v>
      </c>
    </row>
    <row r="1381" spans="1:8" x14ac:dyDescent="0.3">
      <c r="A1381" s="3">
        <v>46260.004050925927</v>
      </c>
      <c r="B1381" s="1">
        <v>15.95</v>
      </c>
      <c r="C1381" s="1">
        <v>13.66</v>
      </c>
      <c r="D1381" s="1">
        <v>0.96</v>
      </c>
      <c r="E1381" s="1" t="s">
        <v>113</v>
      </c>
      <c r="F1381" s="1" t="s">
        <v>113</v>
      </c>
      <c r="G1381" s="1" t="s">
        <v>113</v>
      </c>
      <c r="H1381" s="1" t="str">
        <f>VLOOKUP(F1381,Countries!$A$1:$B$161,2,0)</f>
        <v>United States of America</v>
      </c>
    </row>
    <row r="1382" spans="1:8" x14ac:dyDescent="0.3">
      <c r="A1382" s="3">
        <v>46260.003460648149</v>
      </c>
      <c r="B1382" s="1">
        <v>6.37</v>
      </c>
      <c r="C1382" s="1">
        <v>5.46</v>
      </c>
      <c r="D1382" s="1">
        <v>0.54</v>
      </c>
      <c r="E1382" s="1" t="s">
        <v>113</v>
      </c>
      <c r="F1382" s="1" t="s">
        <v>113</v>
      </c>
      <c r="G1382" s="1" t="s">
        <v>113</v>
      </c>
      <c r="H1382" s="1" t="str">
        <f>VLOOKUP(F1382,Countries!$A$1:$B$161,2,0)</f>
        <v>United States of America</v>
      </c>
    </row>
    <row r="1383" spans="1:8" x14ac:dyDescent="0.3">
      <c r="A1383" s="3">
        <v>46260.00273148148</v>
      </c>
      <c r="B1383" s="1">
        <v>20.21</v>
      </c>
      <c r="C1383" s="1">
        <v>17.309999999999999</v>
      </c>
      <c r="D1383" s="1">
        <v>1.1599999999999999</v>
      </c>
      <c r="E1383" s="1" t="s">
        <v>113</v>
      </c>
      <c r="F1383" s="1" t="s">
        <v>113</v>
      </c>
      <c r="G1383" s="1" t="s">
        <v>113</v>
      </c>
      <c r="H1383" s="1" t="str">
        <f>VLOOKUP(F1383,Countries!$A$1:$B$161,2,0)</f>
        <v>United States of America</v>
      </c>
    </row>
    <row r="1384" spans="1:8" x14ac:dyDescent="0.3">
      <c r="A1384" s="3">
        <v>46259.997928240737</v>
      </c>
      <c r="B1384" s="1">
        <v>14.77</v>
      </c>
      <c r="C1384" s="1">
        <v>12.65</v>
      </c>
      <c r="D1384" s="1">
        <v>0.91</v>
      </c>
      <c r="E1384" s="1" t="s">
        <v>113</v>
      </c>
      <c r="F1384" s="1" t="s">
        <v>113</v>
      </c>
      <c r="G1384" s="1" t="s">
        <v>113</v>
      </c>
      <c r="H1384" s="1" t="str">
        <f>VLOOKUP(F1384,Countries!$A$1:$B$161,2,0)</f>
        <v>United States of America</v>
      </c>
    </row>
    <row r="1385" spans="1:8" x14ac:dyDescent="0.3">
      <c r="A1385" s="3">
        <v>46259.997800925928</v>
      </c>
      <c r="B1385" s="1">
        <v>14.77</v>
      </c>
      <c r="C1385" s="1">
        <v>12.65</v>
      </c>
      <c r="D1385" s="1">
        <v>0.91</v>
      </c>
      <c r="E1385" s="1" t="s">
        <v>113</v>
      </c>
      <c r="F1385" s="1" t="s">
        <v>113</v>
      </c>
      <c r="G1385" s="1" t="s">
        <v>113</v>
      </c>
      <c r="H1385" s="1" t="str">
        <f>VLOOKUP(F1385,Countries!$A$1:$B$161,2,0)</f>
        <v>United States of America</v>
      </c>
    </row>
    <row r="1386" spans="1:8" x14ac:dyDescent="0.3">
      <c r="A1386" s="3">
        <v>46259.987928240742</v>
      </c>
      <c r="B1386" s="1">
        <v>11.69</v>
      </c>
      <c r="C1386" s="1">
        <v>10.01</v>
      </c>
      <c r="D1386" s="1">
        <v>0.78</v>
      </c>
      <c r="E1386" s="1" t="s">
        <v>113</v>
      </c>
      <c r="F1386" s="1" t="s">
        <v>113</v>
      </c>
      <c r="G1386" s="1" t="s">
        <v>113</v>
      </c>
      <c r="H1386" s="1" t="str">
        <f>VLOOKUP(F1386,Countries!$A$1:$B$161,2,0)</f>
        <v>United States of America</v>
      </c>
    </row>
    <row r="1387" spans="1:8" x14ac:dyDescent="0.3">
      <c r="A1387" s="3">
        <v>46259.987650462957</v>
      </c>
      <c r="B1387" s="1">
        <v>45.12</v>
      </c>
      <c r="C1387" s="1">
        <v>38.64</v>
      </c>
      <c r="D1387" s="1">
        <v>1.6</v>
      </c>
      <c r="E1387" s="1" t="s">
        <v>137</v>
      </c>
      <c r="F1387" s="1" t="s">
        <v>137</v>
      </c>
      <c r="G1387" s="1" t="s">
        <v>137</v>
      </c>
      <c r="H1387" s="1" t="str">
        <f>VLOOKUP(F1387,Countries!$A$1:$B$161,2,0)</f>
        <v>Poland</v>
      </c>
    </row>
    <row r="1388" spans="1:8" x14ac:dyDescent="0.3">
      <c r="A1388" s="3">
        <v>46259.986018518517</v>
      </c>
      <c r="B1388" s="1">
        <v>6.37</v>
      </c>
      <c r="C1388" s="1">
        <v>5.46</v>
      </c>
      <c r="D1388" s="1">
        <v>0.54</v>
      </c>
      <c r="E1388" s="1" t="s">
        <v>113</v>
      </c>
      <c r="F1388" s="1" t="s">
        <v>113</v>
      </c>
      <c r="G1388" s="1" t="s">
        <v>113</v>
      </c>
      <c r="H1388" s="1" t="str">
        <f>VLOOKUP(F1388,Countries!$A$1:$B$161,2,0)</f>
        <v>United States of America</v>
      </c>
    </row>
    <row r="1389" spans="1:8" x14ac:dyDescent="0.3">
      <c r="A1389" s="3">
        <v>46259.985682870371</v>
      </c>
      <c r="B1389" s="1">
        <v>11.69</v>
      </c>
      <c r="C1389" s="1">
        <v>10.01</v>
      </c>
      <c r="D1389" s="1">
        <v>0.78</v>
      </c>
      <c r="E1389" s="1" t="s">
        <v>113</v>
      </c>
      <c r="F1389" s="1" t="s">
        <v>113</v>
      </c>
      <c r="G1389" s="1" t="s">
        <v>113</v>
      </c>
      <c r="H1389" s="1" t="str">
        <f>VLOOKUP(F1389,Countries!$A$1:$B$161,2,0)</f>
        <v>United States of America</v>
      </c>
    </row>
    <row r="1390" spans="1:8" x14ac:dyDescent="0.3">
      <c r="A1390" s="3">
        <v>46259.985266203701</v>
      </c>
      <c r="B1390" s="1">
        <v>6.3</v>
      </c>
      <c r="C1390" s="1">
        <v>5.4</v>
      </c>
      <c r="D1390" s="1">
        <v>0.54</v>
      </c>
      <c r="E1390" s="1" t="s">
        <v>132</v>
      </c>
      <c r="F1390" s="1" t="s">
        <v>132</v>
      </c>
      <c r="G1390" s="1" t="s">
        <v>132</v>
      </c>
      <c r="H1390" s="1" t="str">
        <f>VLOOKUP(F1390,Countries!$A$1:$B$161,2,0)</f>
        <v>Canada</v>
      </c>
    </row>
    <row r="1391" spans="1:8" x14ac:dyDescent="0.3">
      <c r="A1391" s="3">
        <v>46259.975381944438</v>
      </c>
      <c r="B1391" s="1">
        <v>1.99</v>
      </c>
      <c r="C1391" s="1">
        <v>1.7</v>
      </c>
      <c r="D1391" s="1">
        <v>0.34</v>
      </c>
      <c r="E1391" s="1" t="s">
        <v>113</v>
      </c>
      <c r="F1391" s="1" t="s">
        <v>113</v>
      </c>
      <c r="G1391" s="1" t="s">
        <v>113</v>
      </c>
      <c r="H1391" s="1" t="str">
        <f>VLOOKUP(F1391,Countries!$A$1:$B$161,2,0)</f>
        <v>United States of America</v>
      </c>
    </row>
    <row r="1392" spans="1:8" x14ac:dyDescent="0.3">
      <c r="A1392" s="3">
        <v>46259.972268518519</v>
      </c>
      <c r="B1392" s="1">
        <v>6.37</v>
      </c>
      <c r="C1392" s="1">
        <v>5.46</v>
      </c>
      <c r="D1392" s="1">
        <v>0.54</v>
      </c>
      <c r="E1392" s="1" t="s">
        <v>113</v>
      </c>
      <c r="F1392" s="1" t="s">
        <v>113</v>
      </c>
      <c r="G1392" s="1" t="s">
        <v>113</v>
      </c>
      <c r="H1392" s="1" t="str">
        <f>VLOOKUP(F1392,Countries!$A$1:$B$161,2,0)</f>
        <v>United States of America</v>
      </c>
    </row>
    <row r="1393" spans="1:8" x14ac:dyDescent="0.3">
      <c r="A1393" s="3">
        <v>46259.966458333343</v>
      </c>
      <c r="B1393" s="1">
        <v>127.64</v>
      </c>
      <c r="C1393" s="1">
        <v>109.31</v>
      </c>
      <c r="D1393" s="1">
        <v>5.99</v>
      </c>
      <c r="E1393" s="1" t="s">
        <v>113</v>
      </c>
      <c r="F1393" s="1" t="s">
        <v>113</v>
      </c>
      <c r="G1393" s="1" t="s">
        <v>113</v>
      </c>
      <c r="H1393" s="1" t="str">
        <f>VLOOKUP(F1393,Countries!$A$1:$B$161,2,0)</f>
        <v>United States of America</v>
      </c>
    </row>
    <row r="1394" spans="1:8" x14ac:dyDescent="0.3">
      <c r="A1394" s="3">
        <v>46259.965671296297</v>
      </c>
      <c r="B1394" s="1">
        <v>6.37</v>
      </c>
      <c r="C1394" s="1">
        <v>5.46</v>
      </c>
      <c r="D1394" s="1">
        <v>0.54</v>
      </c>
      <c r="E1394" s="1" t="s">
        <v>113</v>
      </c>
      <c r="F1394" s="1" t="s">
        <v>113</v>
      </c>
      <c r="G1394" s="1" t="s">
        <v>113</v>
      </c>
      <c r="H1394" s="1" t="str">
        <f>VLOOKUP(F1394,Countries!$A$1:$B$161,2,0)</f>
        <v>United States of America</v>
      </c>
    </row>
    <row r="1395" spans="1:8" x14ac:dyDescent="0.3">
      <c r="A1395" s="3">
        <v>46259.965162037042</v>
      </c>
      <c r="B1395" s="1">
        <v>2.58</v>
      </c>
      <c r="C1395" s="1">
        <v>2.21</v>
      </c>
      <c r="D1395" s="1">
        <v>0.32</v>
      </c>
      <c r="E1395" s="1" t="s">
        <v>137</v>
      </c>
      <c r="F1395" s="1" t="s">
        <v>137</v>
      </c>
      <c r="G1395" s="1" t="s">
        <v>137</v>
      </c>
      <c r="H1395" s="1" t="str">
        <f>VLOOKUP(F1395,Countries!$A$1:$B$161,2,0)</f>
        <v>Poland</v>
      </c>
    </row>
    <row r="1396" spans="1:8" x14ac:dyDescent="0.3">
      <c r="A1396" s="3">
        <v>46259.965104166673</v>
      </c>
      <c r="B1396" s="1">
        <v>10.85</v>
      </c>
      <c r="C1396" s="1">
        <v>9.2899999999999991</v>
      </c>
      <c r="D1396" s="1">
        <v>0.74</v>
      </c>
      <c r="E1396" s="1" t="s">
        <v>115</v>
      </c>
      <c r="F1396" s="1" t="s">
        <v>115</v>
      </c>
      <c r="G1396" s="1" t="s">
        <v>115</v>
      </c>
      <c r="H1396" s="1" t="str">
        <f>VLOOKUP(F1396,Countries!$A$1:$B$161,2,0)</f>
        <v>Switzerland</v>
      </c>
    </row>
    <row r="1397" spans="1:8" x14ac:dyDescent="0.3">
      <c r="A1397" s="3">
        <v>46259.960162037038</v>
      </c>
      <c r="B1397" s="1">
        <v>68.5</v>
      </c>
      <c r="C1397" s="1">
        <v>58.68</v>
      </c>
      <c r="D1397" s="1">
        <v>2.2999999999999998</v>
      </c>
      <c r="E1397" s="1" t="s">
        <v>113</v>
      </c>
      <c r="F1397" s="1" t="s">
        <v>113</v>
      </c>
      <c r="G1397" s="1" t="s">
        <v>113</v>
      </c>
      <c r="H1397" s="1" t="str">
        <f>VLOOKUP(F1397,Countries!$A$1:$B$161,2,0)</f>
        <v>United States of America</v>
      </c>
    </row>
    <row r="1398" spans="1:8" x14ac:dyDescent="0.3">
      <c r="A1398" s="3">
        <v>46259.94258101852</v>
      </c>
      <c r="B1398" s="1">
        <v>6.37</v>
      </c>
      <c r="C1398" s="1">
        <v>5.46</v>
      </c>
      <c r="D1398" s="1">
        <v>0.54</v>
      </c>
      <c r="E1398" s="1" t="s">
        <v>113</v>
      </c>
      <c r="F1398" s="1" t="s">
        <v>113</v>
      </c>
      <c r="G1398" s="1" t="s">
        <v>113</v>
      </c>
      <c r="H1398" s="1" t="str">
        <f>VLOOKUP(F1398,Countries!$A$1:$B$161,2,0)</f>
        <v>United States of America</v>
      </c>
    </row>
    <row r="1399" spans="1:8" x14ac:dyDescent="0.3">
      <c r="A1399" s="3">
        <v>46259.940775462957</v>
      </c>
      <c r="B1399" s="1">
        <v>7.48</v>
      </c>
      <c r="C1399" s="1">
        <v>6.41</v>
      </c>
      <c r="D1399" s="1">
        <v>0.54</v>
      </c>
      <c r="E1399" s="1" t="s">
        <v>119</v>
      </c>
      <c r="F1399" s="1" t="s">
        <v>119</v>
      </c>
      <c r="G1399" s="1" t="s">
        <v>119</v>
      </c>
      <c r="H1399" s="1" t="str">
        <f>VLOOKUP(F1399,Countries!$A$1:$B$161,2,0)</f>
        <v>Great Britain (United Kingdom)</v>
      </c>
    </row>
    <row r="1400" spans="1:8" x14ac:dyDescent="0.3">
      <c r="A1400" s="3">
        <v>46259.940509259257</v>
      </c>
      <c r="B1400" s="1">
        <v>6.37</v>
      </c>
      <c r="C1400" s="1">
        <v>5.46</v>
      </c>
      <c r="D1400" s="1">
        <v>0.54</v>
      </c>
      <c r="E1400" s="1" t="s">
        <v>113</v>
      </c>
      <c r="F1400" s="1" t="s">
        <v>113</v>
      </c>
      <c r="G1400" s="1" t="s">
        <v>113</v>
      </c>
      <c r="H1400" s="1" t="str">
        <f>VLOOKUP(F1400,Countries!$A$1:$B$161,2,0)</f>
        <v>United States of America</v>
      </c>
    </row>
    <row r="1401" spans="1:8" x14ac:dyDescent="0.3">
      <c r="A1401" s="3">
        <v>46259.938935185193</v>
      </c>
      <c r="B1401" s="1">
        <v>10.85</v>
      </c>
      <c r="C1401" s="1">
        <v>9.3000000000000007</v>
      </c>
      <c r="D1401" s="1">
        <v>0.74</v>
      </c>
      <c r="E1401" s="1" t="s">
        <v>115</v>
      </c>
      <c r="F1401" s="1" t="s">
        <v>115</v>
      </c>
      <c r="G1401" s="1" t="s">
        <v>115</v>
      </c>
      <c r="H1401" s="1" t="str">
        <f>VLOOKUP(F1401,Countries!$A$1:$B$161,2,0)</f>
        <v>Switzerland</v>
      </c>
    </row>
    <row r="1402" spans="1:8" x14ac:dyDescent="0.3">
      <c r="A1402" s="3">
        <v>46259.934328703697</v>
      </c>
      <c r="B1402" s="1">
        <v>7.58</v>
      </c>
      <c r="C1402" s="1">
        <v>6.49</v>
      </c>
      <c r="D1402" s="1">
        <v>0.48</v>
      </c>
      <c r="E1402" s="1" t="s">
        <v>116</v>
      </c>
      <c r="F1402" s="1" t="s">
        <v>116</v>
      </c>
      <c r="G1402" s="1" t="s">
        <v>116</v>
      </c>
      <c r="H1402" s="1" t="str">
        <f>VLOOKUP(F1402,Countries!$A$1:$B$161,2,0)</f>
        <v>Spain</v>
      </c>
    </row>
    <row r="1403" spans="1:8" x14ac:dyDescent="0.3">
      <c r="A1403" s="3">
        <v>46259.931840277779</v>
      </c>
      <c r="B1403" s="1">
        <v>3.69</v>
      </c>
      <c r="C1403" s="1">
        <v>3.16</v>
      </c>
      <c r="D1403" s="1">
        <v>0.36</v>
      </c>
      <c r="E1403" s="1" t="s">
        <v>113</v>
      </c>
      <c r="F1403" s="1" t="s">
        <v>113</v>
      </c>
      <c r="G1403" s="1" t="s">
        <v>113</v>
      </c>
      <c r="H1403" s="1" t="str">
        <f>VLOOKUP(F1403,Countries!$A$1:$B$161,2,0)</f>
        <v>United States of America</v>
      </c>
    </row>
    <row r="1404" spans="1:8" x14ac:dyDescent="0.3">
      <c r="A1404" s="3">
        <v>46259.929976851847</v>
      </c>
      <c r="B1404" s="1">
        <v>1.99</v>
      </c>
      <c r="C1404" s="1">
        <v>1.7</v>
      </c>
      <c r="D1404" s="1">
        <v>0.34</v>
      </c>
      <c r="E1404" s="1" t="s">
        <v>190</v>
      </c>
      <c r="F1404" s="1" t="s">
        <v>190</v>
      </c>
      <c r="G1404" s="1" t="s">
        <v>190</v>
      </c>
      <c r="H1404" s="1" t="str">
        <f>VLOOKUP(F1404,Countries!$A$1:$B$161,2,0)</f>
        <v>Egypt</v>
      </c>
    </row>
    <row r="1405" spans="1:8" x14ac:dyDescent="0.3">
      <c r="A1405" s="3">
        <v>46259.925416666672</v>
      </c>
      <c r="B1405" s="1">
        <v>10.85</v>
      </c>
      <c r="C1405" s="1">
        <v>9.3000000000000007</v>
      </c>
      <c r="D1405" s="1">
        <v>0.74</v>
      </c>
      <c r="E1405" s="1" t="s">
        <v>115</v>
      </c>
      <c r="F1405" s="1" t="s">
        <v>115</v>
      </c>
      <c r="G1405" s="1" t="s">
        <v>115</v>
      </c>
      <c r="H1405" s="1" t="str">
        <f>VLOOKUP(F1405,Countries!$A$1:$B$161,2,0)</f>
        <v>Switzerland</v>
      </c>
    </row>
    <row r="1406" spans="1:8" x14ac:dyDescent="0.3">
      <c r="A1406" s="3">
        <v>46259.923171296286</v>
      </c>
      <c r="B1406" s="1">
        <v>7.48</v>
      </c>
      <c r="C1406" s="1">
        <v>6.41</v>
      </c>
      <c r="D1406" s="1">
        <v>0.48</v>
      </c>
      <c r="E1406" s="1" t="s">
        <v>123</v>
      </c>
      <c r="F1406" s="1" t="s">
        <v>123</v>
      </c>
      <c r="G1406" s="1" t="s">
        <v>123</v>
      </c>
      <c r="H1406" s="1" t="str">
        <f>VLOOKUP(F1406,Countries!$A$1:$B$161,2,0)</f>
        <v>France</v>
      </c>
    </row>
    <row r="1407" spans="1:8" x14ac:dyDescent="0.3">
      <c r="A1407" s="3">
        <v>46259.916574074072</v>
      </c>
      <c r="B1407" s="1">
        <v>6.37</v>
      </c>
      <c r="C1407" s="1">
        <v>5.46</v>
      </c>
      <c r="D1407" s="1">
        <v>0.54</v>
      </c>
      <c r="E1407" s="1" t="s">
        <v>113</v>
      </c>
      <c r="F1407" s="1" t="s">
        <v>113</v>
      </c>
      <c r="G1407" s="1" t="s">
        <v>113</v>
      </c>
      <c r="H1407" s="1" t="str">
        <f>VLOOKUP(F1407,Countries!$A$1:$B$161,2,0)</f>
        <v>United States of America</v>
      </c>
    </row>
    <row r="1408" spans="1:8" x14ac:dyDescent="0.3">
      <c r="A1408" s="3">
        <v>46259.914212962962</v>
      </c>
      <c r="B1408" s="1">
        <v>7.04</v>
      </c>
      <c r="C1408" s="1">
        <v>6.03</v>
      </c>
      <c r="D1408" s="1">
        <v>0.56999999999999995</v>
      </c>
      <c r="E1408" s="1" t="s">
        <v>163</v>
      </c>
      <c r="F1408" s="1" t="s">
        <v>163</v>
      </c>
      <c r="G1408" s="1" t="s">
        <v>163</v>
      </c>
      <c r="H1408" s="1" t="str">
        <f>VLOOKUP(F1408,Countries!$A$1:$B$161,2,0)</f>
        <v>Saudi Arabia</v>
      </c>
    </row>
    <row r="1409" spans="1:8" x14ac:dyDescent="0.3">
      <c r="A1409" s="3">
        <v>46259.908935185187</v>
      </c>
      <c r="B1409" s="1">
        <v>12.5</v>
      </c>
      <c r="C1409" s="1">
        <v>10.71</v>
      </c>
      <c r="D1409" s="1">
        <v>0.73</v>
      </c>
      <c r="E1409" s="1" t="s">
        <v>119</v>
      </c>
      <c r="F1409" s="1" t="s">
        <v>119</v>
      </c>
      <c r="G1409" s="1" t="s">
        <v>119</v>
      </c>
      <c r="H1409" s="1" t="str">
        <f>VLOOKUP(F1409,Countries!$A$1:$B$161,2,0)</f>
        <v>Great Britain (United Kingdom)</v>
      </c>
    </row>
    <row r="1410" spans="1:8" x14ac:dyDescent="0.3">
      <c r="A1410" s="3">
        <v>46259.902939814812</v>
      </c>
      <c r="B1410" s="1">
        <v>7.77</v>
      </c>
      <c r="C1410" s="1">
        <v>6.66</v>
      </c>
      <c r="D1410" s="1">
        <v>0.48</v>
      </c>
      <c r="E1410" s="1" t="s">
        <v>137</v>
      </c>
      <c r="F1410" s="1" t="s">
        <v>137</v>
      </c>
      <c r="G1410" s="1" t="s">
        <v>137</v>
      </c>
      <c r="H1410" s="1" t="str">
        <f>VLOOKUP(F1410,Countries!$A$1:$B$161,2,0)</f>
        <v>Poland</v>
      </c>
    </row>
    <row r="1411" spans="1:8" x14ac:dyDescent="0.3">
      <c r="A1411" s="3">
        <v>46259.902268518519</v>
      </c>
      <c r="B1411" s="1">
        <v>6.58</v>
      </c>
      <c r="C1411" s="1">
        <v>5.64</v>
      </c>
      <c r="D1411" s="1">
        <v>0.54</v>
      </c>
      <c r="E1411" s="1" t="s">
        <v>152</v>
      </c>
      <c r="F1411" s="1" t="s">
        <v>152</v>
      </c>
      <c r="G1411" s="1" t="s">
        <v>152</v>
      </c>
      <c r="H1411" s="1" t="str">
        <f>VLOOKUP(F1411,Countries!$A$1:$B$161,2,0)</f>
        <v>Singapore</v>
      </c>
    </row>
    <row r="1412" spans="1:8" x14ac:dyDescent="0.3">
      <c r="A1412" s="3">
        <v>46259.90053240741</v>
      </c>
      <c r="B1412" s="1">
        <v>10.85</v>
      </c>
      <c r="C1412" s="1">
        <v>9.2899999999999991</v>
      </c>
      <c r="D1412" s="1">
        <v>0.74</v>
      </c>
      <c r="E1412" s="1" t="s">
        <v>115</v>
      </c>
      <c r="F1412" s="1" t="s">
        <v>115</v>
      </c>
      <c r="G1412" s="1" t="s">
        <v>115</v>
      </c>
      <c r="H1412" s="1" t="str">
        <f>VLOOKUP(F1412,Countries!$A$1:$B$161,2,0)</f>
        <v>Switzerland</v>
      </c>
    </row>
    <row r="1413" spans="1:8" x14ac:dyDescent="0.3">
      <c r="A1413" s="3">
        <v>46259.900497685187</v>
      </c>
      <c r="B1413" s="1">
        <v>137.02000000000001</v>
      </c>
      <c r="C1413" s="1">
        <v>117.36</v>
      </c>
      <c r="D1413" s="1">
        <v>4.3600000000000003</v>
      </c>
      <c r="E1413" s="1" t="s">
        <v>113</v>
      </c>
      <c r="F1413" s="1" t="s">
        <v>113</v>
      </c>
      <c r="G1413" s="1" t="s">
        <v>113</v>
      </c>
      <c r="H1413" s="1" t="str">
        <f>VLOOKUP(F1413,Countries!$A$1:$B$161,2,0)</f>
        <v>United States of America</v>
      </c>
    </row>
    <row r="1414" spans="1:8" x14ac:dyDescent="0.3">
      <c r="A1414" s="3">
        <v>46259.900370370371</v>
      </c>
      <c r="B1414" s="1">
        <v>7.48</v>
      </c>
      <c r="C1414" s="1">
        <v>6.41</v>
      </c>
      <c r="D1414" s="1">
        <v>0.48</v>
      </c>
      <c r="E1414" s="1" t="s">
        <v>123</v>
      </c>
      <c r="F1414" s="1" t="s">
        <v>123</v>
      </c>
      <c r="G1414" s="1" t="s">
        <v>123</v>
      </c>
      <c r="H1414" s="1" t="str">
        <f>VLOOKUP(F1414,Countries!$A$1:$B$161,2,0)</f>
        <v>France</v>
      </c>
    </row>
    <row r="1415" spans="1:8" x14ac:dyDescent="0.3">
      <c r="A1415" s="3">
        <v>46259.899502314824</v>
      </c>
      <c r="B1415" s="1">
        <v>7.58</v>
      </c>
      <c r="C1415" s="1">
        <v>6.49</v>
      </c>
      <c r="D1415" s="1">
        <v>0.48</v>
      </c>
      <c r="E1415" s="1" t="s">
        <v>116</v>
      </c>
      <c r="F1415" s="1" t="s">
        <v>116</v>
      </c>
      <c r="G1415" s="1" t="s">
        <v>116</v>
      </c>
      <c r="H1415" s="1" t="str">
        <f>VLOOKUP(F1415,Countries!$A$1:$B$161,2,0)</f>
        <v>Spain</v>
      </c>
    </row>
    <row r="1416" spans="1:8" x14ac:dyDescent="0.3">
      <c r="A1416" s="3">
        <v>46259.89947916667</v>
      </c>
      <c r="B1416" s="1">
        <v>6.3</v>
      </c>
      <c r="C1416" s="1">
        <v>5.4</v>
      </c>
      <c r="D1416" s="1">
        <v>0.54</v>
      </c>
      <c r="E1416" s="1" t="s">
        <v>132</v>
      </c>
      <c r="F1416" s="1" t="s">
        <v>132</v>
      </c>
      <c r="G1416" s="1" t="s">
        <v>132</v>
      </c>
      <c r="H1416" s="1" t="str">
        <f>VLOOKUP(F1416,Countries!$A$1:$B$161,2,0)</f>
        <v>Canada</v>
      </c>
    </row>
    <row r="1417" spans="1:8" x14ac:dyDescent="0.3">
      <c r="A1417" s="3">
        <v>46259.899131944447</v>
      </c>
      <c r="B1417" s="1">
        <v>17.739999999999998</v>
      </c>
      <c r="C1417" s="1">
        <v>15.2</v>
      </c>
      <c r="D1417" s="1">
        <v>1.04</v>
      </c>
      <c r="E1417" s="1" t="s">
        <v>113</v>
      </c>
      <c r="F1417" s="1" t="s">
        <v>113</v>
      </c>
      <c r="G1417" s="1" t="s">
        <v>113</v>
      </c>
      <c r="H1417" s="1" t="str">
        <f>VLOOKUP(F1417,Countries!$A$1:$B$161,2,0)</f>
        <v>United States of America</v>
      </c>
    </row>
    <row r="1418" spans="1:8" x14ac:dyDescent="0.3">
      <c r="A1418" s="3">
        <v>46259.895925925928</v>
      </c>
      <c r="B1418" s="1">
        <v>10.85</v>
      </c>
      <c r="C1418" s="1">
        <v>9.2899999999999991</v>
      </c>
      <c r="D1418" s="1">
        <v>0.74</v>
      </c>
      <c r="E1418" s="1" t="s">
        <v>115</v>
      </c>
      <c r="F1418" s="1" t="s">
        <v>115</v>
      </c>
      <c r="G1418" s="1" t="s">
        <v>115</v>
      </c>
      <c r="H1418" s="1" t="str">
        <f>VLOOKUP(F1418,Countries!$A$1:$B$161,2,0)</f>
        <v>Switzerland</v>
      </c>
    </row>
    <row r="1419" spans="1:8" x14ac:dyDescent="0.3">
      <c r="A1419" s="3">
        <v>46259.888321759259</v>
      </c>
      <c r="B1419" s="1">
        <v>10.85</v>
      </c>
      <c r="C1419" s="1">
        <v>9.2899999999999991</v>
      </c>
      <c r="D1419" s="1">
        <v>0.74</v>
      </c>
      <c r="E1419" s="1" t="s">
        <v>115</v>
      </c>
      <c r="F1419" s="1" t="s">
        <v>115</v>
      </c>
      <c r="G1419" s="1" t="s">
        <v>115</v>
      </c>
      <c r="H1419" s="1" t="str">
        <f>VLOOKUP(F1419,Countries!$A$1:$B$161,2,0)</f>
        <v>Switzerland</v>
      </c>
    </row>
    <row r="1420" spans="1:8" x14ac:dyDescent="0.3">
      <c r="A1420" s="3">
        <v>46259.888020833343</v>
      </c>
      <c r="B1420" s="1">
        <v>6.37</v>
      </c>
      <c r="C1420" s="1">
        <v>5.46</v>
      </c>
      <c r="D1420" s="1">
        <v>0.54</v>
      </c>
      <c r="E1420" s="1" t="s">
        <v>113</v>
      </c>
      <c r="F1420" s="1" t="s">
        <v>113</v>
      </c>
      <c r="G1420" s="1" t="s">
        <v>113</v>
      </c>
      <c r="H1420" s="1" t="str">
        <f>VLOOKUP(F1420,Countries!$A$1:$B$161,2,0)</f>
        <v>United States of America</v>
      </c>
    </row>
    <row r="1421" spans="1:8" x14ac:dyDescent="0.3">
      <c r="A1421" s="3">
        <v>46259.88653935185</v>
      </c>
      <c r="B1421" s="1">
        <v>2.99</v>
      </c>
      <c r="C1421" s="1">
        <v>2.56</v>
      </c>
      <c r="D1421" s="1">
        <v>0.38</v>
      </c>
      <c r="E1421" s="1" t="s">
        <v>113</v>
      </c>
      <c r="F1421" s="1" t="s">
        <v>113</v>
      </c>
      <c r="G1421" s="1" t="s">
        <v>113</v>
      </c>
      <c r="H1421" s="1" t="str">
        <f>VLOOKUP(F1421,Countries!$A$1:$B$161,2,0)</f>
        <v>United States of America</v>
      </c>
    </row>
    <row r="1422" spans="1:8" x14ac:dyDescent="0.3">
      <c r="A1422" s="3">
        <v>46259.883090277777</v>
      </c>
      <c r="B1422" s="1">
        <v>6.65</v>
      </c>
      <c r="C1422" s="1">
        <v>5.7</v>
      </c>
      <c r="D1422" s="1">
        <v>0.55000000000000004</v>
      </c>
      <c r="E1422" s="1" t="s">
        <v>121</v>
      </c>
      <c r="F1422" s="1" t="s">
        <v>121</v>
      </c>
      <c r="G1422" s="1" t="s">
        <v>121</v>
      </c>
      <c r="H1422" s="1" t="str">
        <f>VLOOKUP(F1422,Countries!$A$1:$B$161,2,0)</f>
        <v>Japan</v>
      </c>
    </row>
    <row r="1423" spans="1:8" x14ac:dyDescent="0.3">
      <c r="A1423" s="3">
        <v>46259.875115740739</v>
      </c>
      <c r="B1423" s="1">
        <v>10.85</v>
      </c>
      <c r="C1423" s="1">
        <v>9.2899999999999991</v>
      </c>
      <c r="D1423" s="1">
        <v>0.74</v>
      </c>
      <c r="E1423" s="1" t="s">
        <v>115</v>
      </c>
      <c r="F1423" s="1" t="s">
        <v>115</v>
      </c>
      <c r="G1423" s="1" t="s">
        <v>115</v>
      </c>
      <c r="H1423" s="1" t="str">
        <f>VLOOKUP(F1423,Countries!$A$1:$B$161,2,0)</f>
        <v>Switzerland</v>
      </c>
    </row>
    <row r="1424" spans="1:8" x14ac:dyDescent="0.3">
      <c r="A1424" s="3">
        <v>46259.869803240741</v>
      </c>
      <c r="B1424" s="1">
        <v>6.37</v>
      </c>
      <c r="C1424" s="1">
        <v>5.46</v>
      </c>
      <c r="D1424" s="1">
        <v>0.54</v>
      </c>
      <c r="E1424" s="1" t="s">
        <v>113</v>
      </c>
      <c r="F1424" s="1" t="s">
        <v>113</v>
      </c>
      <c r="G1424" s="1" t="s">
        <v>113</v>
      </c>
      <c r="H1424" s="1" t="str">
        <f>VLOOKUP(F1424,Countries!$A$1:$B$161,2,0)</f>
        <v>United States of America</v>
      </c>
    </row>
    <row r="1425" spans="1:8" x14ac:dyDescent="0.3">
      <c r="A1425" s="3">
        <v>46259.862743055557</v>
      </c>
      <c r="B1425" s="1">
        <v>6.37</v>
      </c>
      <c r="C1425" s="1">
        <v>5.46</v>
      </c>
      <c r="D1425" s="1">
        <v>0.54</v>
      </c>
      <c r="E1425" s="1" t="s">
        <v>113</v>
      </c>
      <c r="F1425" s="1" t="s">
        <v>113</v>
      </c>
      <c r="G1425" s="1" t="s">
        <v>113</v>
      </c>
      <c r="H1425" s="1" t="str">
        <f>VLOOKUP(F1425,Countries!$A$1:$B$161,2,0)</f>
        <v>United States of America</v>
      </c>
    </row>
    <row r="1426" spans="1:8" x14ac:dyDescent="0.3">
      <c r="A1426" s="3">
        <v>46259.861643518518</v>
      </c>
      <c r="B1426" s="1">
        <v>13.04</v>
      </c>
      <c r="C1426" s="1">
        <v>11.17</v>
      </c>
      <c r="D1426" s="1">
        <v>0.83</v>
      </c>
      <c r="E1426" s="1" t="s">
        <v>115</v>
      </c>
      <c r="F1426" s="1" t="s">
        <v>115</v>
      </c>
      <c r="G1426" s="1" t="s">
        <v>115</v>
      </c>
      <c r="H1426" s="1" t="str">
        <f>VLOOKUP(F1426,Countries!$A$1:$B$161,2,0)</f>
        <v>Switzerland</v>
      </c>
    </row>
    <row r="1427" spans="1:8" x14ac:dyDescent="0.3">
      <c r="A1427" s="3">
        <v>46259.859131944453</v>
      </c>
      <c r="B1427" s="1">
        <v>10.85</v>
      </c>
      <c r="C1427" s="1">
        <v>9.2899999999999991</v>
      </c>
      <c r="D1427" s="1">
        <v>0.74</v>
      </c>
      <c r="E1427" s="1" t="s">
        <v>115</v>
      </c>
      <c r="F1427" s="1" t="s">
        <v>115</v>
      </c>
      <c r="G1427" s="1" t="s">
        <v>115</v>
      </c>
      <c r="H1427" s="1" t="str">
        <f>VLOOKUP(F1427,Countries!$A$1:$B$161,2,0)</f>
        <v>Switzerland</v>
      </c>
    </row>
    <row r="1428" spans="1:8" x14ac:dyDescent="0.3">
      <c r="A1428" s="3">
        <v>46259.85696759259</v>
      </c>
      <c r="B1428" s="1">
        <v>2.99</v>
      </c>
      <c r="C1428" s="1">
        <v>2.56</v>
      </c>
      <c r="D1428" s="1">
        <v>0.38</v>
      </c>
      <c r="E1428" s="1" t="s">
        <v>113</v>
      </c>
      <c r="F1428" s="1" t="s">
        <v>113</v>
      </c>
      <c r="G1428" s="1" t="s">
        <v>113</v>
      </c>
      <c r="H1428" s="1" t="str">
        <f>VLOOKUP(F1428,Countries!$A$1:$B$161,2,0)</f>
        <v>United States of America</v>
      </c>
    </row>
    <row r="1429" spans="1:8" x14ac:dyDescent="0.3">
      <c r="A1429" s="3">
        <v>46259.849652777782</v>
      </c>
      <c r="B1429" s="1">
        <v>10.85</v>
      </c>
      <c r="C1429" s="1">
        <v>9.2899999999999991</v>
      </c>
      <c r="D1429" s="1">
        <v>0.74</v>
      </c>
      <c r="E1429" s="1" t="s">
        <v>115</v>
      </c>
      <c r="F1429" s="1" t="s">
        <v>115</v>
      </c>
      <c r="G1429" s="1" t="s">
        <v>115</v>
      </c>
      <c r="H1429" s="1" t="str">
        <f>VLOOKUP(F1429,Countries!$A$1:$B$161,2,0)</f>
        <v>Switzerland</v>
      </c>
    </row>
    <row r="1430" spans="1:8" x14ac:dyDescent="0.3">
      <c r="A1430" s="3">
        <v>46259.83662037037</v>
      </c>
      <c r="B1430" s="1">
        <v>10.85</v>
      </c>
      <c r="C1430" s="1">
        <v>9.2899999999999991</v>
      </c>
      <c r="D1430" s="1">
        <v>0.74</v>
      </c>
      <c r="E1430" s="1" t="s">
        <v>115</v>
      </c>
      <c r="F1430" s="1" t="s">
        <v>115</v>
      </c>
      <c r="G1430" s="1" t="s">
        <v>115</v>
      </c>
      <c r="H1430" s="1" t="str">
        <f>VLOOKUP(F1430,Countries!$A$1:$B$161,2,0)</f>
        <v>Switzerland</v>
      </c>
    </row>
    <row r="1431" spans="1:8" x14ac:dyDescent="0.3">
      <c r="A1431" s="3">
        <v>46259.835416666669</v>
      </c>
      <c r="B1431" s="1">
        <v>6.37</v>
      </c>
      <c r="C1431" s="1">
        <v>5.46</v>
      </c>
      <c r="D1431" s="1">
        <v>0.54</v>
      </c>
      <c r="E1431" s="1" t="s">
        <v>113</v>
      </c>
      <c r="F1431" s="1" t="s">
        <v>113</v>
      </c>
      <c r="G1431" s="1" t="s">
        <v>113</v>
      </c>
      <c r="H1431" s="1" t="str">
        <f>VLOOKUP(F1431,Countries!$A$1:$B$161,2,0)</f>
        <v>United States of America</v>
      </c>
    </row>
    <row r="1432" spans="1:8" x14ac:dyDescent="0.3">
      <c r="A1432" s="3">
        <v>46259.827974537038</v>
      </c>
      <c r="B1432" s="1">
        <v>10.51</v>
      </c>
      <c r="C1432" s="1">
        <v>9</v>
      </c>
      <c r="D1432" s="1">
        <v>0.72</v>
      </c>
      <c r="E1432" s="1" t="s">
        <v>132</v>
      </c>
      <c r="F1432" s="1" t="s">
        <v>132</v>
      </c>
      <c r="G1432" s="1" t="s">
        <v>132</v>
      </c>
      <c r="H1432" s="1" t="str">
        <f>VLOOKUP(F1432,Countries!$A$1:$B$161,2,0)</f>
        <v>Canada</v>
      </c>
    </row>
    <row r="1433" spans="1:8" x14ac:dyDescent="0.3">
      <c r="A1433" s="3">
        <v>46259.824513888889</v>
      </c>
      <c r="B1433" s="1">
        <v>10.85</v>
      </c>
      <c r="C1433" s="1">
        <v>9.2899999999999991</v>
      </c>
      <c r="D1433" s="1">
        <v>0.74</v>
      </c>
      <c r="E1433" s="1" t="s">
        <v>115</v>
      </c>
      <c r="F1433" s="1" t="s">
        <v>115</v>
      </c>
      <c r="G1433" s="1" t="s">
        <v>115</v>
      </c>
      <c r="H1433" s="1" t="str">
        <f>VLOOKUP(F1433,Countries!$A$1:$B$161,2,0)</f>
        <v>Switzerland</v>
      </c>
    </row>
    <row r="1434" spans="1:8" x14ac:dyDescent="0.3">
      <c r="A1434" s="3">
        <v>46259.82271990741</v>
      </c>
      <c r="B1434" s="1">
        <v>10.51</v>
      </c>
      <c r="C1434" s="1">
        <v>9</v>
      </c>
      <c r="D1434" s="1">
        <v>0.72</v>
      </c>
      <c r="E1434" s="1" t="s">
        <v>132</v>
      </c>
      <c r="F1434" s="1" t="s">
        <v>132</v>
      </c>
      <c r="G1434" s="1" t="s">
        <v>132</v>
      </c>
      <c r="H1434" s="1" t="str">
        <f>VLOOKUP(F1434,Countries!$A$1:$B$161,2,0)</f>
        <v>Canada</v>
      </c>
    </row>
    <row r="1435" spans="1:8" x14ac:dyDescent="0.3">
      <c r="A1435" s="3">
        <v>46259.819016203714</v>
      </c>
      <c r="B1435" s="1">
        <v>6.37</v>
      </c>
      <c r="C1435" s="1">
        <v>5.46</v>
      </c>
      <c r="D1435" s="1">
        <v>0.54</v>
      </c>
      <c r="E1435" s="1" t="s">
        <v>113</v>
      </c>
      <c r="F1435" s="1" t="s">
        <v>113</v>
      </c>
      <c r="G1435" s="1" t="s">
        <v>113</v>
      </c>
      <c r="H1435" s="1" t="str">
        <f>VLOOKUP(F1435,Countries!$A$1:$B$161,2,0)</f>
        <v>United States of America</v>
      </c>
    </row>
    <row r="1436" spans="1:8" x14ac:dyDescent="0.3">
      <c r="A1436" s="3">
        <v>46259.815185185187</v>
      </c>
      <c r="B1436" s="1">
        <v>1.99</v>
      </c>
      <c r="C1436" s="1">
        <v>1.7</v>
      </c>
      <c r="D1436" s="1">
        <v>0.34</v>
      </c>
      <c r="E1436" s="1" t="s">
        <v>165</v>
      </c>
      <c r="F1436" s="1" t="s">
        <v>165</v>
      </c>
      <c r="G1436" s="1" t="s">
        <v>165</v>
      </c>
      <c r="H1436" s="1" t="str">
        <f>VLOOKUP(F1436,Countries!$A$1:$B$161,2,0)</f>
        <v>Israel</v>
      </c>
    </row>
    <row r="1437" spans="1:8" x14ac:dyDescent="0.3">
      <c r="A1437" s="3">
        <v>46259.812094907407</v>
      </c>
      <c r="B1437" s="1">
        <v>10.85</v>
      </c>
      <c r="C1437" s="1">
        <v>9.2899999999999991</v>
      </c>
      <c r="D1437" s="1">
        <v>0.74</v>
      </c>
      <c r="E1437" s="1" t="s">
        <v>115</v>
      </c>
      <c r="F1437" s="1" t="s">
        <v>115</v>
      </c>
      <c r="G1437" s="1" t="s">
        <v>115</v>
      </c>
      <c r="H1437" s="1" t="str">
        <f>VLOOKUP(F1437,Countries!$A$1:$B$161,2,0)</f>
        <v>Switzerland</v>
      </c>
    </row>
    <row r="1438" spans="1:8" x14ac:dyDescent="0.3">
      <c r="A1438" s="3">
        <v>46259.808738425927</v>
      </c>
      <c r="B1438" s="1">
        <v>3.73</v>
      </c>
      <c r="C1438" s="1">
        <v>3.2</v>
      </c>
      <c r="D1438" s="1">
        <v>0.41</v>
      </c>
      <c r="E1438" s="1" t="s">
        <v>131</v>
      </c>
      <c r="F1438" s="1" t="s">
        <v>131</v>
      </c>
      <c r="G1438" s="1" t="s">
        <v>131</v>
      </c>
      <c r="H1438" s="1" t="str">
        <f>VLOOKUP(F1438,Countries!$A$1:$B$161,2,0)</f>
        <v>Ukraine</v>
      </c>
    </row>
    <row r="1439" spans="1:8" x14ac:dyDescent="0.3">
      <c r="A1439" s="3">
        <v>46259.805648148147</v>
      </c>
      <c r="B1439" s="1">
        <v>6.37</v>
      </c>
      <c r="C1439" s="1">
        <v>5.46</v>
      </c>
      <c r="D1439" s="1">
        <v>0.54</v>
      </c>
      <c r="E1439" s="1" t="s">
        <v>113</v>
      </c>
      <c r="F1439" s="1" t="s">
        <v>113</v>
      </c>
      <c r="G1439" s="1" t="s">
        <v>113</v>
      </c>
      <c r="H1439" s="1" t="str">
        <f>VLOOKUP(F1439,Countries!$A$1:$B$161,2,0)</f>
        <v>United States of America</v>
      </c>
    </row>
    <row r="1440" spans="1:8" x14ac:dyDescent="0.3">
      <c r="A1440" s="3">
        <v>46259.803807870368</v>
      </c>
      <c r="B1440" s="1">
        <v>6.37</v>
      </c>
      <c r="C1440" s="1">
        <v>5.46</v>
      </c>
      <c r="D1440" s="1">
        <v>0.54</v>
      </c>
      <c r="E1440" s="1" t="s">
        <v>113</v>
      </c>
      <c r="F1440" s="1" t="s">
        <v>113</v>
      </c>
      <c r="G1440" s="1" t="s">
        <v>113</v>
      </c>
      <c r="H1440" s="1" t="str">
        <f>VLOOKUP(F1440,Countries!$A$1:$B$161,2,0)</f>
        <v>United States of America</v>
      </c>
    </row>
    <row r="1441" spans="1:8" x14ac:dyDescent="0.3">
      <c r="A1441" s="3">
        <v>46259.802986111114</v>
      </c>
      <c r="B1441" s="1">
        <v>1.99</v>
      </c>
      <c r="C1441" s="1">
        <v>1.7</v>
      </c>
      <c r="D1441" s="1">
        <v>0.31</v>
      </c>
      <c r="E1441" s="1" t="s">
        <v>177</v>
      </c>
      <c r="F1441" s="1" t="s">
        <v>177</v>
      </c>
      <c r="G1441" s="1" t="s">
        <v>177</v>
      </c>
      <c r="H1441" s="1" t="str">
        <f>VLOOKUP(F1441,Countries!$A$1:$B$161,2,0)</f>
        <v>Hungary</v>
      </c>
    </row>
    <row r="1442" spans="1:8" x14ac:dyDescent="0.3">
      <c r="A1442" s="3">
        <v>46259.800486111111</v>
      </c>
      <c r="B1442" s="1">
        <v>5.99</v>
      </c>
      <c r="C1442" s="1">
        <v>5.13</v>
      </c>
      <c r="D1442" s="1">
        <v>0.52</v>
      </c>
      <c r="E1442" s="1" t="s">
        <v>113</v>
      </c>
      <c r="F1442" s="1" t="s">
        <v>113</v>
      </c>
      <c r="G1442" s="1" t="s">
        <v>113</v>
      </c>
      <c r="H1442" s="1" t="str">
        <f>VLOOKUP(F1442,Countries!$A$1:$B$161,2,0)</f>
        <v>United States of America</v>
      </c>
    </row>
    <row r="1443" spans="1:8" x14ac:dyDescent="0.3">
      <c r="A1443" s="3">
        <v>46259.798900462964</v>
      </c>
      <c r="B1443" s="1">
        <v>10.85</v>
      </c>
      <c r="C1443" s="1">
        <v>9.2899999999999991</v>
      </c>
      <c r="D1443" s="1">
        <v>0.74</v>
      </c>
      <c r="E1443" s="1" t="s">
        <v>115</v>
      </c>
      <c r="F1443" s="1" t="s">
        <v>115</v>
      </c>
      <c r="G1443" s="1" t="s">
        <v>115</v>
      </c>
      <c r="H1443" s="1" t="str">
        <f>VLOOKUP(F1443,Countries!$A$1:$B$161,2,0)</f>
        <v>Switzerland</v>
      </c>
    </row>
    <row r="1444" spans="1:8" x14ac:dyDescent="0.3">
      <c r="A1444" s="3">
        <v>46259.786238425928</v>
      </c>
      <c r="B1444" s="1">
        <v>35.18</v>
      </c>
      <c r="C1444" s="1">
        <v>30.14</v>
      </c>
      <c r="D1444" s="1">
        <v>1.3</v>
      </c>
      <c r="E1444" s="1" t="s">
        <v>116</v>
      </c>
      <c r="F1444" s="1" t="s">
        <v>116</v>
      </c>
      <c r="G1444" s="1" t="s">
        <v>116</v>
      </c>
      <c r="H1444" s="1" t="str">
        <f>VLOOKUP(F1444,Countries!$A$1:$B$161,2,0)</f>
        <v>Spain</v>
      </c>
    </row>
    <row r="1445" spans="1:8" x14ac:dyDescent="0.3">
      <c r="A1445" s="3">
        <v>46259.785902777781</v>
      </c>
      <c r="B1445" s="1">
        <v>1.99</v>
      </c>
      <c r="C1445" s="1">
        <v>1.7</v>
      </c>
      <c r="D1445" s="1">
        <v>0.34</v>
      </c>
      <c r="E1445" s="1" t="s">
        <v>150</v>
      </c>
      <c r="F1445" s="1" t="s">
        <v>150</v>
      </c>
      <c r="G1445" s="1" t="s">
        <v>150</v>
      </c>
      <c r="H1445" s="1" t="str">
        <f>VLOOKUP(F1445,Countries!$A$1:$B$161,2,0)</f>
        <v>El Salvador</v>
      </c>
    </row>
    <row r="1446" spans="1:8" x14ac:dyDescent="0.3">
      <c r="A1446" s="3">
        <v>46259.785324074073</v>
      </c>
      <c r="B1446" s="1">
        <v>10.62</v>
      </c>
      <c r="C1446" s="1">
        <v>9.1</v>
      </c>
      <c r="D1446" s="1">
        <v>0.73</v>
      </c>
      <c r="E1446" s="1" t="s">
        <v>113</v>
      </c>
      <c r="F1446" s="1" t="s">
        <v>113</v>
      </c>
      <c r="G1446" s="1" t="s">
        <v>113</v>
      </c>
      <c r="H1446" s="1" t="str">
        <f>VLOOKUP(F1446,Countries!$A$1:$B$161,2,0)</f>
        <v>United States of America</v>
      </c>
    </row>
    <row r="1447" spans="1:8" x14ac:dyDescent="0.3">
      <c r="A1447" s="3">
        <v>46259.780856481477</v>
      </c>
      <c r="B1447" s="1">
        <v>14.77</v>
      </c>
      <c r="C1447" s="1">
        <v>12.65</v>
      </c>
      <c r="D1447" s="1">
        <v>0.91</v>
      </c>
      <c r="E1447" s="1" t="s">
        <v>113</v>
      </c>
      <c r="F1447" s="1" t="s">
        <v>113</v>
      </c>
      <c r="G1447" s="1" t="s">
        <v>113</v>
      </c>
      <c r="H1447" s="1" t="str">
        <f>VLOOKUP(F1447,Countries!$A$1:$B$161,2,0)</f>
        <v>United States of America</v>
      </c>
    </row>
    <row r="1448" spans="1:8" x14ac:dyDescent="0.3">
      <c r="A1448" s="3">
        <v>46259.780092592591</v>
      </c>
      <c r="B1448" s="1">
        <v>7.58</v>
      </c>
      <c r="C1448" s="1">
        <v>6.49</v>
      </c>
      <c r="D1448" s="1">
        <v>0.48</v>
      </c>
      <c r="E1448" s="1" t="s">
        <v>116</v>
      </c>
      <c r="F1448" s="1" t="s">
        <v>116</v>
      </c>
      <c r="G1448" s="1" t="s">
        <v>116</v>
      </c>
      <c r="H1448" s="1" t="str">
        <f>VLOOKUP(F1448,Countries!$A$1:$B$161,2,0)</f>
        <v>Spain</v>
      </c>
    </row>
    <row r="1449" spans="1:8" x14ac:dyDescent="0.3">
      <c r="A1449" s="3">
        <v>46259.779178240737</v>
      </c>
      <c r="B1449" s="1">
        <v>10.62</v>
      </c>
      <c r="C1449" s="1">
        <v>9.1</v>
      </c>
      <c r="D1449" s="1">
        <v>0.73</v>
      </c>
      <c r="E1449" s="1" t="s">
        <v>113</v>
      </c>
      <c r="F1449" s="1" t="s">
        <v>113</v>
      </c>
      <c r="G1449" s="1" t="s">
        <v>113</v>
      </c>
      <c r="H1449" s="1" t="str">
        <f>VLOOKUP(F1449,Countries!$A$1:$B$161,2,0)</f>
        <v>United States of America</v>
      </c>
    </row>
    <row r="1450" spans="1:8" x14ac:dyDescent="0.3">
      <c r="A1450" s="3">
        <v>46259.775509259263</v>
      </c>
      <c r="B1450" s="1">
        <v>2.11</v>
      </c>
      <c r="C1450" s="1">
        <v>1.81</v>
      </c>
      <c r="D1450" s="1">
        <v>0.35</v>
      </c>
      <c r="E1450" s="1" t="s">
        <v>113</v>
      </c>
      <c r="F1450" s="1" t="s">
        <v>113</v>
      </c>
      <c r="G1450" s="1" t="s">
        <v>113</v>
      </c>
      <c r="H1450" s="1" t="str">
        <f>VLOOKUP(F1450,Countries!$A$1:$B$161,2,0)</f>
        <v>United States of America</v>
      </c>
    </row>
    <row r="1451" spans="1:8" x14ac:dyDescent="0.3">
      <c r="A1451" s="3">
        <v>46259.773946759262</v>
      </c>
      <c r="B1451" s="1">
        <v>10.85</v>
      </c>
      <c r="C1451" s="1">
        <v>9.2899999999999991</v>
      </c>
      <c r="D1451" s="1">
        <v>0.74</v>
      </c>
      <c r="E1451" s="1" t="s">
        <v>115</v>
      </c>
      <c r="F1451" s="1" t="s">
        <v>115</v>
      </c>
      <c r="G1451" s="1" t="s">
        <v>115</v>
      </c>
      <c r="H1451" s="1" t="str">
        <f>VLOOKUP(F1451,Countries!$A$1:$B$161,2,0)</f>
        <v>Switzerland</v>
      </c>
    </row>
    <row r="1452" spans="1:8" x14ac:dyDescent="0.3">
      <c r="A1452" s="3">
        <v>46259.768993055557</v>
      </c>
      <c r="B1452" s="1">
        <v>2.11</v>
      </c>
      <c r="C1452" s="1">
        <v>1.81</v>
      </c>
      <c r="D1452" s="1">
        <v>0.35</v>
      </c>
      <c r="E1452" s="1" t="s">
        <v>113</v>
      </c>
      <c r="F1452" s="1" t="s">
        <v>113</v>
      </c>
      <c r="G1452" s="1" t="s">
        <v>113</v>
      </c>
      <c r="H1452" s="1" t="str">
        <f>VLOOKUP(F1452,Countries!$A$1:$B$161,2,0)</f>
        <v>United States of America</v>
      </c>
    </row>
    <row r="1453" spans="1:8" x14ac:dyDescent="0.3">
      <c r="A1453" s="3">
        <v>46259.767048611109</v>
      </c>
      <c r="B1453" s="1">
        <v>3.32</v>
      </c>
      <c r="C1453" s="1">
        <v>2.84</v>
      </c>
      <c r="D1453" s="1">
        <v>0.4</v>
      </c>
      <c r="E1453" s="1" t="s">
        <v>121</v>
      </c>
      <c r="F1453" s="1" t="s">
        <v>121</v>
      </c>
      <c r="G1453" s="1" t="s">
        <v>121</v>
      </c>
      <c r="H1453" s="1" t="str">
        <f>VLOOKUP(F1453,Countries!$A$1:$B$161,2,0)</f>
        <v>Japan</v>
      </c>
    </row>
    <row r="1454" spans="1:8" x14ac:dyDescent="0.3">
      <c r="A1454" s="3">
        <v>46259.763483796298</v>
      </c>
      <c r="B1454" s="1">
        <v>1.99</v>
      </c>
      <c r="C1454" s="1">
        <v>1.7</v>
      </c>
      <c r="D1454" s="1">
        <v>0.34</v>
      </c>
      <c r="E1454" s="1" t="s">
        <v>143</v>
      </c>
      <c r="F1454" s="1" t="s">
        <v>143</v>
      </c>
      <c r="G1454" s="1" t="s">
        <v>143</v>
      </c>
      <c r="H1454" s="1" t="str">
        <f>VLOOKUP(F1454,Countries!$A$1:$B$161,2,0)</f>
        <v>United Arab Emirates</v>
      </c>
    </row>
    <row r="1455" spans="1:8" x14ac:dyDescent="0.3">
      <c r="A1455" s="3">
        <v>46259.750590277778</v>
      </c>
      <c r="B1455" s="1">
        <v>17.010000000000002</v>
      </c>
      <c r="C1455" s="1">
        <v>14.58</v>
      </c>
      <c r="D1455" s="1">
        <v>1.01</v>
      </c>
      <c r="E1455" s="1" t="s">
        <v>113</v>
      </c>
      <c r="F1455" s="1" t="s">
        <v>113</v>
      </c>
      <c r="G1455" s="1" t="s">
        <v>113</v>
      </c>
      <c r="H1455" s="1" t="str">
        <f>VLOOKUP(F1455,Countries!$A$1:$B$161,2,0)</f>
        <v>United States of America</v>
      </c>
    </row>
    <row r="1456" spans="1:8" x14ac:dyDescent="0.3">
      <c r="A1456" s="3">
        <v>46259.745358796303</v>
      </c>
      <c r="B1456" s="1">
        <v>6.37</v>
      </c>
      <c r="C1456" s="1">
        <v>5.46</v>
      </c>
      <c r="D1456" s="1">
        <v>0.54</v>
      </c>
      <c r="E1456" s="1" t="s">
        <v>113</v>
      </c>
      <c r="F1456" s="1" t="s">
        <v>113</v>
      </c>
      <c r="G1456" s="1" t="s">
        <v>113</v>
      </c>
      <c r="H1456" s="1" t="str">
        <f>VLOOKUP(F1456,Countries!$A$1:$B$161,2,0)</f>
        <v>United States of America</v>
      </c>
    </row>
    <row r="1457" spans="1:8" x14ac:dyDescent="0.3">
      <c r="A1457" s="3">
        <v>46259.744456018518</v>
      </c>
      <c r="B1457" s="1">
        <v>7.58</v>
      </c>
      <c r="C1457" s="1">
        <v>6.5</v>
      </c>
      <c r="D1457" s="1">
        <v>0.5</v>
      </c>
      <c r="E1457" s="1" t="s">
        <v>116</v>
      </c>
      <c r="F1457" s="1" t="s">
        <v>116</v>
      </c>
      <c r="G1457" s="1" t="s">
        <v>116</v>
      </c>
      <c r="H1457" s="1" t="str">
        <f>VLOOKUP(F1457,Countries!$A$1:$B$161,2,0)</f>
        <v>Spain</v>
      </c>
    </row>
    <row r="1458" spans="1:8" x14ac:dyDescent="0.3">
      <c r="A1458" s="3">
        <v>46259.739629629628</v>
      </c>
      <c r="B1458" s="1">
        <v>6.37</v>
      </c>
      <c r="C1458" s="1">
        <v>5.46</v>
      </c>
      <c r="D1458" s="1">
        <v>0.54</v>
      </c>
      <c r="E1458" s="1" t="s">
        <v>113</v>
      </c>
      <c r="F1458" s="1" t="s">
        <v>113</v>
      </c>
      <c r="G1458" s="1" t="s">
        <v>113</v>
      </c>
      <c r="H1458" s="1" t="str">
        <f>VLOOKUP(F1458,Countries!$A$1:$B$161,2,0)</f>
        <v>United States of America</v>
      </c>
    </row>
    <row r="1459" spans="1:8" x14ac:dyDescent="0.3">
      <c r="A1459" s="3">
        <v>46259.726863425924</v>
      </c>
      <c r="B1459" s="1">
        <v>2.99</v>
      </c>
      <c r="C1459" s="1">
        <v>2.56</v>
      </c>
      <c r="D1459" s="1">
        <v>0.38</v>
      </c>
      <c r="E1459" s="1" t="s">
        <v>135</v>
      </c>
      <c r="F1459" s="1" t="s">
        <v>135</v>
      </c>
      <c r="G1459" s="1" t="s">
        <v>135</v>
      </c>
      <c r="H1459" s="1" t="str">
        <f>VLOOKUP(F1459,Countries!$A$1:$B$161,2,0)</f>
        <v>Kuwait</v>
      </c>
    </row>
    <row r="1460" spans="1:8" x14ac:dyDescent="0.3">
      <c r="A1460" s="3">
        <v>46259.719259259262</v>
      </c>
      <c r="B1460" s="1">
        <v>36.96</v>
      </c>
      <c r="C1460" s="1">
        <v>31.67</v>
      </c>
      <c r="D1460" s="1">
        <v>1.91</v>
      </c>
      <c r="E1460" s="1" t="s">
        <v>113</v>
      </c>
      <c r="F1460" s="1" t="s">
        <v>113</v>
      </c>
      <c r="G1460" s="1" t="s">
        <v>113</v>
      </c>
      <c r="H1460" s="1" t="str">
        <f>VLOOKUP(F1460,Countries!$A$1:$B$161,2,0)</f>
        <v>United States of America</v>
      </c>
    </row>
    <row r="1461" spans="1:8" x14ac:dyDescent="0.3">
      <c r="A1461" s="3">
        <v>46259.715798611112</v>
      </c>
      <c r="B1461" s="1">
        <v>7.98</v>
      </c>
      <c r="C1461" s="1">
        <v>6.84</v>
      </c>
      <c r="D1461" s="1">
        <v>0.61</v>
      </c>
      <c r="E1461" s="1" t="s">
        <v>152</v>
      </c>
      <c r="F1461" s="1" t="s">
        <v>152</v>
      </c>
      <c r="G1461" s="1" t="s">
        <v>152</v>
      </c>
      <c r="H1461" s="1" t="str">
        <f>VLOOKUP(F1461,Countries!$A$1:$B$161,2,0)</f>
        <v>Singapore</v>
      </c>
    </row>
    <row r="1462" spans="1:8" x14ac:dyDescent="0.3">
      <c r="A1462" s="3">
        <v>46259.706979166673</v>
      </c>
      <c r="B1462" s="1">
        <v>14.77</v>
      </c>
      <c r="C1462" s="1">
        <v>12.65</v>
      </c>
      <c r="D1462" s="1">
        <v>0.91</v>
      </c>
      <c r="E1462" s="1" t="s">
        <v>113</v>
      </c>
      <c r="F1462" s="1" t="s">
        <v>113</v>
      </c>
      <c r="G1462" s="1" t="s">
        <v>113</v>
      </c>
      <c r="H1462" s="1" t="str">
        <f>VLOOKUP(F1462,Countries!$A$1:$B$161,2,0)</f>
        <v>United States of America</v>
      </c>
    </row>
    <row r="1463" spans="1:8" x14ac:dyDescent="0.3">
      <c r="A1463" s="3">
        <v>46259.6950462963</v>
      </c>
      <c r="B1463" s="1">
        <v>17.010000000000002</v>
      </c>
      <c r="C1463" s="1">
        <v>14.57</v>
      </c>
      <c r="D1463" s="1">
        <v>1.01</v>
      </c>
      <c r="E1463" s="1" t="s">
        <v>113</v>
      </c>
      <c r="F1463" s="1" t="s">
        <v>113</v>
      </c>
      <c r="G1463" s="1" t="s">
        <v>113</v>
      </c>
      <c r="H1463" s="1" t="str">
        <f>VLOOKUP(F1463,Countries!$A$1:$B$161,2,0)</f>
        <v>United States of America</v>
      </c>
    </row>
    <row r="1464" spans="1:8" x14ac:dyDescent="0.3">
      <c r="A1464" s="3">
        <v>46259.694155092591</v>
      </c>
      <c r="B1464" s="1">
        <v>6.37</v>
      </c>
      <c r="C1464" s="1">
        <v>5.46</v>
      </c>
      <c r="D1464" s="1">
        <v>0.54</v>
      </c>
      <c r="E1464" s="1" t="s">
        <v>113</v>
      </c>
      <c r="F1464" s="1" t="s">
        <v>113</v>
      </c>
      <c r="G1464" s="1" t="s">
        <v>113</v>
      </c>
      <c r="H1464" s="1" t="str">
        <f>VLOOKUP(F1464,Countries!$A$1:$B$161,2,0)</f>
        <v>United States of America</v>
      </c>
    </row>
    <row r="1465" spans="1:8" x14ac:dyDescent="0.3">
      <c r="A1465" s="3">
        <v>46259.688738425917</v>
      </c>
      <c r="B1465" s="1">
        <v>10.62</v>
      </c>
      <c r="C1465" s="1">
        <v>9.1</v>
      </c>
      <c r="D1465" s="1">
        <v>0.73</v>
      </c>
      <c r="E1465" s="1" t="s">
        <v>113</v>
      </c>
      <c r="F1465" s="1" t="s">
        <v>113</v>
      </c>
      <c r="G1465" s="1" t="s">
        <v>113</v>
      </c>
      <c r="H1465" s="1" t="str">
        <f>VLOOKUP(F1465,Countries!$A$1:$B$161,2,0)</f>
        <v>United States of America</v>
      </c>
    </row>
    <row r="1466" spans="1:8" x14ac:dyDescent="0.3">
      <c r="A1466" s="3">
        <v>46259.685254629629</v>
      </c>
      <c r="B1466" s="1">
        <v>14.77</v>
      </c>
      <c r="C1466" s="1">
        <v>12.65</v>
      </c>
      <c r="D1466" s="1">
        <v>0.91</v>
      </c>
      <c r="E1466" s="1" t="s">
        <v>113</v>
      </c>
      <c r="F1466" s="1" t="s">
        <v>113</v>
      </c>
      <c r="G1466" s="1" t="s">
        <v>113</v>
      </c>
      <c r="H1466" s="1" t="str">
        <f>VLOOKUP(F1466,Countries!$A$1:$B$161,2,0)</f>
        <v>United States of America</v>
      </c>
    </row>
    <row r="1467" spans="1:8" x14ac:dyDescent="0.3">
      <c r="A1467" s="3">
        <v>46259.671782407408</v>
      </c>
      <c r="B1467" s="1">
        <v>6.37</v>
      </c>
      <c r="C1467" s="1">
        <v>5.46</v>
      </c>
      <c r="D1467" s="1">
        <v>0.54</v>
      </c>
      <c r="E1467" s="1" t="s">
        <v>113</v>
      </c>
      <c r="F1467" s="1" t="s">
        <v>113</v>
      </c>
      <c r="G1467" s="1" t="s">
        <v>113</v>
      </c>
      <c r="H1467" s="1" t="str">
        <f>VLOOKUP(F1467,Countries!$A$1:$B$161,2,0)</f>
        <v>United States of America</v>
      </c>
    </row>
    <row r="1468" spans="1:8" x14ac:dyDescent="0.3">
      <c r="A1468" s="3">
        <v>46259.656307870369</v>
      </c>
      <c r="B1468" s="1">
        <v>6.37</v>
      </c>
      <c r="C1468" s="1">
        <v>5.46</v>
      </c>
      <c r="D1468" s="1">
        <v>0.54</v>
      </c>
      <c r="E1468" s="1" t="s">
        <v>171</v>
      </c>
      <c r="F1468" s="1" t="s">
        <v>171</v>
      </c>
      <c r="G1468" s="1" t="s">
        <v>171</v>
      </c>
      <c r="H1468" s="1" t="str">
        <f>VLOOKUP(F1468,Countries!$A$1:$B$161,2,0)</f>
        <v>Korea (South)</v>
      </c>
    </row>
    <row r="1469" spans="1:8" x14ac:dyDescent="0.3">
      <c r="A1469" s="3">
        <v>46259.653923611113</v>
      </c>
      <c r="B1469" s="1">
        <v>7.48</v>
      </c>
      <c r="C1469" s="1">
        <v>6.41</v>
      </c>
      <c r="D1469" s="1">
        <v>0.48</v>
      </c>
      <c r="E1469" s="1" t="s">
        <v>123</v>
      </c>
      <c r="F1469" s="1" t="s">
        <v>123</v>
      </c>
      <c r="G1469" s="1" t="s">
        <v>123</v>
      </c>
      <c r="H1469" s="1" t="str">
        <f>VLOOKUP(F1469,Countries!$A$1:$B$161,2,0)</f>
        <v>France</v>
      </c>
    </row>
    <row r="1470" spans="1:8" x14ac:dyDescent="0.3">
      <c r="A1470" s="3">
        <v>46259.641331018523</v>
      </c>
      <c r="B1470" s="1">
        <v>6.37</v>
      </c>
      <c r="C1470" s="1">
        <v>5.46</v>
      </c>
      <c r="D1470" s="1">
        <v>0.54</v>
      </c>
      <c r="E1470" s="1" t="s">
        <v>113</v>
      </c>
      <c r="F1470" s="1" t="s">
        <v>113</v>
      </c>
      <c r="G1470" s="1" t="s">
        <v>113</v>
      </c>
      <c r="H1470" s="1" t="str">
        <f>VLOOKUP(F1470,Countries!$A$1:$B$161,2,0)</f>
        <v>United States of America</v>
      </c>
    </row>
    <row r="1471" spans="1:8" x14ac:dyDescent="0.3">
      <c r="A1471" s="3">
        <v>46259.636493055557</v>
      </c>
      <c r="B1471" s="1">
        <v>6.37</v>
      </c>
      <c r="C1471" s="1">
        <v>5.46</v>
      </c>
      <c r="D1471" s="1">
        <v>0.54</v>
      </c>
      <c r="E1471" s="1" t="s">
        <v>113</v>
      </c>
      <c r="F1471" s="1" t="s">
        <v>113</v>
      </c>
      <c r="G1471" s="1" t="s">
        <v>113</v>
      </c>
      <c r="H1471" s="1" t="str">
        <f>VLOOKUP(F1471,Countries!$A$1:$B$161,2,0)</f>
        <v>United States of America</v>
      </c>
    </row>
    <row r="1472" spans="1:8" x14ac:dyDescent="0.3">
      <c r="A1472" s="3">
        <v>46259.619490740741</v>
      </c>
      <c r="B1472" s="1">
        <v>6.65</v>
      </c>
      <c r="C1472" s="1">
        <v>5.7</v>
      </c>
      <c r="D1472" s="1">
        <v>0.55000000000000004</v>
      </c>
      <c r="E1472" s="1" t="s">
        <v>130</v>
      </c>
      <c r="F1472" s="1" t="s">
        <v>130</v>
      </c>
      <c r="G1472" s="1" t="s">
        <v>130</v>
      </c>
      <c r="H1472" s="1" t="str">
        <f>VLOOKUP(F1472,Countries!$A$1:$B$161,2,0)</f>
        <v>Australia</v>
      </c>
    </row>
    <row r="1473" spans="1:8" x14ac:dyDescent="0.3">
      <c r="A1473" s="3">
        <v>46259.611724537041</v>
      </c>
      <c r="B1473" s="1">
        <v>22.18</v>
      </c>
      <c r="C1473" s="1">
        <v>19</v>
      </c>
      <c r="D1473" s="1">
        <v>1.25</v>
      </c>
      <c r="E1473" s="1" t="s">
        <v>113</v>
      </c>
      <c r="F1473" s="1" t="s">
        <v>113</v>
      </c>
      <c r="G1473" s="1" t="s">
        <v>113</v>
      </c>
      <c r="H1473" s="1" t="str">
        <f>VLOOKUP(F1473,Countries!$A$1:$B$161,2,0)</f>
        <v>United States of America</v>
      </c>
    </row>
    <row r="1474" spans="1:8" x14ac:dyDescent="0.3">
      <c r="A1474" s="3">
        <v>46259.59097222222</v>
      </c>
      <c r="B1474" s="1">
        <v>6.37</v>
      </c>
      <c r="C1474" s="1">
        <v>5.46</v>
      </c>
      <c r="D1474" s="1">
        <v>0.54</v>
      </c>
      <c r="E1474" s="1" t="s">
        <v>113</v>
      </c>
      <c r="F1474" s="1" t="s">
        <v>113</v>
      </c>
      <c r="G1474" s="1" t="s">
        <v>113</v>
      </c>
      <c r="H1474" s="1" t="str">
        <f>VLOOKUP(F1474,Countries!$A$1:$B$161,2,0)</f>
        <v>United States of America</v>
      </c>
    </row>
    <row r="1475" spans="1:8" x14ac:dyDescent="0.3">
      <c r="A1475" s="3">
        <v>46259.580706018518</v>
      </c>
      <c r="B1475" s="1">
        <v>6.37</v>
      </c>
      <c r="C1475" s="1">
        <v>5.46</v>
      </c>
      <c r="D1475" s="1">
        <v>0.54</v>
      </c>
      <c r="E1475" s="1" t="s">
        <v>113</v>
      </c>
      <c r="F1475" s="1" t="s">
        <v>113</v>
      </c>
      <c r="G1475" s="1" t="s">
        <v>113</v>
      </c>
      <c r="H1475" s="1" t="str">
        <f>VLOOKUP(F1475,Countries!$A$1:$B$161,2,0)</f>
        <v>United States of America</v>
      </c>
    </row>
    <row r="1476" spans="1:8" x14ac:dyDescent="0.3">
      <c r="A1476" s="3">
        <v>46259.569895833331</v>
      </c>
      <c r="B1476" s="1">
        <v>10.85</v>
      </c>
      <c r="C1476" s="1">
        <v>9.3000000000000007</v>
      </c>
      <c r="D1476" s="1">
        <v>0.74</v>
      </c>
      <c r="E1476" s="1" t="s">
        <v>115</v>
      </c>
      <c r="F1476" s="1" t="s">
        <v>115</v>
      </c>
      <c r="G1476" s="1" t="s">
        <v>115</v>
      </c>
      <c r="H1476" s="1" t="str">
        <f>VLOOKUP(F1476,Countries!$A$1:$B$161,2,0)</f>
        <v>Switzerland</v>
      </c>
    </row>
    <row r="1477" spans="1:8" x14ac:dyDescent="0.3">
      <c r="A1477" s="3">
        <v>46259.553935185177</v>
      </c>
      <c r="B1477" s="1">
        <v>6.37</v>
      </c>
      <c r="C1477" s="1">
        <v>5.46</v>
      </c>
      <c r="D1477" s="1">
        <v>0.54</v>
      </c>
      <c r="E1477" s="1" t="s">
        <v>113</v>
      </c>
      <c r="F1477" s="1" t="s">
        <v>113</v>
      </c>
      <c r="G1477" s="1" t="s">
        <v>113</v>
      </c>
      <c r="H1477" s="1" t="str">
        <f>VLOOKUP(F1477,Countries!$A$1:$B$161,2,0)</f>
        <v>United States of America</v>
      </c>
    </row>
    <row r="1478" spans="1:8" x14ac:dyDescent="0.3">
      <c r="A1478" s="3">
        <v>46259.542384259257</v>
      </c>
      <c r="B1478" s="1">
        <v>9.98</v>
      </c>
      <c r="C1478" s="1">
        <v>8.56</v>
      </c>
      <c r="D1478" s="1">
        <v>0.55000000000000004</v>
      </c>
      <c r="E1478" s="1" t="s">
        <v>123</v>
      </c>
      <c r="F1478" s="1" t="s">
        <v>123</v>
      </c>
      <c r="G1478" s="1" t="s">
        <v>123</v>
      </c>
      <c r="H1478" s="1" t="str">
        <f>VLOOKUP(F1478,Countries!$A$1:$B$161,2,0)</f>
        <v>France</v>
      </c>
    </row>
    <row r="1479" spans="1:8" x14ac:dyDescent="0.3">
      <c r="A1479" s="3">
        <v>46259.537847222222</v>
      </c>
      <c r="B1479" s="1">
        <v>11.35</v>
      </c>
      <c r="C1479" s="1">
        <v>9.73</v>
      </c>
      <c r="D1479" s="1">
        <v>0.76</v>
      </c>
      <c r="E1479" s="1" t="s">
        <v>114</v>
      </c>
      <c r="F1479" s="1" t="s">
        <v>114</v>
      </c>
      <c r="G1479" s="1" t="s">
        <v>114</v>
      </c>
      <c r="H1479" s="1" t="str">
        <f>VLOOKUP(F1479,Countries!$A$1:$B$161,2,0)</f>
        <v>Philippines</v>
      </c>
    </row>
    <row r="1480" spans="1:8" x14ac:dyDescent="0.3">
      <c r="A1480" s="3">
        <v>46259.527546296304</v>
      </c>
      <c r="B1480" s="1">
        <v>36.96</v>
      </c>
      <c r="C1480" s="1">
        <v>31.69</v>
      </c>
      <c r="D1480" s="1">
        <v>1.91</v>
      </c>
      <c r="E1480" s="1" t="s">
        <v>113</v>
      </c>
      <c r="F1480" s="1" t="s">
        <v>113</v>
      </c>
      <c r="G1480" s="1" t="s">
        <v>113</v>
      </c>
      <c r="H1480" s="1" t="str">
        <f>VLOOKUP(F1480,Countries!$A$1:$B$161,2,0)</f>
        <v>United States of America</v>
      </c>
    </row>
    <row r="1481" spans="1:8" x14ac:dyDescent="0.3">
      <c r="A1481" s="3">
        <v>46259.526805555557</v>
      </c>
      <c r="B1481" s="1">
        <v>14.77</v>
      </c>
      <c r="C1481" s="1">
        <v>12.67</v>
      </c>
      <c r="D1481" s="1">
        <v>0.91</v>
      </c>
      <c r="E1481" s="1" t="s">
        <v>113</v>
      </c>
      <c r="F1481" s="1" t="s">
        <v>113</v>
      </c>
      <c r="G1481" s="1" t="s">
        <v>113</v>
      </c>
      <c r="H1481" s="1" t="str">
        <f>VLOOKUP(F1481,Countries!$A$1:$B$161,2,0)</f>
        <v>United States of America</v>
      </c>
    </row>
    <row r="1482" spans="1:8" x14ac:dyDescent="0.3">
      <c r="A1482" s="3">
        <v>46259.516979166663</v>
      </c>
      <c r="B1482" s="1">
        <v>6.37</v>
      </c>
      <c r="C1482" s="1">
        <v>5.46</v>
      </c>
      <c r="D1482" s="1">
        <v>0.54</v>
      </c>
      <c r="E1482" s="1" t="s">
        <v>113</v>
      </c>
      <c r="F1482" s="1" t="s">
        <v>113</v>
      </c>
      <c r="G1482" s="1" t="s">
        <v>113</v>
      </c>
      <c r="H1482" s="1" t="str">
        <f>VLOOKUP(F1482,Countries!$A$1:$B$161,2,0)</f>
        <v>United States of America</v>
      </c>
    </row>
    <row r="1483" spans="1:8" x14ac:dyDescent="0.3">
      <c r="A1483" s="3">
        <v>46259.516863425917</v>
      </c>
      <c r="B1483" s="1">
        <v>14.77</v>
      </c>
      <c r="C1483" s="1">
        <v>12.67</v>
      </c>
      <c r="D1483" s="1">
        <v>0.91</v>
      </c>
      <c r="E1483" s="1" t="s">
        <v>113</v>
      </c>
      <c r="F1483" s="1" t="s">
        <v>113</v>
      </c>
      <c r="G1483" s="1" t="s">
        <v>113</v>
      </c>
      <c r="H1483" s="1" t="str">
        <f>VLOOKUP(F1483,Countries!$A$1:$B$161,2,0)</f>
        <v>United States of America</v>
      </c>
    </row>
    <row r="1484" spans="1:8" x14ac:dyDescent="0.3">
      <c r="A1484" s="3">
        <v>46259.513055555559</v>
      </c>
      <c r="B1484" s="1">
        <v>6.37</v>
      </c>
      <c r="C1484" s="1">
        <v>5.46</v>
      </c>
      <c r="D1484" s="1">
        <v>0.54</v>
      </c>
      <c r="E1484" s="1" t="s">
        <v>113</v>
      </c>
      <c r="F1484" s="1" t="s">
        <v>113</v>
      </c>
      <c r="G1484" s="1" t="s">
        <v>113</v>
      </c>
      <c r="H1484" s="1" t="str">
        <f>VLOOKUP(F1484,Countries!$A$1:$B$161,2,0)</f>
        <v>United States of America</v>
      </c>
    </row>
    <row r="1485" spans="1:8" x14ac:dyDescent="0.3">
      <c r="A1485" s="3">
        <v>46259.506863425922</v>
      </c>
      <c r="B1485" s="1">
        <v>14.77</v>
      </c>
      <c r="C1485" s="1">
        <v>12.67</v>
      </c>
      <c r="D1485" s="1">
        <v>0.91</v>
      </c>
      <c r="E1485" s="1" t="s">
        <v>113</v>
      </c>
      <c r="F1485" s="1" t="s">
        <v>113</v>
      </c>
      <c r="G1485" s="1" t="s">
        <v>113</v>
      </c>
      <c r="H1485" s="1" t="str">
        <f>VLOOKUP(F1485,Countries!$A$1:$B$161,2,0)</f>
        <v>United States of America</v>
      </c>
    </row>
    <row r="1486" spans="1:8" x14ac:dyDescent="0.3">
      <c r="A1486" s="3">
        <v>46259.504930555559</v>
      </c>
      <c r="B1486" s="1">
        <v>29.57</v>
      </c>
      <c r="C1486" s="1">
        <v>25.36</v>
      </c>
      <c r="D1486" s="1">
        <v>1.58</v>
      </c>
      <c r="E1486" s="1" t="s">
        <v>113</v>
      </c>
      <c r="F1486" s="1" t="s">
        <v>113</v>
      </c>
      <c r="G1486" s="1" t="s">
        <v>113</v>
      </c>
      <c r="H1486" s="1" t="str">
        <f>VLOOKUP(F1486,Countries!$A$1:$B$161,2,0)</f>
        <v>United States of America</v>
      </c>
    </row>
    <row r="1487" spans="1:8" x14ac:dyDescent="0.3">
      <c r="A1487" s="3">
        <v>46259.50440972222</v>
      </c>
      <c r="B1487" s="1">
        <v>14.77</v>
      </c>
      <c r="C1487" s="1">
        <v>12.67</v>
      </c>
      <c r="D1487" s="1">
        <v>0.91</v>
      </c>
      <c r="E1487" s="1" t="s">
        <v>113</v>
      </c>
      <c r="F1487" s="1" t="s">
        <v>113</v>
      </c>
      <c r="G1487" s="1" t="s">
        <v>113</v>
      </c>
      <c r="H1487" s="1" t="str">
        <f>VLOOKUP(F1487,Countries!$A$1:$B$161,2,0)</f>
        <v>United States of America</v>
      </c>
    </row>
    <row r="1488" spans="1:8" x14ac:dyDescent="0.3">
      <c r="A1488" s="3">
        <v>46259.493159722217</v>
      </c>
      <c r="B1488" s="1">
        <v>6.37</v>
      </c>
      <c r="C1488" s="1">
        <v>5.46</v>
      </c>
      <c r="D1488" s="1">
        <v>0.54</v>
      </c>
      <c r="E1488" s="1" t="s">
        <v>113</v>
      </c>
      <c r="F1488" s="1" t="s">
        <v>113</v>
      </c>
      <c r="G1488" s="1" t="s">
        <v>113</v>
      </c>
      <c r="H1488" s="1" t="str">
        <f>VLOOKUP(F1488,Countries!$A$1:$B$161,2,0)</f>
        <v>United States of America</v>
      </c>
    </row>
    <row r="1489" spans="1:8" x14ac:dyDescent="0.3">
      <c r="A1489" s="3">
        <v>46259.490219907413</v>
      </c>
      <c r="B1489" s="1">
        <v>6.37</v>
      </c>
      <c r="C1489" s="1">
        <v>5.46</v>
      </c>
      <c r="D1489" s="1">
        <v>0.54</v>
      </c>
      <c r="E1489" s="1" t="s">
        <v>113</v>
      </c>
      <c r="F1489" s="1" t="s">
        <v>113</v>
      </c>
      <c r="G1489" s="1" t="s">
        <v>113</v>
      </c>
      <c r="H1489" s="1" t="str">
        <f>VLOOKUP(F1489,Countries!$A$1:$B$161,2,0)</f>
        <v>United States of America</v>
      </c>
    </row>
    <row r="1490" spans="1:8" x14ac:dyDescent="0.3">
      <c r="A1490" s="3">
        <v>46259.487870370373</v>
      </c>
      <c r="B1490" s="1">
        <v>2.11</v>
      </c>
      <c r="C1490" s="1">
        <v>1.81</v>
      </c>
      <c r="D1490" s="1">
        <v>0.35</v>
      </c>
      <c r="E1490" s="1" t="s">
        <v>113</v>
      </c>
      <c r="F1490" s="1" t="s">
        <v>113</v>
      </c>
      <c r="G1490" s="1" t="s">
        <v>113</v>
      </c>
      <c r="H1490" s="1" t="str">
        <f>VLOOKUP(F1490,Countries!$A$1:$B$161,2,0)</f>
        <v>United States of America</v>
      </c>
    </row>
    <row r="1491" spans="1:8" x14ac:dyDescent="0.3">
      <c r="A1491" s="3">
        <v>46259.466666666667</v>
      </c>
      <c r="B1491" s="1">
        <v>6.65</v>
      </c>
      <c r="C1491" s="1">
        <v>5.7</v>
      </c>
      <c r="D1491" s="1">
        <v>0.55000000000000004</v>
      </c>
      <c r="E1491" s="1" t="s">
        <v>130</v>
      </c>
      <c r="F1491" s="1" t="s">
        <v>130</v>
      </c>
      <c r="G1491" s="1" t="s">
        <v>130</v>
      </c>
      <c r="H1491" s="1" t="str">
        <f>VLOOKUP(F1491,Countries!$A$1:$B$161,2,0)</f>
        <v>Australia</v>
      </c>
    </row>
    <row r="1492" spans="1:8" x14ac:dyDescent="0.3">
      <c r="A1492" s="3">
        <v>46259.442476851851</v>
      </c>
      <c r="B1492" s="1">
        <v>6.37</v>
      </c>
      <c r="C1492" s="1">
        <v>5.46</v>
      </c>
      <c r="D1492" s="1">
        <v>0.54</v>
      </c>
      <c r="E1492" s="1" t="s">
        <v>113</v>
      </c>
      <c r="F1492" s="1" t="s">
        <v>113</v>
      </c>
      <c r="G1492" s="1" t="s">
        <v>113</v>
      </c>
      <c r="H1492" s="1" t="str">
        <f>VLOOKUP(F1492,Countries!$A$1:$B$161,2,0)</f>
        <v>United States of America</v>
      </c>
    </row>
    <row r="1493" spans="1:8" x14ac:dyDescent="0.3">
      <c r="A1493" s="3">
        <v>46259.429016203707</v>
      </c>
      <c r="B1493" s="1">
        <v>4.24</v>
      </c>
      <c r="C1493" s="1">
        <v>3.63</v>
      </c>
      <c r="D1493" s="1">
        <v>0.44</v>
      </c>
      <c r="E1493" s="1" t="s">
        <v>113</v>
      </c>
      <c r="F1493" s="1" t="s">
        <v>113</v>
      </c>
      <c r="G1493" s="1" t="s">
        <v>113</v>
      </c>
      <c r="H1493" s="1" t="str">
        <f>VLOOKUP(F1493,Countries!$A$1:$B$161,2,0)</f>
        <v>United States of America</v>
      </c>
    </row>
    <row r="1494" spans="1:8" x14ac:dyDescent="0.3">
      <c r="A1494" s="3">
        <v>46259.427060185182</v>
      </c>
      <c r="B1494" s="1">
        <v>10.85</v>
      </c>
      <c r="C1494" s="1">
        <v>9.3000000000000007</v>
      </c>
      <c r="D1494" s="1">
        <v>0.74</v>
      </c>
      <c r="E1494" s="1" t="s">
        <v>115</v>
      </c>
      <c r="F1494" s="1" t="s">
        <v>115</v>
      </c>
      <c r="G1494" s="1" t="s">
        <v>115</v>
      </c>
      <c r="H1494" s="1" t="str">
        <f>VLOOKUP(F1494,Countries!$A$1:$B$161,2,0)</f>
        <v>Switzerland</v>
      </c>
    </row>
    <row r="1495" spans="1:8" x14ac:dyDescent="0.3">
      <c r="A1495" s="3">
        <v>46259.398090277777</v>
      </c>
      <c r="B1495" s="1">
        <v>5.99</v>
      </c>
      <c r="C1495" s="1">
        <v>5.13</v>
      </c>
      <c r="D1495" s="1">
        <v>0.52</v>
      </c>
      <c r="E1495" s="1" t="s">
        <v>122</v>
      </c>
      <c r="F1495" s="1" t="s">
        <v>122</v>
      </c>
      <c r="G1495" s="1" t="s">
        <v>122</v>
      </c>
      <c r="H1495" s="1" t="str">
        <f>VLOOKUP(F1495,Countries!$A$1:$B$161,2,0)</f>
        <v>Myanmar</v>
      </c>
    </row>
    <row r="1496" spans="1:8" x14ac:dyDescent="0.3">
      <c r="A1496" s="3">
        <v>46259.395266203697</v>
      </c>
      <c r="B1496" s="1">
        <v>6.3</v>
      </c>
      <c r="C1496" s="1">
        <v>5.4</v>
      </c>
      <c r="D1496" s="1">
        <v>0.54</v>
      </c>
      <c r="E1496" s="1" t="s">
        <v>132</v>
      </c>
      <c r="F1496" s="1" t="s">
        <v>132</v>
      </c>
      <c r="G1496" s="1" t="s">
        <v>132</v>
      </c>
      <c r="H1496" s="1" t="str">
        <f>VLOOKUP(F1496,Countries!$A$1:$B$161,2,0)</f>
        <v>Canada</v>
      </c>
    </row>
    <row r="1497" spans="1:8" x14ac:dyDescent="0.3">
      <c r="A1497" s="3">
        <v>46259.38380787037</v>
      </c>
      <c r="B1497" s="1">
        <v>7.04</v>
      </c>
      <c r="C1497" s="1">
        <v>6.03</v>
      </c>
      <c r="D1497" s="1">
        <v>0.56999999999999995</v>
      </c>
      <c r="E1497" s="1" t="s">
        <v>128</v>
      </c>
      <c r="F1497" s="1" t="s">
        <v>128</v>
      </c>
      <c r="G1497" s="1" t="s">
        <v>128</v>
      </c>
      <c r="H1497" s="1" t="str">
        <f>VLOOKUP(F1497,Countries!$A$1:$B$161,2,0)</f>
        <v>South Africa</v>
      </c>
    </row>
    <row r="1498" spans="1:8" x14ac:dyDescent="0.3">
      <c r="A1498" s="3">
        <v>46259.377627314818</v>
      </c>
      <c r="B1498" s="1">
        <v>2.99</v>
      </c>
      <c r="C1498" s="1">
        <v>2.56</v>
      </c>
      <c r="D1498" s="1">
        <v>0.38</v>
      </c>
      <c r="E1498" s="1" t="s">
        <v>113</v>
      </c>
      <c r="F1498" s="1" t="s">
        <v>113</v>
      </c>
      <c r="G1498" s="1" t="s">
        <v>113</v>
      </c>
      <c r="H1498" s="1" t="str">
        <f>VLOOKUP(F1498,Countries!$A$1:$B$161,2,0)</f>
        <v>United States of America</v>
      </c>
    </row>
    <row r="1499" spans="1:8" x14ac:dyDescent="0.3">
      <c r="A1499" s="3">
        <v>46259.364212962973</v>
      </c>
      <c r="B1499" s="1">
        <v>2.11</v>
      </c>
      <c r="C1499" s="1">
        <v>1.81</v>
      </c>
      <c r="D1499" s="1">
        <v>0.35</v>
      </c>
      <c r="E1499" s="1" t="s">
        <v>113</v>
      </c>
      <c r="F1499" s="1" t="s">
        <v>113</v>
      </c>
      <c r="G1499" s="1" t="s">
        <v>113</v>
      </c>
      <c r="H1499" s="1" t="str">
        <f>VLOOKUP(F1499,Countries!$A$1:$B$161,2,0)</f>
        <v>United States of America</v>
      </c>
    </row>
    <row r="1500" spans="1:8" x14ac:dyDescent="0.3">
      <c r="A1500" s="3">
        <v>46259.363425925927</v>
      </c>
      <c r="B1500" s="1">
        <v>11.22</v>
      </c>
      <c r="C1500" s="1">
        <v>9.6199999999999992</v>
      </c>
      <c r="D1500" s="1">
        <v>0.75</v>
      </c>
      <c r="E1500" s="1" t="s">
        <v>149</v>
      </c>
      <c r="F1500" s="1" t="s">
        <v>149</v>
      </c>
      <c r="G1500" s="1" t="s">
        <v>149</v>
      </c>
      <c r="H1500" s="1" t="str">
        <f>VLOOKUP(F1500,Countries!$A$1:$B$161,2,0)</f>
        <v>Indonesia</v>
      </c>
    </row>
    <row r="1501" spans="1:8" x14ac:dyDescent="0.3">
      <c r="A1501" s="3">
        <v>46259.344537037039</v>
      </c>
      <c r="B1501" s="1">
        <v>1.99</v>
      </c>
      <c r="C1501" s="1">
        <v>1.71</v>
      </c>
      <c r="D1501" s="1">
        <v>0.34</v>
      </c>
      <c r="E1501" s="1" t="s">
        <v>191</v>
      </c>
      <c r="F1501" s="1" t="s">
        <v>191</v>
      </c>
      <c r="G1501" s="1" t="s">
        <v>191</v>
      </c>
      <c r="H1501" s="1" t="str">
        <f>VLOOKUP(F1501,Countries!$A$1:$B$161,2,0)</f>
        <v>Uganda</v>
      </c>
    </row>
    <row r="1502" spans="1:8" x14ac:dyDescent="0.3">
      <c r="A1502" s="3">
        <v>46259.333472222221</v>
      </c>
      <c r="B1502" s="1">
        <v>6.37</v>
      </c>
      <c r="C1502" s="1">
        <v>5.47</v>
      </c>
      <c r="D1502" s="1">
        <v>0.54</v>
      </c>
      <c r="E1502" s="1" t="s">
        <v>113</v>
      </c>
      <c r="F1502" s="1" t="s">
        <v>113</v>
      </c>
      <c r="G1502" s="1" t="s">
        <v>113</v>
      </c>
      <c r="H1502" s="1" t="str">
        <f>VLOOKUP(F1502,Countries!$A$1:$B$161,2,0)</f>
        <v>United States of America</v>
      </c>
    </row>
    <row r="1503" spans="1:8" x14ac:dyDescent="0.3">
      <c r="A1503" s="3">
        <v>46259.331770833327</v>
      </c>
      <c r="B1503" s="1">
        <v>12.33</v>
      </c>
      <c r="C1503" s="1">
        <v>10.58</v>
      </c>
      <c r="D1503" s="1">
        <v>0.62</v>
      </c>
      <c r="E1503" s="1" t="s">
        <v>113</v>
      </c>
      <c r="F1503" s="1" t="s">
        <v>113</v>
      </c>
      <c r="G1503" s="1" t="s">
        <v>113</v>
      </c>
      <c r="H1503" s="1" t="str">
        <f>VLOOKUP(F1503,Countries!$A$1:$B$161,2,0)</f>
        <v>United States of America</v>
      </c>
    </row>
    <row r="1504" spans="1:8" x14ac:dyDescent="0.3">
      <c r="A1504" s="3">
        <v>46259.331597222219</v>
      </c>
      <c r="B1504" s="1">
        <v>30.86</v>
      </c>
      <c r="C1504" s="1">
        <v>26.48</v>
      </c>
      <c r="D1504" s="1">
        <v>1.18</v>
      </c>
      <c r="E1504" s="1" t="s">
        <v>113</v>
      </c>
      <c r="F1504" s="1" t="s">
        <v>113</v>
      </c>
      <c r="G1504" s="1" t="s">
        <v>113</v>
      </c>
      <c r="H1504" s="1" t="str">
        <f>VLOOKUP(F1504,Countries!$A$1:$B$161,2,0)</f>
        <v>United States of America</v>
      </c>
    </row>
    <row r="1505" spans="1:8" x14ac:dyDescent="0.3">
      <c r="A1505" s="3">
        <v>46259.327013888891</v>
      </c>
      <c r="B1505" s="1">
        <v>43.43</v>
      </c>
      <c r="C1505" s="1">
        <v>37.270000000000003</v>
      </c>
      <c r="D1505" s="1">
        <v>1.93</v>
      </c>
      <c r="E1505" s="1" t="s">
        <v>119</v>
      </c>
      <c r="F1505" s="1" t="s">
        <v>119</v>
      </c>
      <c r="G1505" s="1" t="s">
        <v>119</v>
      </c>
      <c r="H1505" s="1" t="str">
        <f>VLOOKUP(F1505,Countries!$A$1:$B$161,2,0)</f>
        <v>Great Britain (United Kingdom)</v>
      </c>
    </row>
    <row r="1506" spans="1:8" x14ac:dyDescent="0.3">
      <c r="A1506" s="3">
        <v>46259.32503472222</v>
      </c>
      <c r="B1506" s="1">
        <v>6.37</v>
      </c>
      <c r="C1506" s="1">
        <v>5.47</v>
      </c>
      <c r="D1506" s="1">
        <v>0.54</v>
      </c>
      <c r="E1506" s="1" t="s">
        <v>113</v>
      </c>
      <c r="F1506" s="1" t="s">
        <v>113</v>
      </c>
      <c r="G1506" s="1" t="s">
        <v>113</v>
      </c>
      <c r="H1506" s="1" t="str">
        <f>VLOOKUP(F1506,Countries!$A$1:$B$161,2,0)</f>
        <v>United States of America</v>
      </c>
    </row>
    <row r="1507" spans="1:8" x14ac:dyDescent="0.3">
      <c r="A1507" s="3">
        <v>46259.322812500002</v>
      </c>
      <c r="B1507" s="1">
        <v>12.33</v>
      </c>
      <c r="C1507" s="1">
        <v>10.58</v>
      </c>
      <c r="D1507" s="1">
        <v>0.62</v>
      </c>
      <c r="E1507" s="1" t="s">
        <v>113</v>
      </c>
      <c r="F1507" s="1" t="s">
        <v>113</v>
      </c>
      <c r="G1507" s="1" t="s">
        <v>113</v>
      </c>
      <c r="H1507" s="1" t="str">
        <f>VLOOKUP(F1507,Countries!$A$1:$B$161,2,0)</f>
        <v>United States of America</v>
      </c>
    </row>
    <row r="1508" spans="1:8" x14ac:dyDescent="0.3">
      <c r="A1508" s="3">
        <v>46259.321134259262</v>
      </c>
      <c r="B1508" s="1">
        <v>3.18</v>
      </c>
      <c r="C1508" s="1">
        <v>2.73</v>
      </c>
      <c r="D1508" s="1">
        <v>0.39</v>
      </c>
      <c r="E1508" s="1" t="s">
        <v>113</v>
      </c>
      <c r="F1508" s="1" t="s">
        <v>113</v>
      </c>
      <c r="G1508" s="1" t="s">
        <v>113</v>
      </c>
      <c r="H1508" s="1" t="str">
        <f>VLOOKUP(F1508,Countries!$A$1:$B$161,2,0)</f>
        <v>United States of America</v>
      </c>
    </row>
    <row r="1509" spans="1:8" x14ac:dyDescent="0.3">
      <c r="A1509" s="3">
        <v>46259.305671296293</v>
      </c>
      <c r="B1509" s="1">
        <v>43.43</v>
      </c>
      <c r="C1509" s="1">
        <v>37.270000000000003</v>
      </c>
      <c r="D1509" s="1">
        <v>1.93</v>
      </c>
      <c r="E1509" s="1" t="s">
        <v>119</v>
      </c>
      <c r="F1509" s="1" t="s">
        <v>119</v>
      </c>
      <c r="G1509" s="1" t="s">
        <v>119</v>
      </c>
      <c r="H1509" s="1" t="str">
        <f>VLOOKUP(F1509,Countries!$A$1:$B$161,2,0)</f>
        <v>Great Britain (United Kingdom)</v>
      </c>
    </row>
    <row r="1510" spans="1:8" x14ac:dyDescent="0.3">
      <c r="A1510" s="3">
        <v>46259.299571759257</v>
      </c>
      <c r="B1510" s="1">
        <v>6.37</v>
      </c>
      <c r="C1510" s="1">
        <v>5.47</v>
      </c>
      <c r="D1510" s="1">
        <v>0.5</v>
      </c>
      <c r="E1510" s="1" t="s">
        <v>119</v>
      </c>
      <c r="F1510" s="1" t="s">
        <v>119</v>
      </c>
      <c r="G1510" s="1" t="s">
        <v>119</v>
      </c>
      <c r="H1510" s="1" t="str">
        <f>VLOOKUP(F1510,Countries!$A$1:$B$161,2,0)</f>
        <v>Great Britain (United Kingdom)</v>
      </c>
    </row>
    <row r="1511" spans="1:8" x14ac:dyDescent="0.3">
      <c r="A1511" s="3">
        <v>46259.295439814807</v>
      </c>
      <c r="B1511" s="1">
        <v>14.62</v>
      </c>
      <c r="C1511" s="1">
        <v>12.55</v>
      </c>
      <c r="D1511" s="1">
        <v>0.91</v>
      </c>
      <c r="E1511" s="1" t="s">
        <v>132</v>
      </c>
      <c r="F1511" s="1" t="s">
        <v>132</v>
      </c>
      <c r="G1511" s="1" t="s">
        <v>132</v>
      </c>
      <c r="H1511" s="1" t="str">
        <f>VLOOKUP(F1511,Countries!$A$1:$B$161,2,0)</f>
        <v>Canada</v>
      </c>
    </row>
    <row r="1512" spans="1:8" x14ac:dyDescent="0.3">
      <c r="A1512" s="3">
        <v>46259.295393518521</v>
      </c>
      <c r="B1512" s="1">
        <v>2.99</v>
      </c>
      <c r="C1512" s="1">
        <v>2.57</v>
      </c>
      <c r="D1512" s="1">
        <v>0.38</v>
      </c>
      <c r="E1512" s="1" t="s">
        <v>114</v>
      </c>
      <c r="F1512" s="1" t="s">
        <v>114</v>
      </c>
      <c r="G1512" s="1" t="s">
        <v>114</v>
      </c>
      <c r="H1512" s="1" t="str">
        <f>VLOOKUP(F1512,Countries!$A$1:$B$161,2,0)</f>
        <v>Philippines</v>
      </c>
    </row>
    <row r="1513" spans="1:8" x14ac:dyDescent="0.3">
      <c r="A1513" s="3">
        <v>46259.294363425928</v>
      </c>
      <c r="B1513" s="1">
        <v>14.63</v>
      </c>
      <c r="C1513" s="1">
        <v>12.55</v>
      </c>
      <c r="D1513" s="1">
        <v>0.91</v>
      </c>
      <c r="E1513" s="1" t="s">
        <v>132</v>
      </c>
      <c r="F1513" s="1" t="s">
        <v>132</v>
      </c>
      <c r="G1513" s="1" t="s">
        <v>132</v>
      </c>
      <c r="H1513" s="1" t="str">
        <f>VLOOKUP(F1513,Countries!$A$1:$B$161,2,0)</f>
        <v>Canada</v>
      </c>
    </row>
    <row r="1514" spans="1:8" x14ac:dyDescent="0.3">
      <c r="A1514" s="3">
        <v>46259.293020833327</v>
      </c>
      <c r="B1514" s="1">
        <v>6.37</v>
      </c>
      <c r="C1514" s="1">
        <v>5.47</v>
      </c>
      <c r="D1514" s="1">
        <v>0.54</v>
      </c>
      <c r="E1514" s="1" t="s">
        <v>113</v>
      </c>
      <c r="F1514" s="1" t="s">
        <v>113</v>
      </c>
      <c r="G1514" s="1" t="s">
        <v>113</v>
      </c>
      <c r="H1514" s="1" t="str">
        <f>VLOOKUP(F1514,Countries!$A$1:$B$161,2,0)</f>
        <v>United States of America</v>
      </c>
    </row>
    <row r="1515" spans="1:8" x14ac:dyDescent="0.3">
      <c r="A1515" s="3">
        <v>46259.292210648149</v>
      </c>
      <c r="B1515" s="1">
        <v>6.65</v>
      </c>
      <c r="C1515" s="1">
        <v>5.71</v>
      </c>
      <c r="D1515" s="1">
        <v>0.55000000000000004</v>
      </c>
      <c r="E1515" s="1" t="s">
        <v>121</v>
      </c>
      <c r="F1515" s="1" t="s">
        <v>121</v>
      </c>
      <c r="G1515" s="1" t="s">
        <v>121</v>
      </c>
      <c r="H1515" s="1" t="str">
        <f>VLOOKUP(F1515,Countries!$A$1:$B$161,2,0)</f>
        <v>Japan</v>
      </c>
    </row>
    <row r="1516" spans="1:8" x14ac:dyDescent="0.3">
      <c r="A1516" s="3">
        <v>46259.286493055559</v>
      </c>
      <c r="B1516" s="1">
        <v>6.37</v>
      </c>
      <c r="C1516" s="1">
        <v>5.47</v>
      </c>
      <c r="D1516" s="1">
        <v>0.54</v>
      </c>
      <c r="E1516" s="1" t="s">
        <v>113</v>
      </c>
      <c r="F1516" s="1" t="s">
        <v>113</v>
      </c>
      <c r="G1516" s="1" t="s">
        <v>113</v>
      </c>
      <c r="H1516" s="1" t="str">
        <f>VLOOKUP(F1516,Countries!$A$1:$B$161,2,0)</f>
        <v>United States of America</v>
      </c>
    </row>
    <row r="1517" spans="1:8" x14ac:dyDescent="0.3">
      <c r="A1517" s="3">
        <v>46259.276817129627</v>
      </c>
      <c r="B1517" s="1">
        <v>15.98</v>
      </c>
      <c r="C1517" s="1">
        <v>13.71</v>
      </c>
      <c r="D1517" s="1">
        <v>0.97</v>
      </c>
      <c r="E1517" s="1" t="s">
        <v>113</v>
      </c>
      <c r="F1517" s="1" t="s">
        <v>113</v>
      </c>
      <c r="G1517" s="1" t="s">
        <v>113</v>
      </c>
      <c r="H1517" s="1" t="str">
        <f>VLOOKUP(F1517,Countries!$A$1:$B$161,2,0)</f>
        <v>United States of America</v>
      </c>
    </row>
    <row r="1518" spans="1:8" x14ac:dyDescent="0.3">
      <c r="A1518" s="3">
        <v>46259.273599537039</v>
      </c>
      <c r="B1518" s="1">
        <v>8.5</v>
      </c>
      <c r="C1518" s="1">
        <v>7.29</v>
      </c>
      <c r="D1518" s="1">
        <v>0.64</v>
      </c>
      <c r="E1518" s="1" t="s">
        <v>113</v>
      </c>
      <c r="F1518" s="1" t="s">
        <v>113</v>
      </c>
      <c r="G1518" s="1" t="s">
        <v>113</v>
      </c>
      <c r="H1518" s="1" t="str">
        <f>VLOOKUP(F1518,Countries!$A$1:$B$161,2,0)</f>
        <v>United States of America</v>
      </c>
    </row>
    <row r="1519" spans="1:8" x14ac:dyDescent="0.3">
      <c r="A1519" s="3">
        <v>46259.268310185187</v>
      </c>
      <c r="B1519" s="1">
        <v>17.739999999999998</v>
      </c>
      <c r="C1519" s="1">
        <v>15.22</v>
      </c>
      <c r="D1519" s="1">
        <v>1.04</v>
      </c>
      <c r="E1519" s="1" t="s">
        <v>113</v>
      </c>
      <c r="F1519" s="1" t="s">
        <v>113</v>
      </c>
      <c r="G1519" s="1" t="s">
        <v>113</v>
      </c>
      <c r="H1519" s="1" t="str">
        <f>VLOOKUP(F1519,Countries!$A$1:$B$161,2,0)</f>
        <v>United States of America</v>
      </c>
    </row>
    <row r="1520" spans="1:8" x14ac:dyDescent="0.3">
      <c r="A1520" s="3">
        <v>46259.265300925923</v>
      </c>
      <c r="B1520" s="1">
        <v>6.37</v>
      </c>
      <c r="C1520" s="1">
        <v>5.47</v>
      </c>
      <c r="D1520" s="1">
        <v>0.54</v>
      </c>
      <c r="E1520" s="1" t="s">
        <v>113</v>
      </c>
      <c r="F1520" s="1" t="s">
        <v>113</v>
      </c>
      <c r="G1520" s="1" t="s">
        <v>113</v>
      </c>
      <c r="H1520" s="1" t="str">
        <f>VLOOKUP(F1520,Countries!$A$1:$B$161,2,0)</f>
        <v>United States of America</v>
      </c>
    </row>
    <row r="1521" spans="1:8" x14ac:dyDescent="0.3">
      <c r="A1521" s="3">
        <v>46259.262858796297</v>
      </c>
      <c r="B1521" s="1">
        <v>17.010000000000002</v>
      </c>
      <c r="C1521" s="1">
        <v>14.6</v>
      </c>
      <c r="D1521" s="1">
        <v>1.01</v>
      </c>
      <c r="E1521" s="1" t="s">
        <v>113</v>
      </c>
      <c r="F1521" s="1" t="s">
        <v>113</v>
      </c>
      <c r="G1521" s="1" t="s">
        <v>113</v>
      </c>
      <c r="H1521" s="1" t="str">
        <f>VLOOKUP(F1521,Countries!$A$1:$B$161,2,0)</f>
        <v>United States of America</v>
      </c>
    </row>
    <row r="1522" spans="1:8" x14ac:dyDescent="0.3">
      <c r="A1522" s="3">
        <v>46259.256018518521</v>
      </c>
      <c r="B1522" s="1">
        <v>0.99</v>
      </c>
      <c r="C1522" s="1">
        <v>0.85</v>
      </c>
      <c r="D1522" s="1">
        <v>0.28000000000000003</v>
      </c>
      <c r="E1522" s="1" t="s">
        <v>151</v>
      </c>
      <c r="F1522" s="1" t="s">
        <v>151</v>
      </c>
      <c r="G1522" s="1" t="s">
        <v>151</v>
      </c>
      <c r="H1522" s="1" t="str">
        <f>VLOOKUP(F1522,Countries!$A$1:$B$161,2,0)</f>
        <v>Netherlands (Holland)</v>
      </c>
    </row>
    <row r="1523" spans="1:8" x14ac:dyDescent="0.3">
      <c r="A1523" s="3">
        <v>46259.255532407413</v>
      </c>
      <c r="B1523" s="1">
        <v>3.18</v>
      </c>
      <c r="C1523" s="1">
        <v>2.73</v>
      </c>
      <c r="D1523" s="1">
        <v>0.39</v>
      </c>
      <c r="E1523" s="1" t="s">
        <v>113</v>
      </c>
      <c r="F1523" s="1" t="s">
        <v>113</v>
      </c>
      <c r="G1523" s="1" t="s">
        <v>113</v>
      </c>
      <c r="H1523" s="1" t="str">
        <f>VLOOKUP(F1523,Countries!$A$1:$B$161,2,0)</f>
        <v>United States of America</v>
      </c>
    </row>
    <row r="1524" spans="1:8" x14ac:dyDescent="0.3">
      <c r="A1524" s="3">
        <v>46259.251574074071</v>
      </c>
      <c r="B1524" s="1">
        <v>36.57</v>
      </c>
      <c r="C1524" s="1">
        <v>31.38</v>
      </c>
      <c r="D1524" s="1">
        <v>1.9</v>
      </c>
      <c r="E1524" s="1" t="s">
        <v>132</v>
      </c>
      <c r="F1524" s="1" t="s">
        <v>132</v>
      </c>
      <c r="G1524" s="1" t="s">
        <v>132</v>
      </c>
      <c r="H1524" s="1" t="str">
        <f>VLOOKUP(F1524,Countries!$A$1:$B$161,2,0)</f>
        <v>Canada</v>
      </c>
    </row>
    <row r="1525" spans="1:8" x14ac:dyDescent="0.3">
      <c r="A1525" s="3">
        <v>46259.248993055553</v>
      </c>
      <c r="B1525" s="1">
        <v>6.3</v>
      </c>
      <c r="C1525" s="1">
        <v>5.41</v>
      </c>
      <c r="D1525" s="1">
        <v>0.54</v>
      </c>
      <c r="E1525" s="1" t="s">
        <v>132</v>
      </c>
      <c r="F1525" s="1" t="s">
        <v>132</v>
      </c>
      <c r="G1525" s="1" t="s">
        <v>132</v>
      </c>
      <c r="H1525" s="1" t="str">
        <f>VLOOKUP(F1525,Countries!$A$1:$B$161,2,0)</f>
        <v>Canada</v>
      </c>
    </row>
    <row r="1526" spans="1:8" x14ac:dyDescent="0.3">
      <c r="A1526" s="3">
        <v>46259.24490740741</v>
      </c>
      <c r="B1526" s="1">
        <v>6.37</v>
      </c>
      <c r="C1526" s="1">
        <v>5.47</v>
      </c>
      <c r="D1526" s="1">
        <v>0.54</v>
      </c>
      <c r="E1526" s="1" t="s">
        <v>113</v>
      </c>
      <c r="F1526" s="1" t="s">
        <v>113</v>
      </c>
      <c r="G1526" s="1" t="s">
        <v>113</v>
      </c>
      <c r="H1526" s="1" t="str">
        <f>VLOOKUP(F1526,Countries!$A$1:$B$161,2,0)</f>
        <v>United States of America</v>
      </c>
    </row>
    <row r="1527" spans="1:8" x14ac:dyDescent="0.3">
      <c r="A1527" s="3">
        <v>46259.241956018523</v>
      </c>
      <c r="B1527" s="1">
        <v>6.65</v>
      </c>
      <c r="C1527" s="1">
        <v>5.71</v>
      </c>
      <c r="D1527" s="1">
        <v>0.55000000000000004</v>
      </c>
      <c r="E1527" s="1" t="s">
        <v>130</v>
      </c>
      <c r="F1527" s="1" t="s">
        <v>130</v>
      </c>
      <c r="G1527" s="1" t="s">
        <v>130</v>
      </c>
      <c r="H1527" s="1" t="str">
        <f>VLOOKUP(F1527,Countries!$A$1:$B$161,2,0)</f>
        <v>Australia</v>
      </c>
    </row>
    <row r="1528" spans="1:8" x14ac:dyDescent="0.3">
      <c r="A1528" s="3">
        <v>46259.228703703702</v>
      </c>
      <c r="B1528" s="1">
        <v>2.99</v>
      </c>
      <c r="C1528" s="1">
        <v>2.57</v>
      </c>
      <c r="D1528" s="1">
        <v>0.34</v>
      </c>
      <c r="E1528" s="1" t="s">
        <v>116</v>
      </c>
      <c r="F1528" s="1" t="s">
        <v>116</v>
      </c>
      <c r="G1528" s="1" t="s">
        <v>116</v>
      </c>
      <c r="H1528" s="1" t="str">
        <f>VLOOKUP(F1528,Countries!$A$1:$B$161,2,0)</f>
        <v>Spain</v>
      </c>
    </row>
    <row r="1529" spans="1:8" x14ac:dyDescent="0.3">
      <c r="A1529" s="3">
        <v>46259.224976851852</v>
      </c>
      <c r="B1529" s="1">
        <v>14.77</v>
      </c>
      <c r="C1529" s="1">
        <v>12.67</v>
      </c>
      <c r="D1529" s="1">
        <v>0.91</v>
      </c>
      <c r="E1529" s="1" t="s">
        <v>113</v>
      </c>
      <c r="F1529" s="1" t="s">
        <v>113</v>
      </c>
      <c r="G1529" s="1" t="s">
        <v>113</v>
      </c>
      <c r="H1529" s="1" t="str">
        <f>VLOOKUP(F1529,Countries!$A$1:$B$161,2,0)</f>
        <v>United States of America</v>
      </c>
    </row>
    <row r="1530" spans="1:8" x14ac:dyDescent="0.3">
      <c r="A1530" s="3">
        <v>46259.217037037037</v>
      </c>
      <c r="B1530" s="1">
        <v>0.99</v>
      </c>
      <c r="C1530" s="1">
        <v>0.85</v>
      </c>
      <c r="D1530" s="1">
        <v>0.3</v>
      </c>
      <c r="E1530" s="1" t="s">
        <v>113</v>
      </c>
      <c r="F1530" s="1" t="s">
        <v>113</v>
      </c>
      <c r="G1530" s="1" t="s">
        <v>113</v>
      </c>
      <c r="H1530" s="1" t="str">
        <f>VLOOKUP(F1530,Countries!$A$1:$B$161,2,0)</f>
        <v>United States of America</v>
      </c>
    </row>
    <row r="1531" spans="1:8" x14ac:dyDescent="0.3">
      <c r="A1531" s="3">
        <v>46259.211759259262</v>
      </c>
      <c r="B1531" s="1">
        <v>6.37</v>
      </c>
      <c r="C1531" s="1">
        <v>5.47</v>
      </c>
      <c r="D1531" s="1">
        <v>0.54</v>
      </c>
      <c r="E1531" s="1" t="s">
        <v>113</v>
      </c>
      <c r="F1531" s="1" t="s">
        <v>113</v>
      </c>
      <c r="G1531" s="1" t="s">
        <v>113</v>
      </c>
      <c r="H1531" s="1" t="str">
        <f>VLOOKUP(F1531,Countries!$A$1:$B$161,2,0)</f>
        <v>United States of America</v>
      </c>
    </row>
    <row r="1532" spans="1:8" x14ac:dyDescent="0.3">
      <c r="A1532" s="3">
        <v>46259.210347222222</v>
      </c>
      <c r="B1532" s="1">
        <v>7.77</v>
      </c>
      <c r="C1532" s="1">
        <v>6.66</v>
      </c>
      <c r="D1532" s="1">
        <v>0.48</v>
      </c>
      <c r="E1532" s="1" t="s">
        <v>137</v>
      </c>
      <c r="F1532" s="1" t="s">
        <v>137</v>
      </c>
      <c r="G1532" s="1" t="s">
        <v>137</v>
      </c>
      <c r="H1532" s="1" t="str">
        <f>VLOOKUP(F1532,Countries!$A$1:$B$161,2,0)</f>
        <v>Poland</v>
      </c>
    </row>
    <row r="1533" spans="1:8" x14ac:dyDescent="0.3">
      <c r="A1533" s="3">
        <v>46259.189050925917</v>
      </c>
      <c r="B1533" s="1">
        <v>1.99</v>
      </c>
      <c r="C1533" s="1">
        <v>1.71</v>
      </c>
      <c r="D1533" s="1">
        <v>0.34</v>
      </c>
      <c r="E1533" s="1" t="s">
        <v>113</v>
      </c>
      <c r="F1533" s="1" t="s">
        <v>113</v>
      </c>
      <c r="G1533" s="1" t="s">
        <v>113</v>
      </c>
      <c r="H1533" s="1" t="str">
        <f>VLOOKUP(F1533,Countries!$A$1:$B$161,2,0)</f>
        <v>United States of America</v>
      </c>
    </row>
    <row r="1534" spans="1:8" x14ac:dyDescent="0.3">
      <c r="A1534" s="3">
        <v>46259.188067129631</v>
      </c>
      <c r="B1534" s="1">
        <v>7.99</v>
      </c>
      <c r="C1534" s="1">
        <v>6.85</v>
      </c>
      <c r="D1534" s="1">
        <v>0.49</v>
      </c>
      <c r="E1534" s="1"/>
      <c r="F1534" s="1" t="s">
        <v>137</v>
      </c>
      <c r="G1534" s="1" t="s">
        <v>137</v>
      </c>
      <c r="H1534" s="1" t="str">
        <f>VLOOKUP(F1534,Countries!$A$1:$B$161,2,0)</f>
        <v>Poland</v>
      </c>
    </row>
    <row r="1535" spans="1:8" x14ac:dyDescent="0.3">
      <c r="A1535" s="3">
        <v>46259.176539351851</v>
      </c>
      <c r="B1535" s="1">
        <v>6.37</v>
      </c>
      <c r="C1535" s="1">
        <v>5.46</v>
      </c>
      <c r="D1535" s="1">
        <v>0.54</v>
      </c>
      <c r="E1535" s="1" t="s">
        <v>113</v>
      </c>
      <c r="F1535" s="1" t="s">
        <v>113</v>
      </c>
      <c r="G1535" s="1" t="s">
        <v>113</v>
      </c>
      <c r="H1535" s="1" t="str">
        <f>VLOOKUP(F1535,Countries!$A$1:$B$161,2,0)</f>
        <v>United States of America</v>
      </c>
    </row>
    <row r="1536" spans="1:8" x14ac:dyDescent="0.3">
      <c r="A1536" s="3">
        <v>46259.175497685188</v>
      </c>
      <c r="B1536" s="1">
        <v>2.11</v>
      </c>
      <c r="C1536" s="1">
        <v>1.81</v>
      </c>
      <c r="D1536" s="1">
        <v>0.35</v>
      </c>
      <c r="E1536" s="1" t="s">
        <v>113</v>
      </c>
      <c r="F1536" s="1" t="s">
        <v>113</v>
      </c>
      <c r="G1536" s="1" t="s">
        <v>113</v>
      </c>
      <c r="H1536" s="1" t="str">
        <f>VLOOKUP(F1536,Countries!$A$1:$B$161,2,0)</f>
        <v>United States of America</v>
      </c>
    </row>
    <row r="1537" spans="1:8" x14ac:dyDescent="0.3">
      <c r="A1537" s="3">
        <v>46259.169768518521</v>
      </c>
      <c r="B1537" s="1">
        <v>7.99</v>
      </c>
      <c r="C1537" s="1">
        <v>6.85</v>
      </c>
      <c r="D1537" s="1">
        <v>0.61</v>
      </c>
      <c r="E1537" s="1" t="s">
        <v>113</v>
      </c>
      <c r="F1537" s="1" t="s">
        <v>113</v>
      </c>
      <c r="G1537" s="1" t="s">
        <v>113</v>
      </c>
      <c r="H1537" s="1" t="str">
        <f>VLOOKUP(F1537,Countries!$A$1:$B$161,2,0)</f>
        <v>United States of America</v>
      </c>
    </row>
    <row r="1538" spans="1:8" x14ac:dyDescent="0.3">
      <c r="A1538" s="3">
        <v>46259.166354166657</v>
      </c>
      <c r="B1538" s="1">
        <v>6.37</v>
      </c>
      <c r="C1538" s="1">
        <v>5.46</v>
      </c>
      <c r="D1538" s="1">
        <v>0.54</v>
      </c>
      <c r="E1538" s="1" t="s">
        <v>113</v>
      </c>
      <c r="F1538" s="1" t="s">
        <v>113</v>
      </c>
      <c r="G1538" s="1" t="s">
        <v>113</v>
      </c>
      <c r="H1538" s="1" t="str">
        <f>VLOOKUP(F1538,Countries!$A$1:$B$161,2,0)</f>
        <v>United States of America</v>
      </c>
    </row>
    <row r="1539" spans="1:8" x14ac:dyDescent="0.3">
      <c r="A1539" s="3">
        <v>46259.16578703704</v>
      </c>
      <c r="B1539" s="1">
        <v>5.99</v>
      </c>
      <c r="C1539" s="1">
        <v>5.14</v>
      </c>
      <c r="D1539" s="1">
        <v>0.52</v>
      </c>
      <c r="E1539" s="1" t="s">
        <v>135</v>
      </c>
      <c r="F1539" s="1" t="s">
        <v>135</v>
      </c>
      <c r="G1539" s="1" t="s">
        <v>135</v>
      </c>
      <c r="H1539" s="1" t="str">
        <f>VLOOKUP(F1539,Countries!$A$1:$B$161,2,0)</f>
        <v>Kuwait</v>
      </c>
    </row>
    <row r="1540" spans="1:8" x14ac:dyDescent="0.3">
      <c r="A1540" s="3">
        <v>46259.15662037037</v>
      </c>
      <c r="B1540" s="1">
        <v>3.25</v>
      </c>
      <c r="C1540" s="1">
        <v>2.79</v>
      </c>
      <c r="D1540" s="1">
        <v>0.4</v>
      </c>
      <c r="E1540" s="1" t="s">
        <v>115</v>
      </c>
      <c r="F1540" s="1" t="s">
        <v>115</v>
      </c>
      <c r="G1540" s="1" t="s">
        <v>115</v>
      </c>
      <c r="H1540" s="1" t="str">
        <f>VLOOKUP(F1540,Countries!$A$1:$B$161,2,0)</f>
        <v>Switzerland</v>
      </c>
    </row>
    <row r="1541" spans="1:8" x14ac:dyDescent="0.3">
      <c r="A1541" s="3">
        <v>46259.153124999997</v>
      </c>
      <c r="B1541" s="1">
        <v>3.73</v>
      </c>
      <c r="C1541" s="1">
        <v>3.2</v>
      </c>
      <c r="D1541" s="1">
        <v>0.39</v>
      </c>
      <c r="E1541" s="1" t="s">
        <v>119</v>
      </c>
      <c r="F1541" s="1" t="s">
        <v>119</v>
      </c>
      <c r="G1541" s="1" t="s">
        <v>119</v>
      </c>
      <c r="H1541" s="1" t="str">
        <f>VLOOKUP(F1541,Countries!$A$1:$B$161,2,0)</f>
        <v>Great Britain (United Kingdom)</v>
      </c>
    </row>
    <row r="1542" spans="1:8" x14ac:dyDescent="0.3">
      <c r="A1542" s="3">
        <v>46259.146863425929</v>
      </c>
      <c r="B1542" s="1">
        <v>22.18</v>
      </c>
      <c r="C1542" s="1">
        <v>19.02</v>
      </c>
      <c r="D1542" s="1">
        <v>1.25</v>
      </c>
      <c r="E1542" s="1" t="s">
        <v>113</v>
      </c>
      <c r="F1542" s="1" t="s">
        <v>113</v>
      </c>
      <c r="G1542" s="1" t="s">
        <v>113</v>
      </c>
      <c r="H1542" s="1" t="str">
        <f>VLOOKUP(F1542,Countries!$A$1:$B$161,2,0)</f>
        <v>United States of America</v>
      </c>
    </row>
    <row r="1543" spans="1:8" x14ac:dyDescent="0.3">
      <c r="A1543" s="3">
        <v>46259.142847222232</v>
      </c>
      <c r="B1543" s="1">
        <v>14.77</v>
      </c>
      <c r="C1543" s="1">
        <v>12.67</v>
      </c>
      <c r="D1543" s="1">
        <v>0.91</v>
      </c>
      <c r="E1543" s="1" t="s">
        <v>113</v>
      </c>
      <c r="F1543" s="1" t="s">
        <v>113</v>
      </c>
      <c r="G1543" s="1" t="s">
        <v>113</v>
      </c>
      <c r="H1543" s="1" t="str">
        <f>VLOOKUP(F1543,Countries!$A$1:$B$161,2,0)</f>
        <v>United States of America</v>
      </c>
    </row>
    <row r="1544" spans="1:8" x14ac:dyDescent="0.3">
      <c r="A1544" s="3">
        <v>46259.139201388891</v>
      </c>
      <c r="B1544" s="1">
        <v>6.37</v>
      </c>
      <c r="C1544" s="1">
        <v>5.46</v>
      </c>
      <c r="D1544" s="1">
        <v>0.54</v>
      </c>
      <c r="E1544" s="1" t="s">
        <v>113</v>
      </c>
      <c r="F1544" s="1" t="s">
        <v>113</v>
      </c>
      <c r="G1544" s="1" t="s">
        <v>113</v>
      </c>
      <c r="H1544" s="1" t="str">
        <f>VLOOKUP(F1544,Countries!$A$1:$B$161,2,0)</f>
        <v>United States of America</v>
      </c>
    </row>
    <row r="1545" spans="1:8" x14ac:dyDescent="0.3">
      <c r="A1545" s="3">
        <v>46259.132731481477</v>
      </c>
      <c r="B1545" s="1">
        <v>6.37</v>
      </c>
      <c r="C1545" s="1">
        <v>5.46</v>
      </c>
      <c r="D1545" s="1">
        <v>0.54</v>
      </c>
      <c r="E1545" s="1" t="s">
        <v>113</v>
      </c>
      <c r="F1545" s="1" t="s">
        <v>113</v>
      </c>
      <c r="G1545" s="1" t="s">
        <v>113</v>
      </c>
      <c r="H1545" s="1" t="str">
        <f>VLOOKUP(F1545,Countries!$A$1:$B$161,2,0)</f>
        <v>United States of America</v>
      </c>
    </row>
    <row r="1546" spans="1:8" x14ac:dyDescent="0.3">
      <c r="A1546" s="3">
        <v>46259.124699074076</v>
      </c>
      <c r="B1546" s="1">
        <v>2.99</v>
      </c>
      <c r="C1546" s="1">
        <v>2.56</v>
      </c>
      <c r="D1546" s="1">
        <v>0.38</v>
      </c>
      <c r="E1546" s="1" t="s">
        <v>113</v>
      </c>
      <c r="F1546" s="1" t="s">
        <v>163</v>
      </c>
      <c r="G1546" s="1" t="s">
        <v>163</v>
      </c>
      <c r="H1546" s="1" t="str">
        <f>VLOOKUP(F1546,Countries!$A$1:$B$161,2,0)</f>
        <v>Saudi Arabia</v>
      </c>
    </row>
    <row r="1547" spans="1:8" x14ac:dyDescent="0.3">
      <c r="A1547" s="3">
        <v>46259.119722222233</v>
      </c>
      <c r="B1547" s="1">
        <v>3.98</v>
      </c>
      <c r="C1547" s="1">
        <v>3.41</v>
      </c>
      <c r="D1547" s="1">
        <v>0.37</v>
      </c>
      <c r="E1547" s="1" t="s">
        <v>172</v>
      </c>
      <c r="F1547" s="1" t="s">
        <v>172</v>
      </c>
      <c r="G1547" s="1" t="s">
        <v>172</v>
      </c>
      <c r="H1547" s="1" t="str">
        <f>VLOOKUP(F1547,Countries!$A$1:$B$161,2,0)</f>
        <v>Croatia</v>
      </c>
    </row>
    <row r="1548" spans="1:8" x14ac:dyDescent="0.3">
      <c r="A1548" s="3">
        <v>46259.109814814823</v>
      </c>
      <c r="B1548" s="1">
        <v>6.37</v>
      </c>
      <c r="C1548" s="1">
        <v>5.46</v>
      </c>
      <c r="D1548" s="1">
        <v>0.54</v>
      </c>
      <c r="E1548" s="1" t="s">
        <v>113</v>
      </c>
      <c r="F1548" s="1" t="s">
        <v>113</v>
      </c>
      <c r="G1548" s="1" t="s">
        <v>113</v>
      </c>
      <c r="H1548" s="1" t="str">
        <f>VLOOKUP(F1548,Countries!$A$1:$B$161,2,0)</f>
        <v>United States of America</v>
      </c>
    </row>
    <row r="1549" spans="1:8" x14ac:dyDescent="0.3">
      <c r="A1549" s="3">
        <v>46259.100682870368</v>
      </c>
      <c r="B1549" s="1">
        <v>2.99</v>
      </c>
      <c r="C1549" s="1">
        <v>2.56</v>
      </c>
      <c r="D1549" s="1">
        <v>0.38</v>
      </c>
      <c r="E1549" s="1" t="s">
        <v>113</v>
      </c>
      <c r="F1549" s="1" t="s">
        <v>113</v>
      </c>
      <c r="G1549" s="1" t="s">
        <v>113</v>
      </c>
      <c r="H1549" s="1" t="str">
        <f>VLOOKUP(F1549,Countries!$A$1:$B$161,2,0)</f>
        <v>United States of America</v>
      </c>
    </row>
    <row r="1550" spans="1:8" x14ac:dyDescent="0.3">
      <c r="A1550" s="3">
        <v>46259.095983796287</v>
      </c>
      <c r="B1550" s="1">
        <v>6.37</v>
      </c>
      <c r="C1550" s="1">
        <v>5.46</v>
      </c>
      <c r="D1550" s="1">
        <v>0.54</v>
      </c>
      <c r="E1550" s="1" t="s">
        <v>113</v>
      </c>
      <c r="F1550" s="1" t="s">
        <v>113</v>
      </c>
      <c r="G1550" s="1" t="s">
        <v>113</v>
      </c>
      <c r="H1550" s="1" t="str">
        <f>VLOOKUP(F1550,Countries!$A$1:$B$161,2,0)</f>
        <v>United States of America</v>
      </c>
    </row>
    <row r="1551" spans="1:8" x14ac:dyDescent="0.3">
      <c r="A1551" s="3">
        <v>46259.093206018522</v>
      </c>
      <c r="B1551" s="1">
        <v>7.21</v>
      </c>
      <c r="C1551" s="1">
        <v>6.18</v>
      </c>
      <c r="D1551" s="1">
        <v>0.56999999999999995</v>
      </c>
      <c r="E1551" s="1" t="s">
        <v>165</v>
      </c>
      <c r="F1551" s="1" t="s">
        <v>165</v>
      </c>
      <c r="G1551" s="1" t="s">
        <v>165</v>
      </c>
      <c r="H1551" s="1" t="str">
        <f>VLOOKUP(F1551,Countries!$A$1:$B$161,2,0)</f>
        <v>Israel</v>
      </c>
    </row>
    <row r="1552" spans="1:8" x14ac:dyDescent="0.3">
      <c r="A1552" s="3">
        <v>46259.084131944437</v>
      </c>
      <c r="B1552" s="1">
        <v>3.73</v>
      </c>
      <c r="C1552" s="1">
        <v>3.2</v>
      </c>
      <c r="D1552" s="1">
        <v>0.36</v>
      </c>
      <c r="E1552" s="1" t="s">
        <v>123</v>
      </c>
      <c r="F1552" s="1" t="s">
        <v>123</v>
      </c>
      <c r="G1552" s="1" t="s">
        <v>123</v>
      </c>
      <c r="H1552" s="1" t="str">
        <f>VLOOKUP(F1552,Countries!$A$1:$B$161,2,0)</f>
        <v>France</v>
      </c>
    </row>
    <row r="1553" spans="1:8" x14ac:dyDescent="0.3">
      <c r="A1553" s="3">
        <v>46259.082499999997</v>
      </c>
      <c r="B1553" s="1">
        <v>6.37</v>
      </c>
      <c r="C1553" s="1">
        <v>5.46</v>
      </c>
      <c r="D1553" s="1">
        <v>0.54</v>
      </c>
      <c r="E1553" s="1" t="s">
        <v>113</v>
      </c>
      <c r="F1553" s="1" t="s">
        <v>113</v>
      </c>
      <c r="G1553" s="1" t="s">
        <v>113</v>
      </c>
      <c r="H1553" s="1" t="str">
        <f>VLOOKUP(F1553,Countries!$A$1:$B$161,2,0)</f>
        <v>United States of America</v>
      </c>
    </row>
    <row r="1554" spans="1:8" x14ac:dyDescent="0.3">
      <c r="A1554" s="3">
        <v>46259.079004629632</v>
      </c>
      <c r="B1554" s="1">
        <v>6.37</v>
      </c>
      <c r="C1554" s="1">
        <v>5.46</v>
      </c>
      <c r="D1554" s="1">
        <v>0.54</v>
      </c>
      <c r="E1554" s="1" t="s">
        <v>113</v>
      </c>
      <c r="F1554" s="1" t="s">
        <v>113</v>
      </c>
      <c r="G1554" s="1" t="s">
        <v>113</v>
      </c>
      <c r="H1554" s="1" t="str">
        <f>VLOOKUP(F1554,Countries!$A$1:$B$161,2,0)</f>
        <v>United States of America</v>
      </c>
    </row>
    <row r="1555" spans="1:8" x14ac:dyDescent="0.3">
      <c r="A1555" s="3">
        <v>46259.072013888886</v>
      </c>
      <c r="B1555" s="1">
        <v>6.37</v>
      </c>
      <c r="C1555" s="1">
        <v>5.46</v>
      </c>
      <c r="D1555" s="1">
        <v>0.54</v>
      </c>
      <c r="E1555" s="1" t="s">
        <v>113</v>
      </c>
      <c r="F1555" s="1" t="s">
        <v>113</v>
      </c>
      <c r="G1555" s="1" t="s">
        <v>113</v>
      </c>
      <c r="H1555" s="1" t="str">
        <f>VLOOKUP(F1555,Countries!$A$1:$B$161,2,0)</f>
        <v>United States of America</v>
      </c>
    </row>
    <row r="1556" spans="1:8" x14ac:dyDescent="0.3">
      <c r="A1556" s="3">
        <v>46259.06763888889</v>
      </c>
      <c r="B1556" s="1">
        <v>6.37</v>
      </c>
      <c r="C1556" s="1">
        <v>5.46</v>
      </c>
      <c r="D1556" s="1">
        <v>0.54</v>
      </c>
      <c r="E1556" s="1" t="s">
        <v>113</v>
      </c>
      <c r="F1556" s="1" t="s">
        <v>113</v>
      </c>
      <c r="G1556" s="1" t="s">
        <v>113</v>
      </c>
      <c r="H1556" s="1" t="str">
        <f>VLOOKUP(F1556,Countries!$A$1:$B$161,2,0)</f>
        <v>United States of America</v>
      </c>
    </row>
    <row r="1557" spans="1:8" x14ac:dyDescent="0.3">
      <c r="A1557" s="3">
        <v>46259.055775462963</v>
      </c>
      <c r="B1557" s="1">
        <v>6.37</v>
      </c>
      <c r="C1557" s="1">
        <v>5.46</v>
      </c>
      <c r="D1557" s="1">
        <v>0.54</v>
      </c>
      <c r="E1557" s="1" t="s">
        <v>113</v>
      </c>
      <c r="F1557" s="1" t="s">
        <v>113</v>
      </c>
      <c r="G1557" s="1" t="s">
        <v>113</v>
      </c>
      <c r="H1557" s="1" t="str">
        <f>VLOOKUP(F1557,Countries!$A$1:$B$161,2,0)</f>
        <v>United States of America</v>
      </c>
    </row>
    <row r="1558" spans="1:8" x14ac:dyDescent="0.3">
      <c r="A1558" s="3">
        <v>46259.05059027778</v>
      </c>
      <c r="B1558" s="1">
        <v>3.18</v>
      </c>
      <c r="C1558" s="1">
        <v>2.73</v>
      </c>
      <c r="D1558" s="1">
        <v>0.39</v>
      </c>
      <c r="E1558" s="1" t="s">
        <v>113</v>
      </c>
      <c r="F1558" s="1" t="s">
        <v>113</v>
      </c>
      <c r="G1558" s="1" t="s">
        <v>113</v>
      </c>
      <c r="H1558" s="1" t="str">
        <f>VLOOKUP(F1558,Countries!$A$1:$B$161,2,0)</f>
        <v>United States of America</v>
      </c>
    </row>
    <row r="1559" spans="1:8" x14ac:dyDescent="0.3">
      <c r="A1559" s="3">
        <v>46259.046296296299</v>
      </c>
      <c r="B1559" s="1">
        <v>6.37</v>
      </c>
      <c r="C1559" s="1">
        <v>5.46</v>
      </c>
      <c r="D1559" s="1">
        <v>0.54</v>
      </c>
      <c r="E1559" s="1" t="s">
        <v>113</v>
      </c>
      <c r="F1559" s="1" t="s">
        <v>113</v>
      </c>
      <c r="G1559" s="1" t="s">
        <v>113</v>
      </c>
      <c r="H1559" s="1" t="str">
        <f>VLOOKUP(F1559,Countries!$A$1:$B$161,2,0)</f>
        <v>United States of America</v>
      </c>
    </row>
    <row r="1560" spans="1:8" x14ac:dyDescent="0.3">
      <c r="A1560" s="3">
        <v>46259.028090277781</v>
      </c>
      <c r="B1560" s="1">
        <v>7.58</v>
      </c>
      <c r="C1560" s="1">
        <v>6.5</v>
      </c>
      <c r="D1560" s="1">
        <v>0.48</v>
      </c>
      <c r="E1560" s="1" t="s">
        <v>116</v>
      </c>
      <c r="F1560" s="1" t="s">
        <v>116</v>
      </c>
      <c r="G1560" s="1" t="s">
        <v>116</v>
      </c>
      <c r="H1560" s="1" t="str">
        <f>VLOOKUP(F1560,Countries!$A$1:$B$161,2,0)</f>
        <v>Spain</v>
      </c>
    </row>
    <row r="1561" spans="1:8" x14ac:dyDescent="0.3">
      <c r="A1561" s="3">
        <v>46259.022488425922</v>
      </c>
      <c r="B1561" s="1">
        <v>6.37</v>
      </c>
      <c r="C1561" s="1">
        <v>5.46</v>
      </c>
      <c r="D1561" s="1">
        <v>0.54</v>
      </c>
      <c r="E1561" s="1" t="s">
        <v>113</v>
      </c>
      <c r="F1561" s="1" t="s">
        <v>113</v>
      </c>
      <c r="G1561" s="1" t="s">
        <v>113</v>
      </c>
      <c r="H1561" s="1" t="str">
        <f>VLOOKUP(F1561,Countries!$A$1:$B$161,2,0)</f>
        <v>United States of America</v>
      </c>
    </row>
    <row r="1562" spans="1:8" x14ac:dyDescent="0.3">
      <c r="A1562" s="3">
        <v>46259.018865740742</v>
      </c>
      <c r="B1562" s="1">
        <v>6.37</v>
      </c>
      <c r="C1562" s="1">
        <v>5.46</v>
      </c>
      <c r="D1562" s="1">
        <v>0.54</v>
      </c>
      <c r="E1562" s="1" t="s">
        <v>113</v>
      </c>
      <c r="F1562" s="1" t="s">
        <v>113</v>
      </c>
      <c r="G1562" s="1" t="s">
        <v>113</v>
      </c>
      <c r="H1562" s="1" t="str">
        <f>VLOOKUP(F1562,Countries!$A$1:$B$161,2,0)</f>
        <v>United States of America</v>
      </c>
    </row>
    <row r="1563" spans="1:8" x14ac:dyDescent="0.3">
      <c r="A1563" s="3">
        <v>46259.014803240738</v>
      </c>
      <c r="B1563" s="1">
        <v>7.58</v>
      </c>
      <c r="C1563" s="1">
        <v>6.5</v>
      </c>
      <c r="D1563" s="1">
        <v>0.48</v>
      </c>
      <c r="E1563" s="1" t="s">
        <v>116</v>
      </c>
      <c r="F1563" s="1" t="s">
        <v>116</v>
      </c>
      <c r="G1563" s="1" t="s">
        <v>116</v>
      </c>
      <c r="H1563" s="1" t="str">
        <f>VLOOKUP(F1563,Countries!$A$1:$B$161,2,0)</f>
        <v>Spain</v>
      </c>
    </row>
    <row r="1564" spans="1:8" x14ac:dyDescent="0.3">
      <c r="A1564" s="3">
        <v>46258.999016203707</v>
      </c>
      <c r="B1564" s="1">
        <v>6.37</v>
      </c>
      <c r="C1564" s="1">
        <v>5.46</v>
      </c>
      <c r="D1564" s="1">
        <v>0.54</v>
      </c>
      <c r="E1564" s="1" t="s">
        <v>113</v>
      </c>
      <c r="F1564" s="1" t="s">
        <v>113</v>
      </c>
      <c r="G1564" s="1" t="s">
        <v>113</v>
      </c>
      <c r="H1564" s="1" t="str">
        <f>VLOOKUP(F1564,Countries!$A$1:$B$161,2,0)</f>
        <v>United States of America</v>
      </c>
    </row>
    <row r="1565" spans="1:8" x14ac:dyDescent="0.3">
      <c r="A1565" s="3">
        <v>46258.998391203713</v>
      </c>
      <c r="B1565" s="1">
        <v>10.65</v>
      </c>
      <c r="C1565" s="1">
        <v>9.1300000000000008</v>
      </c>
      <c r="D1565" s="1">
        <v>0.56999999999999995</v>
      </c>
      <c r="E1565" s="1" t="s">
        <v>172</v>
      </c>
      <c r="F1565" s="1" t="s">
        <v>172</v>
      </c>
      <c r="G1565" s="1" t="s">
        <v>172</v>
      </c>
      <c r="H1565" s="1" t="str">
        <f>VLOOKUP(F1565,Countries!$A$1:$B$161,2,0)</f>
        <v>Croatia</v>
      </c>
    </row>
    <row r="1566" spans="1:8" x14ac:dyDescent="0.3">
      <c r="A1566" s="3">
        <v>46258.997986111113</v>
      </c>
      <c r="B1566" s="1">
        <v>6.37</v>
      </c>
      <c r="C1566" s="1">
        <v>5.46</v>
      </c>
      <c r="D1566" s="1">
        <v>0.54</v>
      </c>
      <c r="E1566" s="1" t="s">
        <v>113</v>
      </c>
      <c r="F1566" s="1" t="s">
        <v>113</v>
      </c>
      <c r="G1566" s="1" t="s">
        <v>113</v>
      </c>
      <c r="H1566" s="1" t="str">
        <f>VLOOKUP(F1566,Countries!$A$1:$B$161,2,0)</f>
        <v>United States of America</v>
      </c>
    </row>
    <row r="1567" spans="1:8" x14ac:dyDescent="0.3">
      <c r="A1567" s="3">
        <v>46258.984490740739</v>
      </c>
      <c r="B1567" s="1">
        <v>6.37</v>
      </c>
      <c r="C1567" s="1">
        <v>5.46</v>
      </c>
      <c r="D1567" s="1">
        <v>0.5</v>
      </c>
      <c r="E1567" s="1" t="s">
        <v>119</v>
      </c>
      <c r="F1567" s="1" t="s">
        <v>119</v>
      </c>
      <c r="G1567" s="1" t="s">
        <v>119</v>
      </c>
      <c r="H1567" s="1" t="str">
        <f>VLOOKUP(F1567,Countries!$A$1:$B$161,2,0)</f>
        <v>Great Britain (United Kingdom)</v>
      </c>
    </row>
    <row r="1568" spans="1:8" x14ac:dyDescent="0.3">
      <c r="A1568" s="3">
        <v>46258.982951388891</v>
      </c>
      <c r="B1568" s="1">
        <v>6.37</v>
      </c>
      <c r="C1568" s="1">
        <v>5.46</v>
      </c>
      <c r="D1568" s="1">
        <v>0.54</v>
      </c>
      <c r="E1568" s="1" t="s">
        <v>113</v>
      </c>
      <c r="F1568" s="1" t="s">
        <v>113</v>
      </c>
      <c r="G1568" s="1" t="s">
        <v>113</v>
      </c>
      <c r="H1568" s="1" t="str">
        <f>VLOOKUP(F1568,Countries!$A$1:$B$161,2,0)</f>
        <v>United States of America</v>
      </c>
    </row>
    <row r="1569" spans="1:8" x14ac:dyDescent="0.3">
      <c r="A1569" s="3">
        <v>46258.982372685183</v>
      </c>
      <c r="B1569" s="1">
        <v>6.37</v>
      </c>
      <c r="C1569" s="1">
        <v>5.46</v>
      </c>
      <c r="D1569" s="1">
        <v>0.54</v>
      </c>
      <c r="E1569" s="1" t="s">
        <v>113</v>
      </c>
      <c r="F1569" s="1" t="s">
        <v>113</v>
      </c>
      <c r="G1569" s="1" t="s">
        <v>113</v>
      </c>
      <c r="H1569" s="1" t="str">
        <f>VLOOKUP(F1569,Countries!$A$1:$B$161,2,0)</f>
        <v>United States of America</v>
      </c>
    </row>
    <row r="1570" spans="1:8" x14ac:dyDescent="0.3">
      <c r="A1570" s="3">
        <v>46258.976851851847</v>
      </c>
      <c r="B1570" s="1">
        <v>21.94</v>
      </c>
      <c r="C1570" s="1">
        <v>18.809999999999999</v>
      </c>
      <c r="D1570" s="1">
        <v>1.24</v>
      </c>
      <c r="E1570" s="1" t="s">
        <v>132</v>
      </c>
      <c r="F1570" s="1" t="s">
        <v>132</v>
      </c>
      <c r="G1570" s="1" t="s">
        <v>132</v>
      </c>
      <c r="H1570" s="1" t="str">
        <f>VLOOKUP(F1570,Countries!$A$1:$B$161,2,0)</f>
        <v>Canada</v>
      </c>
    </row>
    <row r="1571" spans="1:8" x14ac:dyDescent="0.3">
      <c r="A1571" s="3">
        <v>46258.976053240738</v>
      </c>
      <c r="B1571" s="1">
        <v>10.85</v>
      </c>
      <c r="C1571" s="1">
        <v>9.3000000000000007</v>
      </c>
      <c r="D1571" s="1">
        <v>0.74</v>
      </c>
      <c r="E1571" s="1" t="s">
        <v>115</v>
      </c>
      <c r="F1571" s="1" t="s">
        <v>115</v>
      </c>
      <c r="G1571" s="1" t="s">
        <v>115</v>
      </c>
      <c r="H1571" s="1" t="str">
        <f>VLOOKUP(F1571,Countries!$A$1:$B$161,2,0)</f>
        <v>Switzerland</v>
      </c>
    </row>
    <row r="1572" spans="1:8" x14ac:dyDescent="0.3">
      <c r="A1572" s="3">
        <v>46258.974363425928</v>
      </c>
      <c r="B1572" s="1">
        <v>6.37</v>
      </c>
      <c r="C1572" s="1">
        <v>5.46</v>
      </c>
      <c r="D1572" s="1">
        <v>0.54</v>
      </c>
      <c r="E1572" s="1" t="s">
        <v>113</v>
      </c>
      <c r="F1572" s="1" t="s">
        <v>113</v>
      </c>
      <c r="G1572" s="1" t="s">
        <v>113</v>
      </c>
      <c r="H1572" s="1" t="str">
        <f>VLOOKUP(F1572,Countries!$A$1:$B$161,2,0)</f>
        <v>United States of America</v>
      </c>
    </row>
    <row r="1573" spans="1:8" x14ac:dyDescent="0.3">
      <c r="A1573" s="3">
        <v>46258.969525462962</v>
      </c>
      <c r="B1573" s="1">
        <v>6.37</v>
      </c>
      <c r="C1573" s="1">
        <v>5.46</v>
      </c>
      <c r="D1573" s="1">
        <v>0.54</v>
      </c>
      <c r="E1573" s="1" t="s">
        <v>113</v>
      </c>
      <c r="F1573" s="1" t="s">
        <v>113</v>
      </c>
      <c r="G1573" s="1" t="s">
        <v>113</v>
      </c>
      <c r="H1573" s="1" t="str">
        <f>VLOOKUP(F1573,Countries!$A$1:$B$161,2,0)</f>
        <v>United States of America</v>
      </c>
    </row>
    <row r="1574" spans="1:8" x14ac:dyDescent="0.3">
      <c r="A1574" s="3">
        <v>46258.966423611113</v>
      </c>
      <c r="B1574" s="1">
        <v>6.37</v>
      </c>
      <c r="C1574" s="1">
        <v>5.46</v>
      </c>
      <c r="D1574" s="1">
        <v>0.54</v>
      </c>
      <c r="E1574" s="1" t="s">
        <v>113</v>
      </c>
      <c r="F1574" s="1" t="s">
        <v>113</v>
      </c>
      <c r="G1574" s="1" t="s">
        <v>113</v>
      </c>
      <c r="H1574" s="1" t="str">
        <f>VLOOKUP(F1574,Countries!$A$1:$B$161,2,0)</f>
        <v>United States of America</v>
      </c>
    </row>
    <row r="1575" spans="1:8" x14ac:dyDescent="0.3">
      <c r="A1575" s="3">
        <v>46258.96601851852</v>
      </c>
      <c r="B1575" s="1">
        <v>10.85</v>
      </c>
      <c r="C1575" s="1">
        <v>9.3000000000000007</v>
      </c>
      <c r="D1575" s="1">
        <v>0.74</v>
      </c>
      <c r="E1575" s="1" t="s">
        <v>115</v>
      </c>
      <c r="F1575" s="1" t="s">
        <v>115</v>
      </c>
      <c r="G1575" s="1" t="s">
        <v>115</v>
      </c>
      <c r="H1575" s="1" t="str">
        <f>VLOOKUP(F1575,Countries!$A$1:$B$161,2,0)</f>
        <v>Switzerland</v>
      </c>
    </row>
    <row r="1576" spans="1:8" x14ac:dyDescent="0.3">
      <c r="A1576" s="3">
        <v>46258.96298611111</v>
      </c>
      <c r="B1576" s="1">
        <v>10.85</v>
      </c>
      <c r="C1576" s="1">
        <v>9.3000000000000007</v>
      </c>
      <c r="D1576" s="1">
        <v>0.74</v>
      </c>
      <c r="E1576" s="1" t="s">
        <v>115</v>
      </c>
      <c r="F1576" s="1" t="s">
        <v>115</v>
      </c>
      <c r="G1576" s="1" t="s">
        <v>115</v>
      </c>
      <c r="H1576" s="1" t="str">
        <f>VLOOKUP(F1576,Countries!$A$1:$B$161,2,0)</f>
        <v>Switzerland</v>
      </c>
    </row>
    <row r="1577" spans="1:8" x14ac:dyDescent="0.3">
      <c r="A1577" s="3">
        <v>46258.960405092592</v>
      </c>
      <c r="B1577" s="1">
        <v>6.37</v>
      </c>
      <c r="C1577" s="1">
        <v>5.46</v>
      </c>
      <c r="D1577" s="1">
        <v>0.54</v>
      </c>
      <c r="E1577" s="1" t="s">
        <v>113</v>
      </c>
      <c r="F1577" s="1" t="s">
        <v>113</v>
      </c>
      <c r="G1577" s="1" t="s">
        <v>113</v>
      </c>
      <c r="H1577" s="1" t="str">
        <f>VLOOKUP(F1577,Countries!$A$1:$B$161,2,0)</f>
        <v>United States of America</v>
      </c>
    </row>
    <row r="1578" spans="1:8" x14ac:dyDescent="0.3">
      <c r="A1578" s="3">
        <v>46258.957037037027</v>
      </c>
      <c r="B1578" s="1">
        <v>10.85</v>
      </c>
      <c r="C1578" s="1">
        <v>9.3000000000000007</v>
      </c>
      <c r="D1578" s="1">
        <v>0.74</v>
      </c>
      <c r="E1578" s="1" t="s">
        <v>115</v>
      </c>
      <c r="F1578" s="1" t="s">
        <v>115</v>
      </c>
      <c r="G1578" s="1" t="s">
        <v>115</v>
      </c>
      <c r="H1578" s="1" t="str">
        <f>VLOOKUP(F1578,Countries!$A$1:$B$161,2,0)</f>
        <v>Switzerland</v>
      </c>
    </row>
    <row r="1579" spans="1:8" x14ac:dyDescent="0.3">
      <c r="A1579" s="3">
        <v>46258.956608796303</v>
      </c>
      <c r="B1579" s="1">
        <v>17.010000000000002</v>
      </c>
      <c r="C1579" s="1">
        <v>14.58</v>
      </c>
      <c r="D1579" s="1">
        <v>1.01</v>
      </c>
      <c r="E1579" s="1" t="s">
        <v>113</v>
      </c>
      <c r="F1579" s="1" t="s">
        <v>113</v>
      </c>
      <c r="G1579" s="1" t="s">
        <v>113</v>
      </c>
      <c r="H1579" s="1" t="str">
        <f>VLOOKUP(F1579,Countries!$A$1:$B$161,2,0)</f>
        <v>United States of America</v>
      </c>
    </row>
    <row r="1580" spans="1:8" x14ac:dyDescent="0.3">
      <c r="A1580" s="3">
        <v>46258.944907407407</v>
      </c>
      <c r="B1580" s="1">
        <v>10.85</v>
      </c>
      <c r="C1580" s="1">
        <v>9.3000000000000007</v>
      </c>
      <c r="D1580" s="1">
        <v>0.74</v>
      </c>
      <c r="E1580" s="1" t="s">
        <v>115</v>
      </c>
      <c r="F1580" s="1" t="s">
        <v>115</v>
      </c>
      <c r="G1580" s="1" t="s">
        <v>115</v>
      </c>
      <c r="H1580" s="1" t="str">
        <f>VLOOKUP(F1580,Countries!$A$1:$B$161,2,0)</f>
        <v>Switzerland</v>
      </c>
    </row>
    <row r="1581" spans="1:8" x14ac:dyDescent="0.3">
      <c r="A1581" s="3">
        <v>46258.940057870372</v>
      </c>
      <c r="B1581" s="1">
        <v>10.85</v>
      </c>
      <c r="C1581" s="1">
        <v>9.3000000000000007</v>
      </c>
      <c r="D1581" s="1">
        <v>0.74</v>
      </c>
      <c r="E1581" s="1" t="s">
        <v>115</v>
      </c>
      <c r="F1581" s="1" t="s">
        <v>115</v>
      </c>
      <c r="G1581" s="1" t="s">
        <v>115</v>
      </c>
      <c r="H1581" s="1" t="str">
        <f>VLOOKUP(F1581,Countries!$A$1:$B$161,2,0)</f>
        <v>Switzerland</v>
      </c>
    </row>
    <row r="1582" spans="1:8" x14ac:dyDescent="0.3">
      <c r="A1582" s="3">
        <v>46258.936122685183</v>
      </c>
      <c r="B1582" s="1">
        <v>7.48</v>
      </c>
      <c r="C1582" s="1">
        <v>6.41</v>
      </c>
      <c r="D1582" s="1">
        <v>0.48</v>
      </c>
      <c r="E1582" s="1" t="s">
        <v>123</v>
      </c>
      <c r="F1582" s="1" t="s">
        <v>123</v>
      </c>
      <c r="G1582" s="1" t="s">
        <v>123</v>
      </c>
      <c r="H1582" s="1" t="str">
        <f>VLOOKUP(F1582,Countries!$A$1:$B$161,2,0)</f>
        <v>France</v>
      </c>
    </row>
    <row r="1583" spans="1:8" x14ac:dyDescent="0.3">
      <c r="A1583" s="3">
        <v>46258.930844907409</v>
      </c>
      <c r="B1583" s="1">
        <v>10.85</v>
      </c>
      <c r="C1583" s="1">
        <v>9.3000000000000007</v>
      </c>
      <c r="D1583" s="1">
        <v>0.74</v>
      </c>
      <c r="E1583" s="1" t="s">
        <v>115</v>
      </c>
      <c r="F1583" s="1" t="s">
        <v>115</v>
      </c>
      <c r="G1583" s="1" t="s">
        <v>115</v>
      </c>
      <c r="H1583" s="1" t="str">
        <f>VLOOKUP(F1583,Countries!$A$1:$B$161,2,0)</f>
        <v>Switzerland</v>
      </c>
    </row>
    <row r="1584" spans="1:8" x14ac:dyDescent="0.3">
      <c r="A1584" s="3">
        <v>46258.920324074083</v>
      </c>
      <c r="B1584" s="1">
        <v>2.99</v>
      </c>
      <c r="C1584" s="1">
        <v>2.56</v>
      </c>
      <c r="D1584" s="1">
        <v>0.34</v>
      </c>
      <c r="E1584" s="1" t="s">
        <v>178</v>
      </c>
      <c r="F1584" s="1" t="s">
        <v>178</v>
      </c>
      <c r="G1584" s="1" t="s">
        <v>178</v>
      </c>
      <c r="H1584" s="1" t="str">
        <f>VLOOKUP(F1584,Countries!$A$1:$B$161,2,0)</f>
        <v>Sweden</v>
      </c>
    </row>
    <row r="1585" spans="1:8" x14ac:dyDescent="0.3">
      <c r="A1585" s="3">
        <v>46258.920219907413</v>
      </c>
      <c r="B1585" s="1">
        <v>10.85</v>
      </c>
      <c r="C1585" s="1">
        <v>9.3000000000000007</v>
      </c>
      <c r="D1585" s="1">
        <v>0.74</v>
      </c>
      <c r="E1585" s="1" t="s">
        <v>115</v>
      </c>
      <c r="F1585" s="1" t="s">
        <v>115</v>
      </c>
      <c r="G1585" s="1" t="s">
        <v>115</v>
      </c>
      <c r="H1585" s="1" t="str">
        <f>VLOOKUP(F1585,Countries!$A$1:$B$161,2,0)</f>
        <v>Switzerland</v>
      </c>
    </row>
    <row r="1586" spans="1:8" x14ac:dyDescent="0.3">
      <c r="A1586" s="3">
        <v>46258.918854166674</v>
      </c>
      <c r="B1586" s="1">
        <v>6.37</v>
      </c>
      <c r="C1586" s="1">
        <v>5.46</v>
      </c>
      <c r="D1586" s="1">
        <v>0.54</v>
      </c>
      <c r="E1586" s="1" t="s">
        <v>113</v>
      </c>
      <c r="F1586" s="1" t="s">
        <v>113</v>
      </c>
      <c r="G1586" s="1" t="s">
        <v>113</v>
      </c>
      <c r="H1586" s="1" t="str">
        <f>VLOOKUP(F1586,Countries!$A$1:$B$161,2,0)</f>
        <v>United States of America</v>
      </c>
    </row>
    <row r="1587" spans="1:8" x14ac:dyDescent="0.3">
      <c r="A1587" s="3">
        <v>46258.915370370371</v>
      </c>
      <c r="B1587" s="1">
        <v>6.37</v>
      </c>
      <c r="C1587" s="1">
        <v>5.46</v>
      </c>
      <c r="D1587" s="1">
        <v>0.54</v>
      </c>
      <c r="E1587" s="1" t="s">
        <v>113</v>
      </c>
      <c r="F1587" s="1" t="s">
        <v>113</v>
      </c>
      <c r="G1587" s="1" t="s">
        <v>113</v>
      </c>
      <c r="H1587" s="1" t="str">
        <f>VLOOKUP(F1587,Countries!$A$1:$B$161,2,0)</f>
        <v>United States of America</v>
      </c>
    </row>
    <row r="1588" spans="1:8" x14ac:dyDescent="0.3">
      <c r="A1588" s="3">
        <v>46258.910601851851</v>
      </c>
      <c r="B1588" s="1">
        <v>10.85</v>
      </c>
      <c r="C1588" s="1">
        <v>9.3000000000000007</v>
      </c>
      <c r="D1588" s="1">
        <v>0.74</v>
      </c>
      <c r="E1588" s="1" t="s">
        <v>115</v>
      </c>
      <c r="F1588" s="1" t="s">
        <v>115</v>
      </c>
      <c r="G1588" s="1" t="s">
        <v>115</v>
      </c>
      <c r="H1588" s="1" t="str">
        <f>VLOOKUP(F1588,Countries!$A$1:$B$161,2,0)</f>
        <v>Switzerland</v>
      </c>
    </row>
    <row r="1589" spans="1:8" x14ac:dyDescent="0.3">
      <c r="A1589" s="3">
        <v>46258.905115740738</v>
      </c>
      <c r="B1589" s="1">
        <v>10.85</v>
      </c>
      <c r="C1589" s="1">
        <v>9.3000000000000007</v>
      </c>
      <c r="D1589" s="1">
        <v>0.74</v>
      </c>
      <c r="E1589" s="1" t="s">
        <v>115</v>
      </c>
      <c r="F1589" s="1" t="s">
        <v>115</v>
      </c>
      <c r="G1589" s="1" t="s">
        <v>115</v>
      </c>
      <c r="H1589" s="1" t="str">
        <f>VLOOKUP(F1589,Countries!$A$1:$B$161,2,0)</f>
        <v>Switzerland</v>
      </c>
    </row>
    <row r="1590" spans="1:8" x14ac:dyDescent="0.3">
      <c r="A1590" s="3">
        <v>46258.899965277778</v>
      </c>
      <c r="B1590" s="1">
        <v>7.48</v>
      </c>
      <c r="C1590" s="1">
        <v>6.41</v>
      </c>
      <c r="D1590" s="1">
        <v>0.54</v>
      </c>
      <c r="E1590" s="1" t="s">
        <v>119</v>
      </c>
      <c r="F1590" s="1" t="s">
        <v>119</v>
      </c>
      <c r="G1590" s="1" t="s">
        <v>119</v>
      </c>
      <c r="H1590" s="1" t="str">
        <f>VLOOKUP(F1590,Countries!$A$1:$B$161,2,0)</f>
        <v>Great Britain (United Kingdom)</v>
      </c>
    </row>
    <row r="1591" spans="1:8" x14ac:dyDescent="0.3">
      <c r="A1591" s="3">
        <v>46258.895949074067</v>
      </c>
      <c r="B1591" s="1">
        <v>1.99</v>
      </c>
      <c r="C1591" s="1">
        <v>1.71</v>
      </c>
      <c r="D1591" s="1">
        <v>0.31</v>
      </c>
      <c r="E1591" s="1" t="s">
        <v>192</v>
      </c>
      <c r="F1591" s="1" t="s">
        <v>192</v>
      </c>
      <c r="G1591" s="1" t="s">
        <v>192</v>
      </c>
      <c r="H1591" s="1" t="str">
        <f>VLOOKUP(F1591,Countries!$A$1:$B$161,2,0)</f>
        <v>Lithuania</v>
      </c>
    </row>
    <row r="1592" spans="1:8" x14ac:dyDescent="0.3">
      <c r="A1592" s="3">
        <v>46258.893645833326</v>
      </c>
      <c r="B1592" s="1">
        <v>8.5</v>
      </c>
      <c r="C1592" s="1">
        <v>7.29</v>
      </c>
      <c r="D1592" s="1">
        <v>0.64</v>
      </c>
      <c r="E1592" s="1" t="s">
        <v>113</v>
      </c>
      <c r="F1592" s="1" t="s">
        <v>113</v>
      </c>
      <c r="G1592" s="1" t="s">
        <v>113</v>
      </c>
      <c r="H1592" s="1" t="str">
        <f>VLOOKUP(F1592,Countries!$A$1:$B$161,2,0)</f>
        <v>United States of America</v>
      </c>
    </row>
    <row r="1593" spans="1:8" x14ac:dyDescent="0.3">
      <c r="A1593" s="3">
        <v>46258.889039351852</v>
      </c>
      <c r="B1593" s="1">
        <v>2.11</v>
      </c>
      <c r="C1593" s="1">
        <v>1.81</v>
      </c>
      <c r="D1593" s="1">
        <v>0.35</v>
      </c>
      <c r="E1593" s="1" t="s">
        <v>113</v>
      </c>
      <c r="F1593" s="1" t="s">
        <v>113</v>
      </c>
      <c r="G1593" s="1" t="s">
        <v>113</v>
      </c>
      <c r="H1593" s="1" t="str">
        <f>VLOOKUP(F1593,Countries!$A$1:$B$161,2,0)</f>
        <v>United States of America</v>
      </c>
    </row>
    <row r="1594" spans="1:8" x14ac:dyDescent="0.3">
      <c r="A1594" s="3">
        <v>46258.88318287037</v>
      </c>
      <c r="B1594" s="1">
        <v>2.11</v>
      </c>
      <c r="C1594" s="1">
        <v>1.81</v>
      </c>
      <c r="D1594" s="1">
        <v>0.35</v>
      </c>
      <c r="E1594" s="1" t="s">
        <v>113</v>
      </c>
      <c r="F1594" s="1" t="s">
        <v>113</v>
      </c>
      <c r="G1594" s="1" t="s">
        <v>113</v>
      </c>
      <c r="H1594" s="1" t="str">
        <f>VLOOKUP(F1594,Countries!$A$1:$B$161,2,0)</f>
        <v>United States of America</v>
      </c>
    </row>
    <row r="1595" spans="1:8" x14ac:dyDescent="0.3">
      <c r="A1595" s="3">
        <v>46258.881643518522</v>
      </c>
      <c r="B1595" s="1">
        <v>6.58</v>
      </c>
      <c r="C1595" s="1">
        <v>5.64</v>
      </c>
      <c r="D1595" s="1">
        <v>0.54</v>
      </c>
      <c r="E1595" s="1" t="s">
        <v>152</v>
      </c>
      <c r="F1595" s="1" t="s">
        <v>152</v>
      </c>
      <c r="G1595" s="1" t="s">
        <v>152</v>
      </c>
      <c r="H1595" s="1" t="str">
        <f>VLOOKUP(F1595,Countries!$A$1:$B$161,2,0)</f>
        <v>Singapore</v>
      </c>
    </row>
    <row r="1596" spans="1:8" x14ac:dyDescent="0.3">
      <c r="A1596" s="3">
        <v>46258.879999999997</v>
      </c>
      <c r="B1596" s="1">
        <v>10.85</v>
      </c>
      <c r="C1596" s="1">
        <v>9.3000000000000007</v>
      </c>
      <c r="D1596" s="1">
        <v>0.74</v>
      </c>
      <c r="E1596" s="1" t="s">
        <v>115</v>
      </c>
      <c r="F1596" s="1" t="s">
        <v>115</v>
      </c>
      <c r="G1596" s="1" t="s">
        <v>115</v>
      </c>
      <c r="H1596" s="1" t="str">
        <f>VLOOKUP(F1596,Countries!$A$1:$B$161,2,0)</f>
        <v>Switzerland</v>
      </c>
    </row>
    <row r="1597" spans="1:8" x14ac:dyDescent="0.3">
      <c r="A1597" s="3">
        <v>46258.875601851847</v>
      </c>
      <c r="B1597" s="1">
        <v>17.010000000000002</v>
      </c>
      <c r="C1597" s="1">
        <v>14.59</v>
      </c>
      <c r="D1597" s="1">
        <v>1.01</v>
      </c>
      <c r="E1597" s="1" t="s">
        <v>113</v>
      </c>
      <c r="F1597" s="1" t="s">
        <v>113</v>
      </c>
      <c r="G1597" s="1" t="s">
        <v>113</v>
      </c>
      <c r="H1597" s="1" t="str">
        <f>VLOOKUP(F1597,Countries!$A$1:$B$161,2,0)</f>
        <v>United States of America</v>
      </c>
    </row>
    <row r="1598" spans="1:8" x14ac:dyDescent="0.3">
      <c r="A1598" s="3">
        <v>46258.874201388891</v>
      </c>
      <c r="B1598" s="1">
        <v>27.8</v>
      </c>
      <c r="C1598" s="1">
        <v>23.84</v>
      </c>
      <c r="D1598" s="1">
        <v>1.5</v>
      </c>
      <c r="E1598" s="1" t="s">
        <v>113</v>
      </c>
      <c r="F1598" s="1" t="s">
        <v>113</v>
      </c>
      <c r="G1598" s="1" t="s">
        <v>113</v>
      </c>
      <c r="H1598" s="1" t="str">
        <f>VLOOKUP(F1598,Countries!$A$1:$B$161,2,0)</f>
        <v>United States of America</v>
      </c>
    </row>
    <row r="1599" spans="1:8" x14ac:dyDescent="0.3">
      <c r="A1599" s="3">
        <v>46258.860393518517</v>
      </c>
      <c r="B1599" s="1">
        <v>17.010000000000002</v>
      </c>
      <c r="C1599" s="1">
        <v>14.59</v>
      </c>
      <c r="D1599" s="1">
        <v>1.01</v>
      </c>
      <c r="E1599" s="1" t="s">
        <v>113</v>
      </c>
      <c r="F1599" s="1" t="s">
        <v>113</v>
      </c>
      <c r="G1599" s="1" t="s">
        <v>113</v>
      </c>
      <c r="H1599" s="1" t="str">
        <f>VLOOKUP(F1599,Countries!$A$1:$B$161,2,0)</f>
        <v>United States of America</v>
      </c>
    </row>
    <row r="1600" spans="1:8" x14ac:dyDescent="0.3">
      <c r="A1600" s="3">
        <v>46258.850648148153</v>
      </c>
      <c r="B1600" s="1">
        <v>6.37</v>
      </c>
      <c r="C1600" s="1">
        <v>5.46</v>
      </c>
      <c r="D1600" s="1">
        <v>0.54</v>
      </c>
      <c r="E1600" s="1" t="s">
        <v>113</v>
      </c>
      <c r="F1600" s="1" t="s">
        <v>113</v>
      </c>
      <c r="G1600" s="1" t="s">
        <v>113</v>
      </c>
      <c r="H1600" s="1" t="str">
        <f>VLOOKUP(F1600,Countries!$A$1:$B$161,2,0)</f>
        <v>United States of America</v>
      </c>
    </row>
    <row r="1601" spans="1:8" x14ac:dyDescent="0.3">
      <c r="A1601" s="3">
        <v>46258.845509259263</v>
      </c>
      <c r="B1601" s="1">
        <v>3.88</v>
      </c>
      <c r="C1601" s="1">
        <v>3.33</v>
      </c>
      <c r="D1601" s="1">
        <v>0.37</v>
      </c>
      <c r="E1601" s="1" t="s">
        <v>117</v>
      </c>
      <c r="F1601" s="1" t="s">
        <v>117</v>
      </c>
      <c r="G1601" s="1" t="s">
        <v>117</v>
      </c>
      <c r="H1601" s="1" t="str">
        <f>VLOOKUP(F1601,Countries!$A$1:$B$161,2,0)</f>
        <v>Slovak Republic</v>
      </c>
    </row>
    <row r="1602" spans="1:8" x14ac:dyDescent="0.3">
      <c r="A1602" s="3">
        <v>46258.8434837963</v>
      </c>
      <c r="B1602" s="1">
        <v>6.37</v>
      </c>
      <c r="C1602" s="1">
        <v>5.46</v>
      </c>
      <c r="D1602" s="1">
        <v>0.54</v>
      </c>
      <c r="E1602" s="1" t="s">
        <v>113</v>
      </c>
      <c r="F1602" s="1" t="s">
        <v>113</v>
      </c>
      <c r="G1602" s="1" t="s">
        <v>113</v>
      </c>
      <c r="H1602" s="1" t="str">
        <f>VLOOKUP(F1602,Countries!$A$1:$B$161,2,0)</f>
        <v>United States of America</v>
      </c>
    </row>
    <row r="1603" spans="1:8" x14ac:dyDescent="0.3">
      <c r="A1603" s="3">
        <v>46258.837337962963</v>
      </c>
      <c r="B1603" s="1">
        <v>6.37</v>
      </c>
      <c r="C1603" s="1">
        <v>5.46</v>
      </c>
      <c r="D1603" s="1">
        <v>0.54</v>
      </c>
      <c r="E1603" s="1" t="s">
        <v>113</v>
      </c>
      <c r="F1603" s="1" t="s">
        <v>113</v>
      </c>
      <c r="G1603" s="1" t="s">
        <v>113</v>
      </c>
      <c r="H1603" s="1" t="str">
        <f>VLOOKUP(F1603,Countries!$A$1:$B$161,2,0)</f>
        <v>United States of America</v>
      </c>
    </row>
    <row r="1604" spans="1:8" x14ac:dyDescent="0.3">
      <c r="A1604" s="3">
        <v>46258.829328703701</v>
      </c>
      <c r="B1604" s="1">
        <v>10.85</v>
      </c>
      <c r="C1604" s="1">
        <v>9.3000000000000007</v>
      </c>
      <c r="D1604" s="1">
        <v>0.74</v>
      </c>
      <c r="E1604" s="1" t="s">
        <v>115</v>
      </c>
      <c r="F1604" s="1" t="s">
        <v>115</v>
      </c>
      <c r="G1604" s="1" t="s">
        <v>115</v>
      </c>
      <c r="H1604" s="1" t="str">
        <f>VLOOKUP(F1604,Countries!$A$1:$B$161,2,0)</f>
        <v>Switzerland</v>
      </c>
    </row>
    <row r="1605" spans="1:8" x14ac:dyDescent="0.3">
      <c r="A1605" s="3">
        <v>46258.829201388893</v>
      </c>
      <c r="B1605" s="1">
        <v>12.97</v>
      </c>
      <c r="C1605" s="1">
        <v>11.12</v>
      </c>
      <c r="D1605" s="1">
        <v>0.64</v>
      </c>
      <c r="E1605" s="1" t="s">
        <v>137</v>
      </c>
      <c r="F1605" s="1" t="s">
        <v>137</v>
      </c>
      <c r="G1605" s="1" t="s">
        <v>137</v>
      </c>
      <c r="H1605" s="1" t="str">
        <f>VLOOKUP(F1605,Countries!$A$1:$B$161,2,0)</f>
        <v>Poland</v>
      </c>
    </row>
    <row r="1606" spans="1:8" x14ac:dyDescent="0.3">
      <c r="A1606" s="3">
        <v>46258.828263888892</v>
      </c>
      <c r="B1606" s="1">
        <v>5.18</v>
      </c>
      <c r="C1606" s="1">
        <v>4.4400000000000004</v>
      </c>
      <c r="D1606" s="1">
        <v>0.41</v>
      </c>
      <c r="E1606" s="1" t="s">
        <v>137</v>
      </c>
      <c r="F1606" s="1" t="s">
        <v>137</v>
      </c>
      <c r="G1606" s="1" t="s">
        <v>137</v>
      </c>
      <c r="H1606" s="1" t="str">
        <f>VLOOKUP(F1606,Countries!$A$1:$B$161,2,0)</f>
        <v>Poland</v>
      </c>
    </row>
    <row r="1607" spans="1:8" x14ac:dyDescent="0.3">
      <c r="A1607" s="3">
        <v>46258.823194444441</v>
      </c>
      <c r="B1607" s="1">
        <v>6.37</v>
      </c>
      <c r="C1607" s="1">
        <v>5.46</v>
      </c>
      <c r="D1607" s="1">
        <v>0.54</v>
      </c>
      <c r="E1607" s="1" t="s">
        <v>113</v>
      </c>
      <c r="F1607" s="1" t="s">
        <v>113</v>
      </c>
      <c r="G1607" s="1" t="s">
        <v>113</v>
      </c>
      <c r="H1607" s="1" t="str">
        <f>VLOOKUP(F1607,Countries!$A$1:$B$161,2,0)</f>
        <v>United States of America</v>
      </c>
    </row>
    <row r="1608" spans="1:8" x14ac:dyDescent="0.3">
      <c r="A1608" s="3">
        <v>46258.819606481477</v>
      </c>
      <c r="B1608" s="1">
        <v>10.85</v>
      </c>
      <c r="C1608" s="1">
        <v>9.3000000000000007</v>
      </c>
      <c r="D1608" s="1">
        <v>0.74</v>
      </c>
      <c r="E1608" s="1" t="s">
        <v>115</v>
      </c>
      <c r="F1608" s="1" t="s">
        <v>115</v>
      </c>
      <c r="G1608" s="1" t="s">
        <v>115</v>
      </c>
      <c r="H1608" s="1" t="str">
        <f>VLOOKUP(F1608,Countries!$A$1:$B$161,2,0)</f>
        <v>Switzerland</v>
      </c>
    </row>
    <row r="1609" spans="1:8" x14ac:dyDescent="0.3">
      <c r="A1609" s="3">
        <v>46258.813761574071</v>
      </c>
      <c r="B1609" s="1">
        <v>6.37</v>
      </c>
      <c r="C1609" s="1">
        <v>5.46</v>
      </c>
      <c r="D1609" s="1">
        <v>0.54</v>
      </c>
      <c r="E1609" s="1" t="s">
        <v>113</v>
      </c>
      <c r="F1609" s="1" t="s">
        <v>113</v>
      </c>
      <c r="G1609" s="1" t="s">
        <v>113</v>
      </c>
      <c r="H1609" s="1" t="str">
        <f>VLOOKUP(F1609,Countries!$A$1:$B$161,2,0)</f>
        <v>United States of America</v>
      </c>
    </row>
    <row r="1610" spans="1:8" x14ac:dyDescent="0.3">
      <c r="A1610" s="3">
        <v>46258.813634259262</v>
      </c>
      <c r="B1610" s="1">
        <v>6.37</v>
      </c>
      <c r="C1610" s="1">
        <v>5.46</v>
      </c>
      <c r="D1610" s="1">
        <v>0.54</v>
      </c>
      <c r="E1610" s="1" t="s">
        <v>113</v>
      </c>
      <c r="F1610" s="1" t="s">
        <v>113</v>
      </c>
      <c r="G1610" s="1" t="s">
        <v>113</v>
      </c>
      <c r="H1610" s="1" t="str">
        <f>VLOOKUP(F1610,Countries!$A$1:$B$161,2,0)</f>
        <v>United States of America</v>
      </c>
    </row>
    <row r="1611" spans="1:8" x14ac:dyDescent="0.3">
      <c r="A1611" s="3">
        <v>46258.81322916667</v>
      </c>
      <c r="B1611" s="1">
        <v>10.85</v>
      </c>
      <c r="C1611" s="1">
        <v>9.3000000000000007</v>
      </c>
      <c r="D1611" s="1">
        <v>0.74</v>
      </c>
      <c r="E1611" s="1" t="s">
        <v>115</v>
      </c>
      <c r="F1611" s="1" t="s">
        <v>115</v>
      </c>
      <c r="G1611" s="1" t="s">
        <v>115</v>
      </c>
      <c r="H1611" s="1" t="str">
        <f>VLOOKUP(F1611,Countries!$A$1:$B$161,2,0)</f>
        <v>Switzerland</v>
      </c>
    </row>
    <row r="1612" spans="1:8" x14ac:dyDescent="0.3">
      <c r="A1612" s="3">
        <v>46258.807766203703</v>
      </c>
      <c r="B1612" s="1">
        <v>10.85</v>
      </c>
      <c r="C1612" s="1">
        <v>9.3000000000000007</v>
      </c>
      <c r="D1612" s="1">
        <v>0.74</v>
      </c>
      <c r="E1612" s="1" t="s">
        <v>115</v>
      </c>
      <c r="F1612" s="1" t="s">
        <v>115</v>
      </c>
      <c r="G1612" s="1" t="s">
        <v>115</v>
      </c>
      <c r="H1612" s="1" t="str">
        <f>VLOOKUP(F1612,Countries!$A$1:$B$161,2,0)</f>
        <v>Switzerland</v>
      </c>
    </row>
    <row r="1613" spans="1:8" x14ac:dyDescent="0.3">
      <c r="A1613" s="3">
        <v>46258.800509259258</v>
      </c>
      <c r="B1613" s="1">
        <v>59.99</v>
      </c>
      <c r="C1613" s="1">
        <v>51.43</v>
      </c>
      <c r="D1613" s="1">
        <v>2.95</v>
      </c>
      <c r="E1613" s="1" t="s">
        <v>113</v>
      </c>
      <c r="F1613" s="1" t="s">
        <v>113</v>
      </c>
      <c r="G1613" s="1" t="s">
        <v>113</v>
      </c>
      <c r="H1613" s="1" t="str">
        <f>VLOOKUP(F1613,Countries!$A$1:$B$161,2,0)</f>
        <v>United States of America</v>
      </c>
    </row>
    <row r="1614" spans="1:8" x14ac:dyDescent="0.3">
      <c r="A1614" s="3">
        <v>46258.798067129632</v>
      </c>
      <c r="B1614" s="1">
        <v>2.99</v>
      </c>
      <c r="C1614" s="1">
        <v>2.56</v>
      </c>
      <c r="D1614" s="1">
        <v>0.34</v>
      </c>
      <c r="E1614" s="1" t="s">
        <v>120</v>
      </c>
      <c r="F1614" s="1" t="s">
        <v>120</v>
      </c>
      <c r="G1614" s="1" t="s">
        <v>120</v>
      </c>
      <c r="H1614" s="1" t="str">
        <f>VLOOKUP(F1614,Countries!$A$1:$B$161,2,0)</f>
        <v>Czech Republic</v>
      </c>
    </row>
    <row r="1615" spans="1:8" x14ac:dyDescent="0.3">
      <c r="A1615" s="3">
        <v>46258.797800925917</v>
      </c>
      <c r="B1615" s="1">
        <v>59.03</v>
      </c>
      <c r="C1615" s="1">
        <v>50.61</v>
      </c>
      <c r="D1615" s="1">
        <v>2.9</v>
      </c>
      <c r="E1615" s="1" t="s">
        <v>113</v>
      </c>
      <c r="F1615" s="1" t="s">
        <v>113</v>
      </c>
      <c r="G1615" s="1" t="s">
        <v>113</v>
      </c>
      <c r="H1615" s="1" t="str">
        <f>VLOOKUP(F1615,Countries!$A$1:$B$161,2,0)</f>
        <v>United States of America</v>
      </c>
    </row>
    <row r="1616" spans="1:8" x14ac:dyDescent="0.3">
      <c r="A1616" s="3">
        <v>46258.795925925922</v>
      </c>
      <c r="B1616" s="1">
        <v>17.010000000000002</v>
      </c>
      <c r="C1616" s="1">
        <v>14.58</v>
      </c>
      <c r="D1616" s="1">
        <v>1.01</v>
      </c>
      <c r="E1616" s="1" t="s">
        <v>113</v>
      </c>
      <c r="F1616" s="1" t="s">
        <v>113</v>
      </c>
      <c r="G1616" s="1" t="s">
        <v>113</v>
      </c>
      <c r="H1616" s="1" t="str">
        <f>VLOOKUP(F1616,Countries!$A$1:$B$161,2,0)</f>
        <v>United States of America</v>
      </c>
    </row>
    <row r="1617" spans="1:8" x14ac:dyDescent="0.3">
      <c r="A1617" s="3">
        <v>46258.793356481481</v>
      </c>
      <c r="B1617" s="1">
        <v>6.65</v>
      </c>
      <c r="C1617" s="1">
        <v>5.7</v>
      </c>
      <c r="D1617" s="1">
        <v>0.55000000000000004</v>
      </c>
      <c r="E1617" s="1" t="s">
        <v>121</v>
      </c>
      <c r="F1617" s="1" t="s">
        <v>121</v>
      </c>
      <c r="G1617" s="1" t="s">
        <v>121</v>
      </c>
      <c r="H1617" s="1" t="str">
        <f>VLOOKUP(F1617,Countries!$A$1:$B$161,2,0)</f>
        <v>Japan</v>
      </c>
    </row>
    <row r="1618" spans="1:8" x14ac:dyDescent="0.3">
      <c r="A1618" s="3">
        <v>46258.789872685193</v>
      </c>
      <c r="B1618" s="1">
        <v>3.98</v>
      </c>
      <c r="C1618" s="1">
        <v>3.41</v>
      </c>
      <c r="D1618" s="1">
        <v>0.37</v>
      </c>
      <c r="E1618" s="1" t="s">
        <v>125</v>
      </c>
      <c r="F1618" s="1" t="s">
        <v>125</v>
      </c>
      <c r="G1618" s="1" t="s">
        <v>125</v>
      </c>
      <c r="H1618" s="1" t="str">
        <f>VLOOKUP(F1618,Countries!$A$1:$B$161,2,0)</f>
        <v>Norway</v>
      </c>
    </row>
    <row r="1619" spans="1:8" x14ac:dyDescent="0.3">
      <c r="A1619" s="3">
        <v>46258.784363425933</v>
      </c>
      <c r="B1619" s="1">
        <v>10.85</v>
      </c>
      <c r="C1619" s="1">
        <v>9.31</v>
      </c>
      <c r="D1619" s="1">
        <v>0.74</v>
      </c>
      <c r="E1619" s="1" t="s">
        <v>115</v>
      </c>
      <c r="F1619" s="1" t="s">
        <v>115</v>
      </c>
      <c r="G1619" s="1" t="s">
        <v>115</v>
      </c>
      <c r="H1619" s="1" t="str">
        <f>VLOOKUP(F1619,Countries!$A$1:$B$161,2,0)</f>
        <v>Switzerland</v>
      </c>
    </row>
    <row r="1620" spans="1:8" x14ac:dyDescent="0.3">
      <c r="A1620" s="3">
        <v>46258.783078703702</v>
      </c>
      <c r="B1620" s="1">
        <v>5.99</v>
      </c>
      <c r="C1620" s="1">
        <v>5.14</v>
      </c>
      <c r="D1620" s="1">
        <v>0.52</v>
      </c>
      <c r="E1620" s="1" t="s">
        <v>113</v>
      </c>
      <c r="F1620" s="1" t="s">
        <v>113</v>
      </c>
      <c r="G1620" s="1" t="s">
        <v>113</v>
      </c>
      <c r="H1620" s="1" t="str">
        <f>VLOOKUP(F1620,Countries!$A$1:$B$161,2,0)</f>
        <v>United States of America</v>
      </c>
    </row>
    <row r="1621" spans="1:8" x14ac:dyDescent="0.3">
      <c r="A1621" s="3">
        <v>46258.777303240742</v>
      </c>
      <c r="B1621" s="1">
        <v>6.37</v>
      </c>
      <c r="C1621" s="1">
        <v>5.46</v>
      </c>
      <c r="D1621" s="1">
        <v>0.54</v>
      </c>
      <c r="E1621" s="1" t="s">
        <v>113</v>
      </c>
      <c r="F1621" s="1" t="s">
        <v>113</v>
      </c>
      <c r="G1621" s="1" t="s">
        <v>113</v>
      </c>
      <c r="H1621" s="1" t="str">
        <f>VLOOKUP(F1621,Countries!$A$1:$B$161,2,0)</f>
        <v>United States of America</v>
      </c>
    </row>
    <row r="1622" spans="1:8" x14ac:dyDescent="0.3">
      <c r="A1622" s="3">
        <v>46258.773287037038</v>
      </c>
      <c r="B1622" s="1">
        <v>3.39</v>
      </c>
      <c r="C1622" s="1">
        <v>2.91</v>
      </c>
      <c r="D1622" s="1">
        <v>0.4</v>
      </c>
      <c r="E1622" s="1" t="s">
        <v>114</v>
      </c>
      <c r="F1622" s="1" t="s">
        <v>114</v>
      </c>
      <c r="G1622" s="1" t="s">
        <v>114</v>
      </c>
      <c r="H1622" s="1" t="str">
        <f>VLOOKUP(F1622,Countries!$A$1:$B$161,2,0)</f>
        <v>Philippines</v>
      </c>
    </row>
    <row r="1623" spans="1:8" x14ac:dyDescent="0.3">
      <c r="A1623" s="3">
        <v>46258.767430555563</v>
      </c>
      <c r="B1623" s="1">
        <v>7.48</v>
      </c>
      <c r="C1623" s="1">
        <v>6.42</v>
      </c>
      <c r="D1623" s="1">
        <v>0.54</v>
      </c>
      <c r="E1623" s="1" t="s">
        <v>119</v>
      </c>
      <c r="F1623" s="1" t="s">
        <v>119</v>
      </c>
      <c r="G1623" s="1" t="s">
        <v>119</v>
      </c>
      <c r="H1623" s="1" t="str">
        <f>VLOOKUP(F1623,Countries!$A$1:$B$161,2,0)</f>
        <v>Great Britain (United Kingdom)</v>
      </c>
    </row>
    <row r="1624" spans="1:8" x14ac:dyDescent="0.3">
      <c r="A1624" s="3">
        <v>46258.764456018522</v>
      </c>
      <c r="B1624" s="1">
        <v>10.85</v>
      </c>
      <c r="C1624" s="1">
        <v>9.31</v>
      </c>
      <c r="D1624" s="1">
        <v>0.74</v>
      </c>
      <c r="E1624" s="1" t="s">
        <v>115</v>
      </c>
      <c r="F1624" s="1" t="s">
        <v>115</v>
      </c>
      <c r="G1624" s="1" t="s">
        <v>115</v>
      </c>
      <c r="H1624" s="1" t="str">
        <f>VLOOKUP(F1624,Countries!$A$1:$B$161,2,0)</f>
        <v>Switzerland</v>
      </c>
    </row>
    <row r="1625" spans="1:8" x14ac:dyDescent="0.3">
      <c r="A1625" s="3">
        <v>46258.760682870372</v>
      </c>
      <c r="B1625" s="1">
        <v>6.37</v>
      </c>
      <c r="C1625" s="1">
        <v>5.46</v>
      </c>
      <c r="D1625" s="1">
        <v>0.54</v>
      </c>
      <c r="E1625" s="1" t="s">
        <v>113</v>
      </c>
      <c r="F1625" s="1" t="s">
        <v>113</v>
      </c>
      <c r="G1625" s="1" t="s">
        <v>113</v>
      </c>
      <c r="H1625" s="1" t="str">
        <f>VLOOKUP(F1625,Countries!$A$1:$B$161,2,0)</f>
        <v>United States of America</v>
      </c>
    </row>
    <row r="1626" spans="1:8" x14ac:dyDescent="0.3">
      <c r="A1626" s="3">
        <v>46258.741712962961</v>
      </c>
      <c r="B1626" s="1">
        <v>10.62</v>
      </c>
      <c r="C1626" s="1">
        <v>9.1</v>
      </c>
      <c r="D1626" s="1">
        <v>0.73</v>
      </c>
      <c r="E1626" s="1" t="s">
        <v>113</v>
      </c>
      <c r="F1626" s="1" t="s">
        <v>113</v>
      </c>
      <c r="G1626" s="1" t="s">
        <v>113</v>
      </c>
      <c r="H1626" s="1" t="str">
        <f>VLOOKUP(F1626,Countries!$A$1:$B$161,2,0)</f>
        <v>United States of America</v>
      </c>
    </row>
    <row r="1627" spans="1:8" x14ac:dyDescent="0.3">
      <c r="A1627" s="3">
        <v>46258.739236111112</v>
      </c>
      <c r="B1627" s="1">
        <v>15.95</v>
      </c>
      <c r="C1627" s="1">
        <v>13.67</v>
      </c>
      <c r="D1627" s="1">
        <v>0.96</v>
      </c>
      <c r="E1627" s="1" t="s">
        <v>113</v>
      </c>
      <c r="F1627" s="1" t="s">
        <v>113</v>
      </c>
      <c r="G1627" s="1" t="s">
        <v>113</v>
      </c>
      <c r="H1627" s="1" t="str">
        <f>VLOOKUP(F1627,Countries!$A$1:$B$161,2,0)</f>
        <v>United States of America</v>
      </c>
    </row>
    <row r="1628" spans="1:8" x14ac:dyDescent="0.3">
      <c r="A1628" s="3">
        <v>46258.736932870372</v>
      </c>
      <c r="B1628" s="1">
        <v>6.37</v>
      </c>
      <c r="C1628" s="1">
        <v>5.46</v>
      </c>
      <c r="D1628" s="1">
        <v>0.54</v>
      </c>
      <c r="E1628" s="1" t="s">
        <v>113</v>
      </c>
      <c r="F1628" s="1" t="s">
        <v>113</v>
      </c>
      <c r="G1628" s="1" t="s">
        <v>113</v>
      </c>
      <c r="H1628" s="1" t="str">
        <f>VLOOKUP(F1628,Countries!$A$1:$B$161,2,0)</f>
        <v>United States of America</v>
      </c>
    </row>
    <row r="1629" spans="1:8" x14ac:dyDescent="0.3">
      <c r="A1629" s="3">
        <v>46258.724756944437</v>
      </c>
      <c r="B1629" s="1">
        <v>6.37</v>
      </c>
      <c r="C1629" s="1">
        <v>5.46</v>
      </c>
      <c r="D1629" s="1">
        <v>0.54</v>
      </c>
      <c r="E1629" s="1" t="s">
        <v>113</v>
      </c>
      <c r="F1629" s="1" t="s">
        <v>113</v>
      </c>
      <c r="G1629" s="1" t="s">
        <v>113</v>
      </c>
      <c r="H1629" s="1" t="str">
        <f>VLOOKUP(F1629,Countries!$A$1:$B$161,2,0)</f>
        <v>United States of America</v>
      </c>
    </row>
    <row r="1630" spans="1:8" x14ac:dyDescent="0.3">
      <c r="A1630" s="3">
        <v>46258.705138888887</v>
      </c>
      <c r="B1630" s="1">
        <v>6.37</v>
      </c>
      <c r="C1630" s="1">
        <v>5.46</v>
      </c>
      <c r="D1630" s="1">
        <v>0.54</v>
      </c>
      <c r="E1630" s="1" t="s">
        <v>113</v>
      </c>
      <c r="F1630" s="1" t="s">
        <v>113</v>
      </c>
      <c r="G1630" s="1" t="s">
        <v>113</v>
      </c>
      <c r="H1630" s="1" t="str">
        <f>VLOOKUP(F1630,Countries!$A$1:$B$161,2,0)</f>
        <v>United States of America</v>
      </c>
    </row>
    <row r="1631" spans="1:8" x14ac:dyDescent="0.3">
      <c r="A1631" s="3">
        <v>46258.693344907413</v>
      </c>
      <c r="B1631" s="1">
        <v>6.37</v>
      </c>
      <c r="C1631" s="1">
        <v>5.46</v>
      </c>
      <c r="D1631" s="1">
        <v>0.54</v>
      </c>
      <c r="E1631" s="1" t="s">
        <v>113</v>
      </c>
      <c r="F1631" s="1" t="s">
        <v>113</v>
      </c>
      <c r="G1631" s="1" t="s">
        <v>113</v>
      </c>
      <c r="H1631" s="1" t="str">
        <f>VLOOKUP(F1631,Countries!$A$1:$B$161,2,0)</f>
        <v>United States of America</v>
      </c>
    </row>
    <row r="1632" spans="1:8" x14ac:dyDescent="0.3">
      <c r="A1632" s="3">
        <v>46258.677233796298</v>
      </c>
      <c r="B1632" s="1">
        <v>6.37</v>
      </c>
      <c r="C1632" s="1">
        <v>5.46</v>
      </c>
      <c r="D1632" s="1">
        <v>0.54</v>
      </c>
      <c r="E1632" s="1" t="s">
        <v>113</v>
      </c>
      <c r="F1632" s="1" t="s">
        <v>113</v>
      </c>
      <c r="G1632" s="1" t="s">
        <v>113</v>
      </c>
      <c r="H1632" s="1" t="str">
        <f>VLOOKUP(F1632,Countries!$A$1:$B$161,2,0)</f>
        <v>United States of America</v>
      </c>
    </row>
    <row r="1633" spans="1:8" x14ac:dyDescent="0.3">
      <c r="A1633" s="3">
        <v>46258.676111111112</v>
      </c>
      <c r="B1633" s="1">
        <v>5.99</v>
      </c>
      <c r="C1633" s="1">
        <v>5.13</v>
      </c>
      <c r="D1633" s="1">
        <v>0.52</v>
      </c>
      <c r="E1633" s="1" t="s">
        <v>113</v>
      </c>
      <c r="F1633" s="1" t="s">
        <v>113</v>
      </c>
      <c r="G1633" s="1" t="s">
        <v>113</v>
      </c>
      <c r="H1633" s="1" t="str">
        <f>VLOOKUP(F1633,Countries!$A$1:$B$161,2,0)</f>
        <v>United States of America</v>
      </c>
    </row>
    <row r="1634" spans="1:8" x14ac:dyDescent="0.3">
      <c r="A1634" s="3">
        <v>46258.673576388886</v>
      </c>
      <c r="B1634" s="1">
        <v>10.62</v>
      </c>
      <c r="C1634" s="1">
        <v>9.1</v>
      </c>
      <c r="D1634" s="1">
        <v>0.73</v>
      </c>
      <c r="E1634" s="1" t="s">
        <v>113</v>
      </c>
      <c r="F1634" s="1" t="s">
        <v>113</v>
      </c>
      <c r="G1634" s="1" t="s">
        <v>113</v>
      </c>
      <c r="H1634" s="1" t="str">
        <f>VLOOKUP(F1634,Countries!$A$1:$B$161,2,0)</f>
        <v>United States of America</v>
      </c>
    </row>
    <row r="1635" spans="1:8" x14ac:dyDescent="0.3">
      <c r="A1635" s="3">
        <v>46258.670069444437</v>
      </c>
      <c r="B1635" s="1">
        <v>14.77</v>
      </c>
      <c r="C1635" s="1">
        <v>12.66</v>
      </c>
      <c r="D1635" s="1">
        <v>0.91</v>
      </c>
      <c r="E1635" s="1" t="s">
        <v>113</v>
      </c>
      <c r="F1635" s="1" t="s">
        <v>113</v>
      </c>
      <c r="G1635" s="1" t="s">
        <v>113</v>
      </c>
      <c r="H1635" s="1" t="str">
        <f>VLOOKUP(F1635,Countries!$A$1:$B$161,2,0)</f>
        <v>United States of America</v>
      </c>
    </row>
    <row r="1636" spans="1:8" x14ac:dyDescent="0.3">
      <c r="A1636" s="3">
        <v>46258.668842592589</v>
      </c>
      <c r="B1636" s="1">
        <v>6.37</v>
      </c>
      <c r="C1636" s="1">
        <v>5.46</v>
      </c>
      <c r="D1636" s="1">
        <v>0.54</v>
      </c>
      <c r="E1636" s="1" t="s">
        <v>113</v>
      </c>
      <c r="F1636" s="1" t="s">
        <v>113</v>
      </c>
      <c r="G1636" s="1" t="s">
        <v>113</v>
      </c>
      <c r="H1636" s="1" t="str">
        <f>VLOOKUP(F1636,Countries!$A$1:$B$161,2,0)</f>
        <v>United States of America</v>
      </c>
    </row>
    <row r="1637" spans="1:8" x14ac:dyDescent="0.3">
      <c r="A1637" s="3">
        <v>46258.663611111107</v>
      </c>
      <c r="B1637" s="1">
        <v>6.37</v>
      </c>
      <c r="C1637" s="1">
        <v>5.46</v>
      </c>
      <c r="D1637" s="1">
        <v>0.54</v>
      </c>
      <c r="E1637" s="1" t="s">
        <v>113</v>
      </c>
      <c r="F1637" s="1" t="s">
        <v>113</v>
      </c>
      <c r="G1637" s="1" t="s">
        <v>113</v>
      </c>
      <c r="H1637" s="1" t="str">
        <f>VLOOKUP(F1637,Countries!$A$1:$B$161,2,0)</f>
        <v>United States of America</v>
      </c>
    </row>
    <row r="1638" spans="1:8" x14ac:dyDescent="0.3">
      <c r="A1638" s="3">
        <v>46258.661354166667</v>
      </c>
      <c r="B1638" s="1">
        <v>4.38</v>
      </c>
      <c r="C1638" s="1">
        <v>3.75</v>
      </c>
      <c r="D1638" s="1">
        <v>0.45</v>
      </c>
      <c r="E1638" s="1" t="s">
        <v>152</v>
      </c>
      <c r="F1638" s="1" t="s">
        <v>152</v>
      </c>
      <c r="G1638" s="1" t="s">
        <v>152</v>
      </c>
      <c r="H1638" s="1" t="str">
        <f>VLOOKUP(F1638,Countries!$A$1:$B$161,2,0)</f>
        <v>Singapore</v>
      </c>
    </row>
    <row r="1639" spans="1:8" x14ac:dyDescent="0.3">
      <c r="A1639" s="3">
        <v>46258.660243055558</v>
      </c>
      <c r="B1639" s="1">
        <v>6.37</v>
      </c>
      <c r="C1639" s="1">
        <v>5.46</v>
      </c>
      <c r="D1639" s="1">
        <v>0.54</v>
      </c>
      <c r="E1639" s="1" t="s">
        <v>113</v>
      </c>
      <c r="F1639" s="1" t="s">
        <v>113</v>
      </c>
      <c r="G1639" s="1" t="s">
        <v>113</v>
      </c>
      <c r="H1639" s="1" t="str">
        <f>VLOOKUP(F1639,Countries!$A$1:$B$161,2,0)</f>
        <v>United States of America</v>
      </c>
    </row>
    <row r="1640" spans="1:8" x14ac:dyDescent="0.3">
      <c r="A1640" s="3">
        <v>46258.658958333333</v>
      </c>
      <c r="B1640" s="1">
        <v>10.62</v>
      </c>
      <c r="C1640" s="1">
        <v>9.1</v>
      </c>
      <c r="D1640" s="1">
        <v>0.73</v>
      </c>
      <c r="E1640" s="1" t="s">
        <v>113</v>
      </c>
      <c r="F1640" s="1" t="s">
        <v>113</v>
      </c>
      <c r="G1640" s="1" t="s">
        <v>113</v>
      </c>
      <c r="H1640" s="1" t="str">
        <f>VLOOKUP(F1640,Countries!$A$1:$B$161,2,0)</f>
        <v>United States of America</v>
      </c>
    </row>
    <row r="1641" spans="1:8" x14ac:dyDescent="0.3">
      <c r="A1641" s="3">
        <v>46258.647997685177</v>
      </c>
      <c r="B1641" s="1">
        <v>11.69</v>
      </c>
      <c r="C1641" s="1">
        <v>10.02</v>
      </c>
      <c r="D1641" s="1">
        <v>0.78</v>
      </c>
      <c r="E1641" s="1" t="s">
        <v>113</v>
      </c>
      <c r="F1641" s="1" t="s">
        <v>113</v>
      </c>
      <c r="G1641" s="1" t="s">
        <v>113</v>
      </c>
      <c r="H1641" s="1" t="str">
        <f>VLOOKUP(F1641,Countries!$A$1:$B$161,2,0)</f>
        <v>United States of America</v>
      </c>
    </row>
    <row r="1642" spans="1:8" x14ac:dyDescent="0.3">
      <c r="A1642" s="3">
        <v>46258.646377314813</v>
      </c>
      <c r="B1642" s="1">
        <v>6.37</v>
      </c>
      <c r="C1642" s="1">
        <v>5.46</v>
      </c>
      <c r="D1642" s="1">
        <v>0.54</v>
      </c>
      <c r="E1642" s="1" t="s">
        <v>113</v>
      </c>
      <c r="F1642" s="1" t="s">
        <v>113</v>
      </c>
      <c r="G1642" s="1" t="s">
        <v>113</v>
      </c>
      <c r="H1642" s="1" t="str">
        <f>VLOOKUP(F1642,Countries!$A$1:$B$161,2,0)</f>
        <v>United States of America</v>
      </c>
    </row>
    <row r="1643" spans="1:8" x14ac:dyDescent="0.3">
      <c r="A1643" s="3">
        <v>46258.642222222217</v>
      </c>
      <c r="B1643" s="1">
        <v>7.77</v>
      </c>
      <c r="C1643" s="1">
        <v>6.66</v>
      </c>
      <c r="D1643" s="1">
        <v>0.48</v>
      </c>
      <c r="E1643" s="1" t="s">
        <v>151</v>
      </c>
      <c r="F1643" s="1" t="s">
        <v>137</v>
      </c>
      <c r="G1643" s="1" t="s">
        <v>137</v>
      </c>
      <c r="H1643" s="1" t="str">
        <f>VLOOKUP(F1643,Countries!$A$1:$B$161,2,0)</f>
        <v>Poland</v>
      </c>
    </row>
    <row r="1644" spans="1:8" x14ac:dyDescent="0.3">
      <c r="A1644" s="3">
        <v>46258.64135416667</v>
      </c>
      <c r="B1644" s="1">
        <v>12.64</v>
      </c>
      <c r="C1644" s="1">
        <v>10.83</v>
      </c>
      <c r="D1644" s="1">
        <v>0.63</v>
      </c>
      <c r="E1644" s="1" t="s">
        <v>151</v>
      </c>
      <c r="F1644" s="1" t="s">
        <v>113</v>
      </c>
      <c r="G1644" s="1" t="s">
        <v>113</v>
      </c>
      <c r="H1644" s="1" t="str">
        <f>VLOOKUP(F1644,Countries!$A$1:$B$161,2,0)</f>
        <v>United States of America</v>
      </c>
    </row>
    <row r="1645" spans="1:8" x14ac:dyDescent="0.3">
      <c r="A1645" s="3">
        <v>46258.63890046296</v>
      </c>
      <c r="B1645" s="1">
        <v>10.85</v>
      </c>
      <c r="C1645" s="1">
        <v>9.3000000000000007</v>
      </c>
      <c r="D1645" s="1">
        <v>0.57999999999999996</v>
      </c>
      <c r="E1645" s="1" t="s">
        <v>193</v>
      </c>
      <c r="F1645" s="1" t="s">
        <v>193</v>
      </c>
      <c r="G1645" s="1" t="s">
        <v>193</v>
      </c>
      <c r="H1645" s="1" t="str">
        <f>VLOOKUP(F1645,Countries!$A$1:$B$161,2,0)</f>
        <v>Liechtenstein</v>
      </c>
    </row>
    <row r="1646" spans="1:8" x14ac:dyDescent="0.3">
      <c r="A1646" s="3">
        <v>46258.615439814806</v>
      </c>
      <c r="B1646" s="1">
        <v>2.09</v>
      </c>
      <c r="C1646" s="1">
        <v>1.79</v>
      </c>
      <c r="D1646" s="1">
        <v>0.35</v>
      </c>
      <c r="E1646" s="1" t="s">
        <v>132</v>
      </c>
      <c r="F1646" s="1" t="s">
        <v>132</v>
      </c>
      <c r="G1646" s="1" t="s">
        <v>132</v>
      </c>
      <c r="H1646" s="1" t="str">
        <f>VLOOKUP(F1646,Countries!$A$1:$B$161,2,0)</f>
        <v>Canada</v>
      </c>
    </row>
    <row r="1647" spans="1:8" x14ac:dyDescent="0.3">
      <c r="A1647" s="3">
        <v>46258.60728009259</v>
      </c>
      <c r="B1647" s="1">
        <v>7.67</v>
      </c>
      <c r="C1647" s="1">
        <v>6.57</v>
      </c>
      <c r="D1647" s="1">
        <v>0.48</v>
      </c>
      <c r="E1647" s="1" t="s">
        <v>124</v>
      </c>
      <c r="F1647" s="1" t="s">
        <v>124</v>
      </c>
      <c r="G1647" s="1" t="s">
        <v>124</v>
      </c>
      <c r="H1647" s="1" t="str">
        <f>VLOOKUP(F1647,Countries!$A$1:$B$161,2,0)</f>
        <v>Italy</v>
      </c>
    </row>
    <row r="1648" spans="1:8" x14ac:dyDescent="0.3">
      <c r="A1648" s="3">
        <v>46258.606307870366</v>
      </c>
      <c r="B1648" s="1">
        <v>6.3</v>
      </c>
      <c r="C1648" s="1">
        <v>5.4</v>
      </c>
      <c r="D1648" s="1">
        <v>0.54</v>
      </c>
      <c r="E1648" s="1" t="s">
        <v>132</v>
      </c>
      <c r="F1648" s="1" t="s">
        <v>132</v>
      </c>
      <c r="G1648" s="1" t="s">
        <v>132</v>
      </c>
      <c r="H1648" s="1" t="str">
        <f>VLOOKUP(F1648,Countries!$A$1:$B$161,2,0)</f>
        <v>Canada</v>
      </c>
    </row>
    <row r="1649" spans="1:8" x14ac:dyDescent="0.3">
      <c r="A1649" s="3">
        <v>46258.605856481481</v>
      </c>
      <c r="B1649" s="1">
        <v>6.37</v>
      </c>
      <c r="C1649" s="1">
        <v>5.46</v>
      </c>
      <c r="D1649" s="1">
        <v>0.54</v>
      </c>
      <c r="E1649" s="1" t="s">
        <v>113</v>
      </c>
      <c r="F1649" s="1" t="s">
        <v>113</v>
      </c>
      <c r="G1649" s="1" t="s">
        <v>113</v>
      </c>
      <c r="H1649" s="1" t="str">
        <f>VLOOKUP(F1649,Countries!$A$1:$B$161,2,0)</f>
        <v>United States of America</v>
      </c>
    </row>
    <row r="1650" spans="1:8" x14ac:dyDescent="0.3">
      <c r="A1650" s="3">
        <v>46258.597893518519</v>
      </c>
      <c r="B1650" s="1">
        <v>14.62</v>
      </c>
      <c r="C1650" s="1">
        <v>12.53</v>
      </c>
      <c r="D1650" s="1">
        <v>0.91</v>
      </c>
      <c r="E1650" s="1" t="s">
        <v>143</v>
      </c>
      <c r="F1650" s="1" t="s">
        <v>143</v>
      </c>
      <c r="G1650" s="1" t="s">
        <v>143</v>
      </c>
      <c r="H1650" s="1" t="str">
        <f>VLOOKUP(F1650,Countries!$A$1:$B$161,2,0)</f>
        <v>United Arab Emirates</v>
      </c>
    </row>
    <row r="1651" spans="1:8" x14ac:dyDescent="0.3">
      <c r="A1651" s="3">
        <v>46258.589236111111</v>
      </c>
      <c r="B1651" s="1">
        <v>6.37</v>
      </c>
      <c r="C1651" s="1">
        <v>5.46</v>
      </c>
      <c r="D1651" s="1">
        <v>0.54</v>
      </c>
      <c r="E1651" s="1" t="s">
        <v>113</v>
      </c>
      <c r="F1651" s="1" t="s">
        <v>113</v>
      </c>
      <c r="G1651" s="1" t="s">
        <v>113</v>
      </c>
      <c r="H1651" s="1" t="str">
        <f>VLOOKUP(F1651,Countries!$A$1:$B$161,2,0)</f>
        <v>United States of America</v>
      </c>
    </row>
    <row r="1652" spans="1:8" x14ac:dyDescent="0.3">
      <c r="A1652" s="3">
        <v>46258.584293981483</v>
      </c>
      <c r="B1652" s="1">
        <v>84.41</v>
      </c>
      <c r="C1652" s="1">
        <v>72.33</v>
      </c>
      <c r="D1652" s="1">
        <v>2.78</v>
      </c>
      <c r="E1652" s="1" t="s">
        <v>137</v>
      </c>
      <c r="F1652" s="1" t="s">
        <v>113</v>
      </c>
      <c r="G1652" s="1" t="s">
        <v>113</v>
      </c>
      <c r="H1652" s="1" t="str">
        <f>VLOOKUP(F1652,Countries!$A$1:$B$161,2,0)</f>
        <v>United States of America</v>
      </c>
    </row>
    <row r="1653" spans="1:8" x14ac:dyDescent="0.3">
      <c r="A1653" s="3">
        <v>46258.578877314823</v>
      </c>
      <c r="B1653" s="1">
        <v>2.99</v>
      </c>
      <c r="C1653" s="1">
        <v>2.56</v>
      </c>
      <c r="D1653" s="1">
        <v>0.38</v>
      </c>
      <c r="E1653" s="1" t="s">
        <v>194</v>
      </c>
      <c r="F1653" s="1" t="s">
        <v>194</v>
      </c>
      <c r="G1653" s="1" t="s">
        <v>194</v>
      </c>
      <c r="H1653" s="1" t="str">
        <f>VLOOKUP(F1653,Countries!$A$1:$B$161,2,0)</f>
        <v>Vietnam</v>
      </c>
    </row>
    <row r="1654" spans="1:8" x14ac:dyDescent="0.3">
      <c r="A1654" s="3">
        <v>46258.575983796298</v>
      </c>
      <c r="B1654" s="1">
        <v>12.97</v>
      </c>
      <c r="C1654" s="1">
        <v>11.11</v>
      </c>
      <c r="D1654" s="1">
        <v>0.64</v>
      </c>
      <c r="E1654" s="1" t="s">
        <v>137</v>
      </c>
      <c r="F1654" s="1" t="s">
        <v>113</v>
      </c>
      <c r="G1654" s="1" t="s">
        <v>113</v>
      </c>
      <c r="H1654" s="1" t="str">
        <f>VLOOKUP(F1654,Countries!$A$1:$B$161,2,0)</f>
        <v>United States of America</v>
      </c>
    </row>
    <row r="1655" spans="1:8" x14ac:dyDescent="0.3">
      <c r="A1655" s="3">
        <v>46258.573935185188</v>
      </c>
      <c r="B1655" s="1">
        <v>45.45</v>
      </c>
      <c r="C1655" s="1">
        <v>38.950000000000003</v>
      </c>
      <c r="D1655" s="1">
        <v>1.61</v>
      </c>
      <c r="E1655" s="1" t="s">
        <v>137</v>
      </c>
      <c r="F1655" s="1" t="s">
        <v>113</v>
      </c>
      <c r="G1655" s="1" t="s">
        <v>113</v>
      </c>
      <c r="H1655" s="1" t="str">
        <f>VLOOKUP(F1655,Countries!$A$1:$B$161,2,0)</f>
        <v>United States of America</v>
      </c>
    </row>
    <row r="1656" spans="1:8" x14ac:dyDescent="0.3">
      <c r="A1656" s="3">
        <v>46258.566377314812</v>
      </c>
      <c r="B1656" s="1">
        <v>6.37</v>
      </c>
      <c r="C1656" s="1">
        <v>5.46</v>
      </c>
      <c r="D1656" s="1">
        <v>0.54</v>
      </c>
      <c r="E1656" s="1" t="s">
        <v>113</v>
      </c>
      <c r="F1656" s="1" t="s">
        <v>113</v>
      </c>
      <c r="G1656" s="1" t="s">
        <v>113</v>
      </c>
      <c r="H1656" s="1" t="str">
        <f>VLOOKUP(F1656,Countries!$A$1:$B$161,2,0)</f>
        <v>United States of America</v>
      </c>
    </row>
    <row r="1657" spans="1:8" x14ac:dyDescent="0.3">
      <c r="A1657" s="3">
        <v>46258.565879629627</v>
      </c>
      <c r="B1657" s="1">
        <v>1.99</v>
      </c>
      <c r="C1657" s="1">
        <v>1.71</v>
      </c>
      <c r="D1657" s="1">
        <v>0.32</v>
      </c>
      <c r="E1657" s="1" t="s">
        <v>119</v>
      </c>
      <c r="F1657" s="1" t="s">
        <v>119</v>
      </c>
      <c r="G1657" s="1" t="s">
        <v>119</v>
      </c>
      <c r="H1657" s="1" t="str">
        <f>VLOOKUP(F1657,Countries!$A$1:$B$161,2,0)</f>
        <v>Great Britain (United Kingdom)</v>
      </c>
    </row>
    <row r="1658" spans="1:8" x14ac:dyDescent="0.3">
      <c r="A1658" s="3">
        <v>46258.559004629627</v>
      </c>
      <c r="B1658" s="1">
        <v>14.62</v>
      </c>
      <c r="C1658" s="1">
        <v>12.53</v>
      </c>
      <c r="D1658" s="1">
        <v>0.91</v>
      </c>
      <c r="E1658" s="1" t="s">
        <v>143</v>
      </c>
      <c r="F1658" s="1" t="s">
        <v>143</v>
      </c>
      <c r="G1658" s="1" t="s">
        <v>143</v>
      </c>
      <c r="H1658" s="1" t="str">
        <f>VLOOKUP(F1658,Countries!$A$1:$B$161,2,0)</f>
        <v>United Arab Emirates</v>
      </c>
    </row>
    <row r="1659" spans="1:8" x14ac:dyDescent="0.3">
      <c r="A1659" s="3">
        <v>46258.554189814808</v>
      </c>
      <c r="B1659" s="1">
        <v>2.11</v>
      </c>
      <c r="C1659" s="1">
        <v>1.81</v>
      </c>
      <c r="D1659" s="1">
        <v>0.35</v>
      </c>
      <c r="E1659" s="1" t="s">
        <v>127</v>
      </c>
      <c r="F1659" s="1" t="s">
        <v>113</v>
      </c>
      <c r="G1659" s="1" t="s">
        <v>113</v>
      </c>
      <c r="H1659" s="1" t="str">
        <f>VLOOKUP(F1659,Countries!$A$1:$B$161,2,0)</f>
        <v>United States of America</v>
      </c>
    </row>
    <row r="1660" spans="1:8" x14ac:dyDescent="0.3">
      <c r="A1660" s="3">
        <v>46258.541516203702</v>
      </c>
      <c r="B1660" s="1">
        <v>5.99</v>
      </c>
      <c r="C1660" s="1">
        <v>5.13</v>
      </c>
      <c r="D1660" s="1">
        <v>0.52</v>
      </c>
      <c r="E1660" s="1" t="s">
        <v>119</v>
      </c>
      <c r="F1660" s="1" t="s">
        <v>129</v>
      </c>
      <c r="G1660" s="1" t="s">
        <v>129</v>
      </c>
      <c r="H1660" s="1" t="str">
        <f>VLOOKUP(F1660,Countries!$A$1:$B$161,2,0)</f>
        <v>Qatar</v>
      </c>
    </row>
    <row r="1661" spans="1:8" x14ac:dyDescent="0.3">
      <c r="A1661" s="3">
        <v>46258.53025462963</v>
      </c>
      <c r="B1661" s="1">
        <v>3.18</v>
      </c>
      <c r="C1661" s="1">
        <v>2.73</v>
      </c>
      <c r="D1661" s="1">
        <v>0.39</v>
      </c>
      <c r="E1661" s="1" t="s">
        <v>113</v>
      </c>
      <c r="F1661" s="1" t="s">
        <v>113</v>
      </c>
      <c r="G1661" s="1" t="s">
        <v>113</v>
      </c>
      <c r="H1661" s="1" t="str">
        <f>VLOOKUP(F1661,Countries!$A$1:$B$161,2,0)</f>
        <v>United States of America</v>
      </c>
    </row>
    <row r="1662" spans="1:8" x14ac:dyDescent="0.3">
      <c r="A1662" s="3">
        <v>46258.525949074072</v>
      </c>
      <c r="B1662" s="1">
        <v>68.42</v>
      </c>
      <c r="C1662" s="1">
        <v>58.65</v>
      </c>
      <c r="D1662" s="1">
        <v>3.33</v>
      </c>
      <c r="E1662" s="1" t="s">
        <v>143</v>
      </c>
      <c r="F1662" s="1" t="s">
        <v>143</v>
      </c>
      <c r="G1662" s="1" t="s">
        <v>143</v>
      </c>
      <c r="H1662" s="1" t="str">
        <f>VLOOKUP(F1662,Countries!$A$1:$B$161,2,0)</f>
        <v>United Arab Emirates</v>
      </c>
    </row>
    <row r="1663" spans="1:8" x14ac:dyDescent="0.3">
      <c r="A1663" s="3">
        <v>46258.524699074071</v>
      </c>
      <c r="B1663" s="1">
        <v>7.48</v>
      </c>
      <c r="C1663" s="1">
        <v>6.41</v>
      </c>
      <c r="D1663" s="1">
        <v>0.59</v>
      </c>
      <c r="E1663" s="1" t="s">
        <v>131</v>
      </c>
      <c r="F1663" s="1" t="s">
        <v>131</v>
      </c>
      <c r="G1663" s="1" t="s">
        <v>131</v>
      </c>
      <c r="H1663" s="1" t="str">
        <f>VLOOKUP(F1663,Countries!$A$1:$B$161,2,0)</f>
        <v>Ukraine</v>
      </c>
    </row>
    <row r="1664" spans="1:8" x14ac:dyDescent="0.3">
      <c r="A1664" s="3">
        <v>46258.524050925917</v>
      </c>
      <c r="B1664" s="1">
        <v>69.36</v>
      </c>
      <c r="C1664" s="1">
        <v>59.45</v>
      </c>
      <c r="D1664" s="1">
        <v>2.93</v>
      </c>
      <c r="E1664" s="1" t="s">
        <v>119</v>
      </c>
      <c r="F1664" s="1" t="s">
        <v>119</v>
      </c>
      <c r="G1664" s="1" t="s">
        <v>119</v>
      </c>
      <c r="H1664" s="1" t="str">
        <f>VLOOKUP(F1664,Countries!$A$1:$B$161,2,0)</f>
        <v>Great Britain (United Kingdom)</v>
      </c>
    </row>
    <row r="1665" spans="1:8" x14ac:dyDescent="0.3">
      <c r="A1665" s="3">
        <v>46258.523541666669</v>
      </c>
      <c r="B1665" s="1">
        <v>10.52</v>
      </c>
      <c r="C1665" s="1">
        <v>9.02</v>
      </c>
      <c r="D1665" s="1">
        <v>0.72</v>
      </c>
      <c r="E1665" s="1" t="s">
        <v>143</v>
      </c>
      <c r="F1665" s="1" t="s">
        <v>143</v>
      </c>
      <c r="G1665" s="1" t="s">
        <v>143</v>
      </c>
      <c r="H1665" s="1" t="str">
        <f>VLOOKUP(F1665,Countries!$A$1:$B$161,2,0)</f>
        <v>United Arab Emirates</v>
      </c>
    </row>
    <row r="1666" spans="1:8" x14ac:dyDescent="0.3">
      <c r="A1666" s="3">
        <v>46258.519733796304</v>
      </c>
      <c r="B1666" s="1">
        <v>23.16</v>
      </c>
      <c r="C1666" s="1">
        <v>19.850000000000001</v>
      </c>
      <c r="D1666" s="1">
        <v>1.3</v>
      </c>
      <c r="E1666" s="1" t="s">
        <v>171</v>
      </c>
      <c r="F1666" s="1" t="s">
        <v>171</v>
      </c>
      <c r="G1666" s="1" t="s">
        <v>171</v>
      </c>
      <c r="H1666" s="1" t="str">
        <f>VLOOKUP(F1666,Countries!$A$1:$B$161,2,0)</f>
        <v>Korea (South)</v>
      </c>
    </row>
    <row r="1667" spans="1:8" x14ac:dyDescent="0.3">
      <c r="A1667" s="3">
        <v>46258.517233796287</v>
      </c>
      <c r="B1667" s="1">
        <v>10.51</v>
      </c>
      <c r="C1667" s="1">
        <v>9.01</v>
      </c>
      <c r="D1667" s="1">
        <v>0.72</v>
      </c>
      <c r="E1667" s="1" t="s">
        <v>143</v>
      </c>
      <c r="F1667" s="1" t="s">
        <v>143</v>
      </c>
      <c r="G1667" s="1" t="s">
        <v>143</v>
      </c>
      <c r="H1667" s="1" t="str">
        <f>VLOOKUP(F1667,Countries!$A$1:$B$161,2,0)</f>
        <v>United Arab Emirates</v>
      </c>
    </row>
    <row r="1668" spans="1:8" x14ac:dyDescent="0.3">
      <c r="A1668" s="3">
        <v>46258.517071759263</v>
      </c>
      <c r="B1668" s="1">
        <v>6.65</v>
      </c>
      <c r="C1668" s="1">
        <v>5.7</v>
      </c>
      <c r="D1668" s="1">
        <v>0.55000000000000004</v>
      </c>
      <c r="E1668" s="1" t="s">
        <v>171</v>
      </c>
      <c r="F1668" s="1" t="s">
        <v>171</v>
      </c>
      <c r="G1668" s="1" t="s">
        <v>171</v>
      </c>
      <c r="H1668" s="1" t="str">
        <f>VLOOKUP(F1668,Countries!$A$1:$B$161,2,0)</f>
        <v>Korea (South)</v>
      </c>
    </row>
    <row r="1669" spans="1:8" x14ac:dyDescent="0.3">
      <c r="A1669" s="3">
        <v>46258.515451388892</v>
      </c>
      <c r="B1669" s="1">
        <v>68.42</v>
      </c>
      <c r="C1669" s="1">
        <v>58.65</v>
      </c>
      <c r="D1669" s="1">
        <v>3.33</v>
      </c>
      <c r="E1669" s="1" t="s">
        <v>143</v>
      </c>
      <c r="F1669" s="1" t="s">
        <v>143</v>
      </c>
      <c r="G1669" s="1" t="s">
        <v>143</v>
      </c>
      <c r="H1669" s="1" t="str">
        <f>VLOOKUP(F1669,Countries!$A$1:$B$161,2,0)</f>
        <v>United Arab Emirates</v>
      </c>
    </row>
    <row r="1670" spans="1:8" x14ac:dyDescent="0.3">
      <c r="A1670" s="3">
        <v>46258.512824074067</v>
      </c>
      <c r="B1670" s="1">
        <v>68.42</v>
      </c>
      <c r="C1670" s="1">
        <v>58.65</v>
      </c>
      <c r="D1670" s="1">
        <v>3.33</v>
      </c>
      <c r="E1670" s="1" t="s">
        <v>143</v>
      </c>
      <c r="F1670" s="1" t="s">
        <v>143</v>
      </c>
      <c r="G1670" s="1" t="s">
        <v>143</v>
      </c>
      <c r="H1670" s="1" t="str">
        <f>VLOOKUP(F1670,Countries!$A$1:$B$161,2,0)</f>
        <v>United Arab Emirates</v>
      </c>
    </row>
    <row r="1671" spans="1:8" x14ac:dyDescent="0.3">
      <c r="A1671" s="3">
        <v>46258.507824074077</v>
      </c>
      <c r="B1671" s="1">
        <v>10.51</v>
      </c>
      <c r="C1671" s="1">
        <v>9.01</v>
      </c>
      <c r="D1671" s="1">
        <v>0.72</v>
      </c>
      <c r="E1671" s="1" t="s">
        <v>143</v>
      </c>
      <c r="F1671" s="1" t="s">
        <v>143</v>
      </c>
      <c r="G1671" s="1" t="s">
        <v>143</v>
      </c>
      <c r="H1671" s="1" t="str">
        <f>VLOOKUP(F1671,Countries!$A$1:$B$161,2,0)</f>
        <v>United Arab Emirates</v>
      </c>
    </row>
    <row r="1672" spans="1:8" x14ac:dyDescent="0.3">
      <c r="A1672" s="3">
        <v>46258.4996875</v>
      </c>
      <c r="B1672" s="1">
        <v>10.85</v>
      </c>
      <c r="C1672" s="1">
        <v>9.3000000000000007</v>
      </c>
      <c r="D1672" s="1">
        <v>0.74</v>
      </c>
      <c r="E1672" s="1" t="s">
        <v>115</v>
      </c>
      <c r="F1672" s="1" t="s">
        <v>115</v>
      </c>
      <c r="G1672" s="1" t="s">
        <v>115</v>
      </c>
      <c r="H1672" s="1" t="str">
        <f>VLOOKUP(F1672,Countries!$A$1:$B$161,2,0)</f>
        <v>Switzerland</v>
      </c>
    </row>
    <row r="1673" spans="1:8" x14ac:dyDescent="0.3">
      <c r="A1673" s="3">
        <v>46258.496724537043</v>
      </c>
      <c r="B1673" s="1">
        <v>19.98</v>
      </c>
      <c r="C1673" s="1">
        <v>17.13</v>
      </c>
      <c r="D1673" s="1">
        <v>1.02</v>
      </c>
      <c r="E1673" s="1" t="s">
        <v>119</v>
      </c>
      <c r="F1673" s="1" t="s">
        <v>119</v>
      </c>
      <c r="G1673" s="1" t="s">
        <v>119</v>
      </c>
      <c r="H1673" s="1" t="str">
        <f>VLOOKUP(F1673,Countries!$A$1:$B$161,2,0)</f>
        <v>Great Britain (United Kingdom)</v>
      </c>
    </row>
    <row r="1674" spans="1:8" x14ac:dyDescent="0.3">
      <c r="A1674" s="3">
        <v>46258.493611111109</v>
      </c>
      <c r="B1674" s="1">
        <v>10.51</v>
      </c>
      <c r="C1674" s="1">
        <v>9.01</v>
      </c>
      <c r="D1674" s="1">
        <v>0.72</v>
      </c>
      <c r="E1674" s="1" t="s">
        <v>143</v>
      </c>
      <c r="F1674" s="1" t="s">
        <v>143</v>
      </c>
      <c r="G1674" s="1" t="s">
        <v>143</v>
      </c>
      <c r="H1674" s="1" t="str">
        <f>VLOOKUP(F1674,Countries!$A$1:$B$161,2,0)</f>
        <v>United Arab Emirates</v>
      </c>
    </row>
    <row r="1675" spans="1:8" x14ac:dyDescent="0.3">
      <c r="A1675" s="3">
        <v>46258.487210648149</v>
      </c>
      <c r="B1675" s="1">
        <v>7.98</v>
      </c>
      <c r="C1675" s="1">
        <v>6.84</v>
      </c>
      <c r="D1675" s="1">
        <v>0.49</v>
      </c>
      <c r="E1675" s="1" t="s">
        <v>133</v>
      </c>
      <c r="F1675" s="1" t="s">
        <v>133</v>
      </c>
      <c r="G1675" s="1" t="s">
        <v>133</v>
      </c>
      <c r="H1675" s="1" t="str">
        <f>VLOOKUP(F1675,Countries!$A$1:$B$161,2,0)</f>
        <v>Denmark</v>
      </c>
    </row>
    <row r="1676" spans="1:8" x14ac:dyDescent="0.3">
      <c r="A1676" s="3">
        <v>46258.476064814808</v>
      </c>
      <c r="B1676" s="1">
        <v>6.37</v>
      </c>
      <c r="C1676" s="1">
        <v>5.46</v>
      </c>
      <c r="D1676" s="1">
        <v>0.54</v>
      </c>
      <c r="E1676" s="1" t="s">
        <v>113</v>
      </c>
      <c r="F1676" s="1" t="s">
        <v>113</v>
      </c>
      <c r="G1676" s="1" t="s">
        <v>113</v>
      </c>
      <c r="H1676" s="1" t="str">
        <f>VLOOKUP(F1676,Countries!$A$1:$B$161,2,0)</f>
        <v>United States of America</v>
      </c>
    </row>
    <row r="1677" spans="1:8" x14ac:dyDescent="0.3">
      <c r="A1677" s="3">
        <v>46258.463229166657</v>
      </c>
      <c r="B1677" s="1">
        <v>6.37</v>
      </c>
      <c r="C1677" s="1">
        <v>5.46</v>
      </c>
      <c r="D1677" s="1">
        <v>0.54</v>
      </c>
      <c r="E1677" s="1" t="s">
        <v>113</v>
      </c>
      <c r="F1677" s="1" t="s">
        <v>113</v>
      </c>
      <c r="G1677" s="1" t="s">
        <v>113</v>
      </c>
      <c r="H1677" s="1" t="str">
        <f>VLOOKUP(F1677,Countries!$A$1:$B$161,2,0)</f>
        <v>United States of America</v>
      </c>
    </row>
    <row r="1678" spans="1:8" x14ac:dyDescent="0.3">
      <c r="A1678" s="3">
        <v>46258.452604166669</v>
      </c>
      <c r="B1678" s="1">
        <v>1.99</v>
      </c>
      <c r="C1678" s="1">
        <v>1.71</v>
      </c>
      <c r="D1678" s="1">
        <v>0.31</v>
      </c>
      <c r="E1678" s="1" t="s">
        <v>112</v>
      </c>
      <c r="F1678" s="1" t="s">
        <v>112</v>
      </c>
      <c r="G1678" s="1" t="s">
        <v>112</v>
      </c>
      <c r="H1678" s="1" t="str">
        <f>VLOOKUP(F1678,Countries!$A$1:$B$161,2,0)</f>
        <v>Ireland</v>
      </c>
    </row>
    <row r="1679" spans="1:8" x14ac:dyDescent="0.3">
      <c r="A1679" s="3">
        <v>46258.432500000003</v>
      </c>
      <c r="B1679" s="1">
        <v>10.51</v>
      </c>
      <c r="C1679" s="1">
        <v>9.01</v>
      </c>
      <c r="D1679" s="1">
        <v>0.72</v>
      </c>
      <c r="E1679" s="1" t="s">
        <v>143</v>
      </c>
      <c r="F1679" s="1" t="s">
        <v>143</v>
      </c>
      <c r="G1679" s="1" t="s">
        <v>143</v>
      </c>
      <c r="H1679" s="1" t="str">
        <f>VLOOKUP(F1679,Countries!$A$1:$B$161,2,0)</f>
        <v>United Arab Emirates</v>
      </c>
    </row>
    <row r="1680" spans="1:8" x14ac:dyDescent="0.3">
      <c r="A1680" s="3">
        <v>46258.425983796304</v>
      </c>
      <c r="B1680" s="1">
        <v>5.99</v>
      </c>
      <c r="C1680" s="1">
        <v>5.14</v>
      </c>
      <c r="D1680" s="1">
        <v>0.52</v>
      </c>
      <c r="E1680" s="1" t="s">
        <v>135</v>
      </c>
      <c r="F1680" s="1" t="s">
        <v>135</v>
      </c>
      <c r="G1680" s="1" t="s">
        <v>135</v>
      </c>
      <c r="H1680" s="1" t="str">
        <f>VLOOKUP(F1680,Countries!$A$1:$B$161,2,0)</f>
        <v>Kuwait</v>
      </c>
    </row>
    <row r="1681" spans="1:8" x14ac:dyDescent="0.3">
      <c r="A1681" s="3">
        <v>46258.395740740743</v>
      </c>
      <c r="B1681" s="1">
        <v>6.37</v>
      </c>
      <c r="C1681" s="1">
        <v>5.46</v>
      </c>
      <c r="D1681" s="1">
        <v>0.54</v>
      </c>
      <c r="E1681" s="1" t="s">
        <v>113</v>
      </c>
      <c r="F1681" s="1" t="s">
        <v>113</v>
      </c>
      <c r="G1681" s="1" t="s">
        <v>113</v>
      </c>
      <c r="H1681" s="1" t="str">
        <f>VLOOKUP(F1681,Countries!$A$1:$B$161,2,0)</f>
        <v>United States of America</v>
      </c>
    </row>
    <row r="1682" spans="1:8" x14ac:dyDescent="0.3">
      <c r="A1682" s="3">
        <v>46258.384918981479</v>
      </c>
      <c r="B1682" s="1">
        <v>6.37</v>
      </c>
      <c r="C1682" s="1">
        <v>5.46</v>
      </c>
      <c r="D1682" s="1">
        <v>0.54</v>
      </c>
      <c r="E1682" s="1" t="s">
        <v>113</v>
      </c>
      <c r="F1682" s="1" t="s">
        <v>113</v>
      </c>
      <c r="G1682" s="1" t="s">
        <v>113</v>
      </c>
      <c r="H1682" s="1" t="str">
        <f>VLOOKUP(F1682,Countries!$A$1:$B$161,2,0)</f>
        <v>United States of America</v>
      </c>
    </row>
    <row r="1683" spans="1:8" x14ac:dyDescent="0.3">
      <c r="A1683" s="3">
        <v>46258.376307870371</v>
      </c>
      <c r="B1683" s="1">
        <v>6.37</v>
      </c>
      <c r="C1683" s="1">
        <v>5.46</v>
      </c>
      <c r="D1683" s="1">
        <v>0.54</v>
      </c>
      <c r="E1683" s="1" t="s">
        <v>113</v>
      </c>
      <c r="F1683" s="1" t="s">
        <v>113</v>
      </c>
      <c r="G1683" s="1" t="s">
        <v>113</v>
      </c>
      <c r="H1683" s="1" t="str">
        <f>VLOOKUP(F1683,Countries!$A$1:$B$161,2,0)</f>
        <v>United States of America</v>
      </c>
    </row>
    <row r="1684" spans="1:8" x14ac:dyDescent="0.3">
      <c r="A1684" s="3">
        <v>46258.373541666668</v>
      </c>
      <c r="B1684" s="1">
        <v>6.37</v>
      </c>
      <c r="C1684" s="1">
        <v>5.46</v>
      </c>
      <c r="D1684" s="1">
        <v>0.54</v>
      </c>
      <c r="E1684" s="1" t="s">
        <v>115</v>
      </c>
      <c r="F1684" s="1" t="s">
        <v>115</v>
      </c>
      <c r="G1684" s="1" t="s">
        <v>115</v>
      </c>
      <c r="H1684" s="1" t="str">
        <f>VLOOKUP(F1684,Countries!$A$1:$B$161,2,0)</f>
        <v>Switzerland</v>
      </c>
    </row>
    <row r="1685" spans="1:8" x14ac:dyDescent="0.3">
      <c r="A1685" s="3">
        <v>46258.363194444442</v>
      </c>
      <c r="B1685" s="1">
        <v>6.37</v>
      </c>
      <c r="C1685" s="1">
        <v>5.46</v>
      </c>
      <c r="D1685" s="1">
        <v>0.54</v>
      </c>
      <c r="E1685" s="1" t="s">
        <v>113</v>
      </c>
      <c r="F1685" s="1" t="s">
        <v>113</v>
      </c>
      <c r="G1685" s="1" t="s">
        <v>113</v>
      </c>
      <c r="H1685" s="1" t="str">
        <f>VLOOKUP(F1685,Countries!$A$1:$B$161,2,0)</f>
        <v>United States of America</v>
      </c>
    </row>
    <row r="1686" spans="1:8" x14ac:dyDescent="0.3">
      <c r="A1686" s="3">
        <v>46258.35564814815</v>
      </c>
      <c r="B1686" s="1">
        <v>8.8699999999999992</v>
      </c>
      <c r="C1686" s="1">
        <v>7.6</v>
      </c>
      <c r="D1686" s="1">
        <v>0.65</v>
      </c>
      <c r="E1686" s="1" t="s">
        <v>130</v>
      </c>
      <c r="F1686" s="1" t="s">
        <v>130</v>
      </c>
      <c r="G1686" s="1" t="s">
        <v>130</v>
      </c>
      <c r="H1686" s="1" t="str">
        <f>VLOOKUP(F1686,Countries!$A$1:$B$161,2,0)</f>
        <v>Australia</v>
      </c>
    </row>
    <row r="1687" spans="1:8" x14ac:dyDescent="0.3">
      <c r="A1687" s="3">
        <v>46258.353796296287</v>
      </c>
      <c r="B1687" s="1">
        <v>7.77</v>
      </c>
      <c r="C1687" s="1">
        <v>6.66</v>
      </c>
      <c r="D1687" s="1">
        <v>0.48</v>
      </c>
      <c r="E1687" s="1" t="s">
        <v>112</v>
      </c>
      <c r="F1687" s="1" t="s">
        <v>112</v>
      </c>
      <c r="G1687" s="1" t="s">
        <v>112</v>
      </c>
      <c r="H1687" s="1" t="str">
        <f>VLOOKUP(F1687,Countries!$A$1:$B$161,2,0)</f>
        <v>Ireland</v>
      </c>
    </row>
    <row r="1688" spans="1:8" x14ac:dyDescent="0.3">
      <c r="A1688" s="3">
        <v>46258.338912037027</v>
      </c>
      <c r="B1688" s="1">
        <v>6.37</v>
      </c>
      <c r="C1688" s="1">
        <v>5.46</v>
      </c>
      <c r="D1688" s="1">
        <v>0.54</v>
      </c>
      <c r="E1688" s="1" t="s">
        <v>113</v>
      </c>
      <c r="F1688" s="1" t="s">
        <v>113</v>
      </c>
      <c r="G1688" s="1" t="s">
        <v>113</v>
      </c>
      <c r="H1688" s="1" t="str">
        <f>VLOOKUP(F1688,Countries!$A$1:$B$161,2,0)</f>
        <v>United States of America</v>
      </c>
    </row>
    <row r="1689" spans="1:8" x14ac:dyDescent="0.3">
      <c r="A1689" s="3">
        <v>46258.324756944443</v>
      </c>
      <c r="B1689" s="1">
        <v>6.37</v>
      </c>
      <c r="C1689" s="1">
        <v>5.45</v>
      </c>
      <c r="D1689" s="1">
        <v>0.54</v>
      </c>
      <c r="E1689" s="1" t="s">
        <v>113</v>
      </c>
      <c r="F1689" s="1" t="s">
        <v>113</v>
      </c>
      <c r="G1689" s="1" t="s">
        <v>113</v>
      </c>
      <c r="H1689" s="1" t="str">
        <f>VLOOKUP(F1689,Countries!$A$1:$B$161,2,0)</f>
        <v>United States of America</v>
      </c>
    </row>
    <row r="1690" spans="1:8" x14ac:dyDescent="0.3">
      <c r="A1690" s="3">
        <v>46258.318402777782</v>
      </c>
      <c r="B1690" s="1">
        <v>14.77</v>
      </c>
      <c r="C1690" s="1">
        <v>12.65</v>
      </c>
      <c r="D1690" s="1">
        <v>0.91</v>
      </c>
      <c r="E1690" s="1" t="s">
        <v>113</v>
      </c>
      <c r="F1690" s="1" t="s">
        <v>113</v>
      </c>
      <c r="G1690" s="1" t="s">
        <v>113</v>
      </c>
      <c r="H1690" s="1" t="str">
        <f>VLOOKUP(F1690,Countries!$A$1:$B$161,2,0)</f>
        <v>United States of America</v>
      </c>
    </row>
    <row r="1691" spans="1:8" x14ac:dyDescent="0.3">
      <c r="A1691" s="3">
        <v>46258.314062500001</v>
      </c>
      <c r="B1691" s="1">
        <v>7.58</v>
      </c>
      <c r="C1691" s="1">
        <v>6.49</v>
      </c>
      <c r="D1691" s="1">
        <v>0.54</v>
      </c>
      <c r="E1691" s="1" t="s">
        <v>119</v>
      </c>
      <c r="F1691" s="1" t="s">
        <v>119</v>
      </c>
      <c r="G1691" s="1" t="s">
        <v>119</v>
      </c>
      <c r="H1691" s="1" t="str">
        <f>VLOOKUP(F1691,Countries!$A$1:$B$161,2,0)</f>
        <v>Great Britain (United Kingdom)</v>
      </c>
    </row>
    <row r="1692" spans="1:8" x14ac:dyDescent="0.3">
      <c r="A1692" s="3">
        <v>46258.299004629633</v>
      </c>
      <c r="B1692" s="1">
        <v>6.37</v>
      </c>
      <c r="C1692" s="1">
        <v>5.45</v>
      </c>
      <c r="D1692" s="1">
        <v>0.54</v>
      </c>
      <c r="E1692" s="1" t="s">
        <v>113</v>
      </c>
      <c r="F1692" s="1" t="s">
        <v>113</v>
      </c>
      <c r="G1692" s="1" t="s">
        <v>113</v>
      </c>
      <c r="H1692" s="1" t="str">
        <f>VLOOKUP(F1692,Countries!$A$1:$B$161,2,0)</f>
        <v>United States of America</v>
      </c>
    </row>
    <row r="1693" spans="1:8" x14ac:dyDescent="0.3">
      <c r="A1693" s="3">
        <v>46258.28324074074</v>
      </c>
      <c r="B1693" s="1">
        <v>12.33</v>
      </c>
      <c r="C1693" s="1">
        <v>10.56</v>
      </c>
      <c r="D1693" s="1">
        <v>0.62</v>
      </c>
      <c r="E1693" s="1" t="s">
        <v>113</v>
      </c>
      <c r="F1693" s="1" t="s">
        <v>113</v>
      </c>
      <c r="G1693" s="1" t="s">
        <v>113</v>
      </c>
      <c r="H1693" s="1" t="str">
        <f>VLOOKUP(F1693,Countries!$A$1:$B$161,2,0)</f>
        <v>United States of America</v>
      </c>
    </row>
    <row r="1694" spans="1:8" x14ac:dyDescent="0.3">
      <c r="A1694" s="3">
        <v>46258.28266203704</v>
      </c>
      <c r="B1694" s="1">
        <v>2.11</v>
      </c>
      <c r="C1694" s="1">
        <v>1.81</v>
      </c>
      <c r="D1694" s="1">
        <v>0.35</v>
      </c>
      <c r="E1694" s="1" t="s">
        <v>113</v>
      </c>
      <c r="F1694" s="1" t="s">
        <v>113</v>
      </c>
      <c r="G1694" s="1" t="s">
        <v>113</v>
      </c>
      <c r="H1694" s="1" t="str">
        <f>VLOOKUP(F1694,Countries!$A$1:$B$161,2,0)</f>
        <v>United States of America</v>
      </c>
    </row>
    <row r="1695" spans="1:8" x14ac:dyDescent="0.3">
      <c r="A1695" s="3">
        <v>46258.281412037039</v>
      </c>
      <c r="B1695" s="1">
        <v>6.37</v>
      </c>
      <c r="C1695" s="1">
        <v>5.45</v>
      </c>
      <c r="D1695" s="1">
        <v>0.54</v>
      </c>
      <c r="E1695" s="1" t="s">
        <v>113</v>
      </c>
      <c r="F1695" s="1" t="s">
        <v>113</v>
      </c>
      <c r="G1695" s="1" t="s">
        <v>113</v>
      </c>
      <c r="H1695" s="1" t="str">
        <f>VLOOKUP(F1695,Countries!$A$1:$B$161,2,0)</f>
        <v>United States of America</v>
      </c>
    </row>
    <row r="1696" spans="1:8" x14ac:dyDescent="0.3">
      <c r="A1696" s="3">
        <v>46258.278726851851</v>
      </c>
      <c r="B1696" s="1">
        <v>23.16</v>
      </c>
      <c r="C1696" s="1">
        <v>19.829999999999998</v>
      </c>
      <c r="D1696" s="1">
        <v>1.29</v>
      </c>
      <c r="E1696" s="1" t="s">
        <v>130</v>
      </c>
      <c r="F1696" s="1" t="s">
        <v>130</v>
      </c>
      <c r="G1696" s="1" t="s">
        <v>130</v>
      </c>
      <c r="H1696" s="1" t="str">
        <f>VLOOKUP(F1696,Countries!$A$1:$B$161,2,0)</f>
        <v>Australia</v>
      </c>
    </row>
    <row r="1697" spans="1:8" x14ac:dyDescent="0.3">
      <c r="A1697" s="3">
        <v>46258.274212962962</v>
      </c>
      <c r="B1697" s="1">
        <v>12.33</v>
      </c>
      <c r="C1697" s="1">
        <v>10.56</v>
      </c>
      <c r="D1697" s="1">
        <v>0.62</v>
      </c>
      <c r="E1697" s="1" t="s">
        <v>113</v>
      </c>
      <c r="F1697" s="1" t="s">
        <v>113</v>
      </c>
      <c r="G1697" s="1" t="s">
        <v>113</v>
      </c>
      <c r="H1697" s="1" t="str">
        <f>VLOOKUP(F1697,Countries!$A$1:$B$161,2,0)</f>
        <v>United States of America</v>
      </c>
    </row>
    <row r="1698" spans="1:8" x14ac:dyDescent="0.3">
      <c r="A1698" s="3">
        <v>46258.273819444446</v>
      </c>
      <c r="B1698" s="1">
        <v>30.86</v>
      </c>
      <c r="C1698" s="1">
        <v>26.42</v>
      </c>
      <c r="D1698" s="1">
        <v>1.18</v>
      </c>
      <c r="E1698" s="1" t="s">
        <v>113</v>
      </c>
      <c r="F1698" s="1" t="s">
        <v>113</v>
      </c>
      <c r="G1698" s="1" t="s">
        <v>113</v>
      </c>
      <c r="H1698" s="1" t="str">
        <f>VLOOKUP(F1698,Countries!$A$1:$B$161,2,0)</f>
        <v>United States of America</v>
      </c>
    </row>
    <row r="1699" spans="1:8" x14ac:dyDescent="0.3">
      <c r="A1699" s="3">
        <v>46258.265694444453</v>
      </c>
      <c r="B1699" s="1">
        <v>6.37</v>
      </c>
      <c r="C1699" s="1">
        <v>5.45</v>
      </c>
      <c r="D1699" s="1">
        <v>0.54</v>
      </c>
      <c r="E1699" s="1" t="s">
        <v>113</v>
      </c>
      <c r="F1699" s="1" t="s">
        <v>113</v>
      </c>
      <c r="G1699" s="1" t="s">
        <v>113</v>
      </c>
      <c r="H1699" s="1" t="str">
        <f>VLOOKUP(F1699,Countries!$A$1:$B$161,2,0)</f>
        <v>United States of America</v>
      </c>
    </row>
    <row r="1700" spans="1:8" x14ac:dyDescent="0.3">
      <c r="A1700" s="3">
        <v>46258.264618055553</v>
      </c>
      <c r="B1700" s="1">
        <v>12.33</v>
      </c>
      <c r="C1700" s="1">
        <v>10.56</v>
      </c>
      <c r="D1700" s="1">
        <v>0.62</v>
      </c>
      <c r="E1700" s="1" t="s">
        <v>113</v>
      </c>
      <c r="F1700" s="1" t="s">
        <v>113</v>
      </c>
      <c r="G1700" s="1" t="s">
        <v>113</v>
      </c>
      <c r="H1700" s="1" t="str">
        <f>VLOOKUP(F1700,Countries!$A$1:$B$161,2,0)</f>
        <v>United States of America</v>
      </c>
    </row>
    <row r="1701" spans="1:8" x14ac:dyDescent="0.3">
      <c r="A1701" s="3">
        <v>46258.262013888889</v>
      </c>
      <c r="B1701" s="1">
        <v>7.58</v>
      </c>
      <c r="C1701" s="1">
        <v>6.49</v>
      </c>
      <c r="D1701" s="1">
        <v>0.48</v>
      </c>
      <c r="E1701" s="1" t="s">
        <v>151</v>
      </c>
      <c r="F1701" s="1" t="s">
        <v>151</v>
      </c>
      <c r="G1701" s="1" t="s">
        <v>151</v>
      </c>
      <c r="H1701" s="1" t="str">
        <f>VLOOKUP(F1701,Countries!$A$1:$B$161,2,0)</f>
        <v>Netherlands (Holland)</v>
      </c>
    </row>
    <row r="1702" spans="1:8" x14ac:dyDescent="0.3">
      <c r="A1702" s="3">
        <v>46258.254305555558</v>
      </c>
      <c r="B1702" s="1">
        <v>12.33</v>
      </c>
      <c r="C1702" s="1">
        <v>10.56</v>
      </c>
      <c r="D1702" s="1">
        <v>0.62</v>
      </c>
      <c r="E1702" s="1" t="s">
        <v>113</v>
      </c>
      <c r="F1702" s="1" t="s">
        <v>113</v>
      </c>
      <c r="G1702" s="1" t="s">
        <v>113</v>
      </c>
      <c r="H1702" s="1" t="str">
        <f>VLOOKUP(F1702,Countries!$A$1:$B$161,2,0)</f>
        <v>United States of America</v>
      </c>
    </row>
    <row r="1703" spans="1:8" x14ac:dyDescent="0.3">
      <c r="A1703" s="3">
        <v>46258.21371527778</v>
      </c>
      <c r="B1703" s="1">
        <v>10.85</v>
      </c>
      <c r="C1703" s="1">
        <v>9.2899999999999991</v>
      </c>
      <c r="D1703" s="1">
        <v>0.74</v>
      </c>
      <c r="E1703" s="1" t="s">
        <v>115</v>
      </c>
      <c r="F1703" s="1" t="s">
        <v>115</v>
      </c>
      <c r="G1703" s="1" t="s">
        <v>115</v>
      </c>
      <c r="H1703" s="1" t="str">
        <f>VLOOKUP(F1703,Countries!$A$1:$B$161,2,0)</f>
        <v>Switzerland</v>
      </c>
    </row>
    <row r="1704" spans="1:8" x14ac:dyDescent="0.3">
      <c r="A1704" s="3">
        <v>46258.212847222218</v>
      </c>
      <c r="B1704" s="1">
        <v>3.98</v>
      </c>
      <c r="C1704" s="1">
        <v>3.41</v>
      </c>
      <c r="D1704" s="1">
        <v>0.43</v>
      </c>
      <c r="E1704" s="1" t="s">
        <v>195</v>
      </c>
      <c r="F1704" s="1" t="s">
        <v>195</v>
      </c>
      <c r="G1704" s="1" t="s">
        <v>195</v>
      </c>
      <c r="H1704" s="1" t="str">
        <f>VLOOKUP(F1704,Countries!$A$1:$B$161,2,0)</f>
        <v>Bosnia &amp; Herzegovina</v>
      </c>
    </row>
    <row r="1705" spans="1:8" x14ac:dyDescent="0.3">
      <c r="A1705" s="3">
        <v>46258.19972222222</v>
      </c>
      <c r="B1705" s="1">
        <v>6.37</v>
      </c>
      <c r="C1705" s="1">
        <v>5.45</v>
      </c>
      <c r="D1705" s="1">
        <v>0.54</v>
      </c>
      <c r="E1705" s="1" t="s">
        <v>113</v>
      </c>
      <c r="F1705" s="1" t="s">
        <v>113</v>
      </c>
      <c r="G1705" s="1" t="s">
        <v>113</v>
      </c>
      <c r="H1705" s="1" t="str">
        <f>VLOOKUP(F1705,Countries!$A$1:$B$161,2,0)</f>
        <v>United States of America</v>
      </c>
    </row>
    <row r="1706" spans="1:8" x14ac:dyDescent="0.3">
      <c r="A1706" s="3">
        <v>46258.198518518519</v>
      </c>
      <c r="B1706" s="1">
        <v>6.37</v>
      </c>
      <c r="C1706" s="1">
        <v>5.45</v>
      </c>
      <c r="D1706" s="1">
        <v>0.54</v>
      </c>
      <c r="E1706" s="1" t="s">
        <v>113</v>
      </c>
      <c r="F1706" s="1" t="s">
        <v>113</v>
      </c>
      <c r="G1706" s="1" t="s">
        <v>113</v>
      </c>
      <c r="H1706" s="1" t="str">
        <f>VLOOKUP(F1706,Countries!$A$1:$B$161,2,0)</f>
        <v>United States of America</v>
      </c>
    </row>
    <row r="1707" spans="1:8" x14ac:dyDescent="0.3">
      <c r="A1707" s="3">
        <v>46258.198368055557</v>
      </c>
      <c r="B1707" s="1">
        <v>6.37</v>
      </c>
      <c r="C1707" s="1">
        <v>5.45</v>
      </c>
      <c r="D1707" s="1">
        <v>0.54</v>
      </c>
      <c r="E1707" s="1" t="s">
        <v>113</v>
      </c>
      <c r="F1707" s="1" t="s">
        <v>113</v>
      </c>
      <c r="G1707" s="1" t="s">
        <v>113</v>
      </c>
      <c r="H1707" s="1" t="str">
        <f>VLOOKUP(F1707,Countries!$A$1:$B$161,2,0)</f>
        <v>United States of America</v>
      </c>
    </row>
    <row r="1708" spans="1:8" x14ac:dyDescent="0.3">
      <c r="A1708" s="3">
        <v>46258.185034722221</v>
      </c>
      <c r="B1708" s="1">
        <v>6.37</v>
      </c>
      <c r="C1708" s="1">
        <v>5.45</v>
      </c>
      <c r="D1708" s="1">
        <v>0.54</v>
      </c>
      <c r="E1708" s="1" t="s">
        <v>113</v>
      </c>
      <c r="F1708" s="1" t="s">
        <v>113</v>
      </c>
      <c r="G1708" s="1" t="s">
        <v>113</v>
      </c>
      <c r="H1708" s="1" t="str">
        <f>VLOOKUP(F1708,Countries!$A$1:$B$161,2,0)</f>
        <v>United States of America</v>
      </c>
    </row>
    <row r="1709" spans="1:8" x14ac:dyDescent="0.3">
      <c r="A1709" s="3">
        <v>46258.17591435185</v>
      </c>
      <c r="B1709" s="1">
        <v>17.57</v>
      </c>
      <c r="C1709" s="1">
        <v>15.04</v>
      </c>
      <c r="D1709" s="1">
        <v>1.04</v>
      </c>
      <c r="E1709" s="1" t="s">
        <v>152</v>
      </c>
      <c r="F1709" s="1" t="s">
        <v>152</v>
      </c>
      <c r="G1709" s="1" t="s">
        <v>152</v>
      </c>
      <c r="H1709" s="1" t="str">
        <f>VLOOKUP(F1709,Countries!$A$1:$B$161,2,0)</f>
        <v>Singapore</v>
      </c>
    </row>
    <row r="1710" spans="1:8" x14ac:dyDescent="0.3">
      <c r="A1710" s="3">
        <v>46258.175057870372</v>
      </c>
      <c r="B1710" s="1">
        <v>14.77</v>
      </c>
      <c r="C1710" s="1">
        <v>12.65</v>
      </c>
      <c r="D1710" s="1">
        <v>0.91</v>
      </c>
      <c r="E1710" s="1" t="s">
        <v>113</v>
      </c>
      <c r="F1710" s="1" t="s">
        <v>113</v>
      </c>
      <c r="G1710" s="1" t="s">
        <v>113</v>
      </c>
      <c r="H1710" s="1" t="str">
        <f>VLOOKUP(F1710,Countries!$A$1:$B$161,2,0)</f>
        <v>United States of America</v>
      </c>
    </row>
    <row r="1711" spans="1:8" x14ac:dyDescent="0.3">
      <c r="A1711" s="3">
        <v>46258.175023148149</v>
      </c>
      <c r="B1711" s="1">
        <v>6.37</v>
      </c>
      <c r="C1711" s="1">
        <v>5.45</v>
      </c>
      <c r="D1711" s="1">
        <v>0.54</v>
      </c>
      <c r="E1711" s="1" t="s">
        <v>113</v>
      </c>
      <c r="F1711" s="1" t="s">
        <v>113</v>
      </c>
      <c r="G1711" s="1" t="s">
        <v>113</v>
      </c>
      <c r="H1711" s="1" t="str">
        <f>VLOOKUP(F1711,Countries!$A$1:$B$161,2,0)</f>
        <v>United States of America</v>
      </c>
    </row>
    <row r="1712" spans="1:8" x14ac:dyDescent="0.3">
      <c r="A1712" s="3">
        <v>46258.173148148147</v>
      </c>
      <c r="B1712" s="1">
        <v>6.65</v>
      </c>
      <c r="C1712" s="1">
        <v>5.69</v>
      </c>
      <c r="D1712" s="1">
        <v>0.54</v>
      </c>
      <c r="E1712" s="1" t="s">
        <v>130</v>
      </c>
      <c r="F1712" s="1" t="s">
        <v>130</v>
      </c>
      <c r="G1712" s="1" t="s">
        <v>130</v>
      </c>
      <c r="H1712" s="1" t="str">
        <f>VLOOKUP(F1712,Countries!$A$1:$B$161,2,0)</f>
        <v>Australia</v>
      </c>
    </row>
    <row r="1713" spans="1:8" x14ac:dyDescent="0.3">
      <c r="A1713" s="3">
        <v>46258.162662037037</v>
      </c>
      <c r="B1713" s="1">
        <v>6.37</v>
      </c>
      <c r="C1713" s="1">
        <v>5.45</v>
      </c>
      <c r="D1713" s="1">
        <v>0.54</v>
      </c>
      <c r="E1713" s="1" t="s">
        <v>113</v>
      </c>
      <c r="F1713" s="1" t="s">
        <v>113</v>
      </c>
      <c r="G1713" s="1" t="s">
        <v>113</v>
      </c>
      <c r="H1713" s="1" t="str">
        <f>VLOOKUP(F1713,Countries!$A$1:$B$161,2,0)</f>
        <v>United States of America</v>
      </c>
    </row>
    <row r="1714" spans="1:8" x14ac:dyDescent="0.3">
      <c r="A1714" s="3">
        <v>46258.159131944441</v>
      </c>
      <c r="B1714" s="1">
        <v>6.37</v>
      </c>
      <c r="C1714" s="1">
        <v>5.45</v>
      </c>
      <c r="D1714" s="1">
        <v>0.54</v>
      </c>
      <c r="E1714" s="1" t="s">
        <v>113</v>
      </c>
      <c r="F1714" s="1" t="s">
        <v>113</v>
      </c>
      <c r="G1714" s="1" t="s">
        <v>113</v>
      </c>
      <c r="H1714" s="1" t="str">
        <f>VLOOKUP(F1714,Countries!$A$1:$B$161,2,0)</f>
        <v>United States of America</v>
      </c>
    </row>
    <row r="1715" spans="1:8" x14ac:dyDescent="0.3">
      <c r="A1715" s="3">
        <v>46258.155034722222</v>
      </c>
      <c r="B1715" s="1">
        <v>2.11</v>
      </c>
      <c r="C1715" s="1">
        <v>1.81</v>
      </c>
      <c r="D1715" s="1">
        <v>0.35</v>
      </c>
      <c r="E1715" s="1" t="s">
        <v>113</v>
      </c>
      <c r="F1715" s="1" t="s">
        <v>113</v>
      </c>
      <c r="G1715" s="1" t="s">
        <v>113</v>
      </c>
      <c r="H1715" s="1" t="str">
        <f>VLOOKUP(F1715,Countries!$A$1:$B$161,2,0)</f>
        <v>United States of America</v>
      </c>
    </row>
    <row r="1716" spans="1:8" x14ac:dyDescent="0.3">
      <c r="A1716" s="3">
        <v>46258.145520833343</v>
      </c>
      <c r="B1716" s="1">
        <v>27.8</v>
      </c>
      <c r="C1716" s="1">
        <v>23.8</v>
      </c>
      <c r="D1716" s="1">
        <v>1.5</v>
      </c>
      <c r="E1716" s="1" t="s">
        <v>119</v>
      </c>
      <c r="F1716" s="1" t="s">
        <v>127</v>
      </c>
      <c r="G1716" s="1" t="s">
        <v>127</v>
      </c>
      <c r="H1716" s="1" t="str">
        <f>VLOOKUP(F1716,Countries!$A$1:$B$161,2,0)</f>
        <v>Puerto Rico</v>
      </c>
    </row>
    <row r="1717" spans="1:8" x14ac:dyDescent="0.3">
      <c r="A1717" s="3">
        <v>46258.14398148148</v>
      </c>
      <c r="B1717" s="1">
        <v>7.58</v>
      </c>
      <c r="C1717" s="1">
        <v>6.49</v>
      </c>
      <c r="D1717" s="1">
        <v>0.48</v>
      </c>
      <c r="E1717" s="1" t="s">
        <v>120</v>
      </c>
      <c r="F1717" s="1" t="s">
        <v>120</v>
      </c>
      <c r="G1717" s="1" t="s">
        <v>120</v>
      </c>
      <c r="H1717" s="1" t="str">
        <f>VLOOKUP(F1717,Countries!$A$1:$B$161,2,0)</f>
        <v>Czech Republic</v>
      </c>
    </row>
    <row r="1718" spans="1:8" x14ac:dyDescent="0.3">
      <c r="A1718" s="3">
        <v>46258.141979166663</v>
      </c>
      <c r="B1718" s="1">
        <v>2.11</v>
      </c>
      <c r="C1718" s="1">
        <v>1.81</v>
      </c>
      <c r="D1718" s="1">
        <v>0.35</v>
      </c>
      <c r="E1718" s="1" t="s">
        <v>113</v>
      </c>
      <c r="F1718" s="1" t="s">
        <v>113</v>
      </c>
      <c r="G1718" s="1" t="s">
        <v>113</v>
      </c>
      <c r="H1718" s="1" t="str">
        <f>VLOOKUP(F1718,Countries!$A$1:$B$161,2,0)</f>
        <v>United States of America</v>
      </c>
    </row>
    <row r="1719" spans="1:8" x14ac:dyDescent="0.3">
      <c r="A1719" s="3">
        <v>46258.127650462957</v>
      </c>
      <c r="B1719" s="1">
        <v>6.37</v>
      </c>
      <c r="C1719" s="1">
        <v>5.45</v>
      </c>
      <c r="D1719" s="1">
        <v>0.54</v>
      </c>
      <c r="E1719" s="1" t="s">
        <v>113</v>
      </c>
      <c r="F1719" s="1" t="s">
        <v>113</v>
      </c>
      <c r="G1719" s="1" t="s">
        <v>113</v>
      </c>
      <c r="H1719" s="1" t="str">
        <f>VLOOKUP(F1719,Countries!$A$1:$B$161,2,0)</f>
        <v>United States of America</v>
      </c>
    </row>
    <row r="1720" spans="1:8" x14ac:dyDescent="0.3">
      <c r="A1720" s="3">
        <v>46258.117754629631</v>
      </c>
      <c r="B1720" s="1">
        <v>6.37</v>
      </c>
      <c r="C1720" s="1">
        <v>5.45</v>
      </c>
      <c r="D1720" s="1">
        <v>0.54</v>
      </c>
      <c r="E1720" s="1" t="s">
        <v>113</v>
      </c>
      <c r="F1720" s="1" t="s">
        <v>113</v>
      </c>
      <c r="G1720" s="1" t="s">
        <v>113</v>
      </c>
      <c r="H1720" s="1" t="str">
        <f>VLOOKUP(F1720,Countries!$A$1:$B$161,2,0)</f>
        <v>United States of America</v>
      </c>
    </row>
    <row r="1721" spans="1:8" x14ac:dyDescent="0.3">
      <c r="A1721" s="3">
        <v>46258.117696759262</v>
      </c>
      <c r="B1721" s="1">
        <v>7.48</v>
      </c>
      <c r="C1721" s="1">
        <v>6.4</v>
      </c>
      <c r="D1721" s="1">
        <v>0.59</v>
      </c>
      <c r="E1721" s="1" t="s">
        <v>113</v>
      </c>
      <c r="F1721" s="1" t="s">
        <v>113</v>
      </c>
      <c r="G1721" s="1" t="s">
        <v>113</v>
      </c>
      <c r="H1721" s="1" t="str">
        <f>VLOOKUP(F1721,Countries!$A$1:$B$161,2,0)</f>
        <v>United States of America</v>
      </c>
    </row>
    <row r="1722" spans="1:8" x14ac:dyDescent="0.3">
      <c r="A1722" s="3">
        <v>46258.114988425928</v>
      </c>
      <c r="B1722" s="1">
        <v>7.04</v>
      </c>
      <c r="C1722" s="1">
        <v>6.03</v>
      </c>
      <c r="D1722" s="1">
        <v>0.56999999999999995</v>
      </c>
      <c r="E1722" s="1" t="s">
        <v>128</v>
      </c>
      <c r="F1722" s="1" t="s">
        <v>128</v>
      </c>
      <c r="G1722" s="1" t="s">
        <v>128</v>
      </c>
      <c r="H1722" s="1" t="str">
        <f>VLOOKUP(F1722,Countries!$A$1:$B$161,2,0)</f>
        <v>South Africa</v>
      </c>
    </row>
    <row r="1723" spans="1:8" x14ac:dyDescent="0.3">
      <c r="A1723" s="3">
        <v>46258.106562499997</v>
      </c>
      <c r="B1723" s="1">
        <v>6.37</v>
      </c>
      <c r="C1723" s="1">
        <v>5.45</v>
      </c>
      <c r="D1723" s="1">
        <v>0.54</v>
      </c>
      <c r="E1723" s="1" t="s">
        <v>113</v>
      </c>
      <c r="F1723" s="1" t="s">
        <v>113</v>
      </c>
      <c r="G1723" s="1" t="s">
        <v>113</v>
      </c>
      <c r="H1723" s="1" t="str">
        <f>VLOOKUP(F1723,Countries!$A$1:$B$161,2,0)</f>
        <v>United States of America</v>
      </c>
    </row>
    <row r="1724" spans="1:8" x14ac:dyDescent="0.3">
      <c r="A1724" s="3">
        <v>46258.098055555558</v>
      </c>
      <c r="B1724" s="1">
        <v>6.37</v>
      </c>
      <c r="C1724" s="1">
        <v>5.45</v>
      </c>
      <c r="D1724" s="1">
        <v>0.54</v>
      </c>
      <c r="E1724" s="1" t="s">
        <v>113</v>
      </c>
      <c r="F1724" s="1" t="s">
        <v>113</v>
      </c>
      <c r="G1724" s="1" t="s">
        <v>113</v>
      </c>
      <c r="H1724" s="1" t="str">
        <f>VLOOKUP(F1724,Countries!$A$1:$B$161,2,0)</f>
        <v>United States of America</v>
      </c>
    </row>
    <row r="1725" spans="1:8" x14ac:dyDescent="0.3">
      <c r="A1725" s="3">
        <v>46258.096342592587</v>
      </c>
      <c r="B1725" s="1">
        <v>2.11</v>
      </c>
      <c r="C1725" s="1">
        <v>1.81</v>
      </c>
      <c r="D1725" s="1">
        <v>0.35</v>
      </c>
      <c r="E1725" s="1" t="s">
        <v>113</v>
      </c>
      <c r="F1725" s="1" t="s">
        <v>113</v>
      </c>
      <c r="G1725" s="1" t="s">
        <v>113</v>
      </c>
      <c r="H1725" s="1" t="str">
        <f>VLOOKUP(F1725,Countries!$A$1:$B$161,2,0)</f>
        <v>United States of America</v>
      </c>
    </row>
    <row r="1726" spans="1:8" x14ac:dyDescent="0.3">
      <c r="A1726" s="3">
        <v>46258.078379629631</v>
      </c>
      <c r="B1726" s="1">
        <v>2.99</v>
      </c>
      <c r="C1726" s="1">
        <v>2.56</v>
      </c>
      <c r="D1726" s="1">
        <v>0.38</v>
      </c>
      <c r="E1726" s="1" t="s">
        <v>129</v>
      </c>
      <c r="F1726" s="1" t="s">
        <v>129</v>
      </c>
      <c r="G1726" s="1" t="s">
        <v>129</v>
      </c>
      <c r="H1726" s="1" t="str">
        <f>VLOOKUP(F1726,Countries!$A$1:$B$161,2,0)</f>
        <v>Qatar</v>
      </c>
    </row>
    <row r="1727" spans="1:8" x14ac:dyDescent="0.3">
      <c r="A1727" s="3">
        <v>46258.072916666657</v>
      </c>
      <c r="B1727" s="1">
        <v>2.11</v>
      </c>
      <c r="C1727" s="1">
        <v>1.81</v>
      </c>
      <c r="D1727" s="1">
        <v>0.35</v>
      </c>
      <c r="E1727" s="1" t="s">
        <v>113</v>
      </c>
      <c r="F1727" s="1" t="s">
        <v>113</v>
      </c>
      <c r="G1727" s="1" t="s">
        <v>113</v>
      </c>
      <c r="H1727" s="1" t="str">
        <f>VLOOKUP(F1727,Countries!$A$1:$B$161,2,0)</f>
        <v>United States of America</v>
      </c>
    </row>
    <row r="1728" spans="1:8" x14ac:dyDescent="0.3">
      <c r="A1728" s="3">
        <v>46258.065416666657</v>
      </c>
      <c r="B1728" s="1">
        <v>6.37</v>
      </c>
      <c r="C1728" s="1">
        <v>5.45</v>
      </c>
      <c r="D1728" s="1">
        <v>0.54</v>
      </c>
      <c r="E1728" s="1" t="s">
        <v>113</v>
      </c>
      <c r="F1728" s="1" t="s">
        <v>113</v>
      </c>
      <c r="G1728" s="1" t="s">
        <v>113</v>
      </c>
      <c r="H1728" s="1" t="str">
        <f>VLOOKUP(F1728,Countries!$A$1:$B$161,2,0)</f>
        <v>United States of America</v>
      </c>
    </row>
    <row r="1729" spans="1:8" x14ac:dyDescent="0.3">
      <c r="A1729" s="3">
        <v>46258.062256944453</v>
      </c>
      <c r="B1729" s="1">
        <v>3.93</v>
      </c>
      <c r="C1729" s="1">
        <v>3.36</v>
      </c>
      <c r="D1729" s="1">
        <v>0.37</v>
      </c>
      <c r="E1729" s="1" t="s">
        <v>137</v>
      </c>
      <c r="F1729" s="1" t="s">
        <v>138</v>
      </c>
      <c r="G1729" s="1" t="s">
        <v>138</v>
      </c>
      <c r="H1729" s="1" t="str">
        <f>VLOOKUP(F1729,Countries!$A$1:$B$161,2,0)</f>
        <v>Iceland</v>
      </c>
    </row>
    <row r="1730" spans="1:8" x14ac:dyDescent="0.3">
      <c r="A1730" s="3">
        <v>46258.046643518523</v>
      </c>
      <c r="B1730" s="1">
        <v>3.32</v>
      </c>
      <c r="C1730" s="1">
        <v>2.84</v>
      </c>
      <c r="D1730" s="1">
        <v>0.4</v>
      </c>
      <c r="E1730" s="1" t="s">
        <v>121</v>
      </c>
      <c r="F1730" s="1" t="s">
        <v>121</v>
      </c>
      <c r="G1730" s="1" t="s">
        <v>121</v>
      </c>
      <c r="H1730" s="1" t="str">
        <f>VLOOKUP(F1730,Countries!$A$1:$B$161,2,0)</f>
        <v>Japan</v>
      </c>
    </row>
    <row r="1731" spans="1:8" x14ac:dyDescent="0.3">
      <c r="A1731" s="3">
        <v>46258.038530092592</v>
      </c>
      <c r="B1731" s="1">
        <v>6.37</v>
      </c>
      <c r="C1731" s="1">
        <v>5.45</v>
      </c>
      <c r="D1731" s="1">
        <v>0.54</v>
      </c>
      <c r="E1731" s="1" t="s">
        <v>113</v>
      </c>
      <c r="F1731" s="1" t="s">
        <v>113</v>
      </c>
      <c r="G1731" s="1" t="s">
        <v>113</v>
      </c>
      <c r="H1731" s="1" t="str">
        <f>VLOOKUP(F1731,Countries!$A$1:$B$161,2,0)</f>
        <v>United States of America</v>
      </c>
    </row>
    <row r="1732" spans="1:8" x14ac:dyDescent="0.3">
      <c r="A1732" s="3">
        <v>46258.034722222219</v>
      </c>
      <c r="B1732" s="1">
        <v>1.99</v>
      </c>
      <c r="C1732" s="1">
        <v>1.7</v>
      </c>
      <c r="D1732" s="1">
        <v>0.34</v>
      </c>
      <c r="E1732" s="1" t="s">
        <v>140</v>
      </c>
      <c r="F1732" s="1" t="s">
        <v>140</v>
      </c>
      <c r="G1732" s="1" t="s">
        <v>140</v>
      </c>
      <c r="H1732" s="1" t="str">
        <f>VLOOKUP(F1732,Countries!$A$1:$B$161,2,0)</f>
        <v>Colombia</v>
      </c>
    </row>
    <row r="1733" spans="1:8" x14ac:dyDescent="0.3">
      <c r="A1733" s="3">
        <v>46258.033310185187</v>
      </c>
      <c r="B1733" s="1">
        <v>59.03</v>
      </c>
      <c r="C1733" s="1">
        <v>50.53</v>
      </c>
      <c r="D1733" s="1">
        <v>2.9</v>
      </c>
      <c r="E1733" s="1" t="s">
        <v>113</v>
      </c>
      <c r="F1733" s="1" t="s">
        <v>113</v>
      </c>
      <c r="G1733" s="1" t="s">
        <v>113</v>
      </c>
      <c r="H1733" s="1" t="str">
        <f>VLOOKUP(F1733,Countries!$A$1:$B$161,2,0)</f>
        <v>United States of America</v>
      </c>
    </row>
    <row r="1734" spans="1:8" x14ac:dyDescent="0.3">
      <c r="A1734" s="3">
        <v>46258.031006944453</v>
      </c>
      <c r="B1734" s="1">
        <v>2.34</v>
      </c>
      <c r="C1734" s="1">
        <v>2</v>
      </c>
      <c r="D1734" s="1">
        <v>0.36</v>
      </c>
      <c r="E1734" s="1" t="s">
        <v>163</v>
      </c>
      <c r="F1734" s="1" t="s">
        <v>163</v>
      </c>
      <c r="G1734" s="1" t="s">
        <v>163</v>
      </c>
      <c r="H1734" s="1" t="str">
        <f>VLOOKUP(F1734,Countries!$A$1:$B$161,2,0)</f>
        <v>Saudi Arabia</v>
      </c>
    </row>
    <row r="1735" spans="1:8" x14ac:dyDescent="0.3">
      <c r="A1735" s="3">
        <v>46258.013437499998</v>
      </c>
      <c r="B1735" s="1">
        <v>6.37</v>
      </c>
      <c r="C1735" s="1">
        <v>5.45</v>
      </c>
      <c r="D1735" s="1">
        <v>0.54</v>
      </c>
      <c r="E1735" s="1" t="s">
        <v>113</v>
      </c>
      <c r="F1735" s="1" t="s">
        <v>113</v>
      </c>
      <c r="G1735" s="1" t="s">
        <v>113</v>
      </c>
      <c r="H1735" s="1" t="str">
        <f>VLOOKUP(F1735,Countries!$A$1:$B$161,2,0)</f>
        <v>United States of America</v>
      </c>
    </row>
    <row r="1736" spans="1:8" x14ac:dyDescent="0.3">
      <c r="A1736" s="3">
        <v>46258.004155092603</v>
      </c>
      <c r="B1736" s="1">
        <v>6.37</v>
      </c>
      <c r="C1736" s="1">
        <v>5.45</v>
      </c>
      <c r="D1736" s="1">
        <v>0.54</v>
      </c>
      <c r="E1736" s="1" t="s">
        <v>113</v>
      </c>
      <c r="F1736" s="1" t="s">
        <v>113</v>
      </c>
      <c r="G1736" s="1" t="s">
        <v>113</v>
      </c>
      <c r="H1736" s="1" t="str">
        <f>VLOOKUP(F1736,Countries!$A$1:$B$161,2,0)</f>
        <v>United States of America</v>
      </c>
    </row>
    <row r="1737" spans="1:8" x14ac:dyDescent="0.3">
      <c r="A1737" s="3">
        <v>46258.003854166673</v>
      </c>
      <c r="B1737" s="1">
        <v>12.48</v>
      </c>
      <c r="C1737" s="1">
        <v>10.68</v>
      </c>
      <c r="D1737" s="1">
        <v>0.73</v>
      </c>
      <c r="E1737" s="1" t="s">
        <v>119</v>
      </c>
      <c r="F1737" s="1" t="s">
        <v>119</v>
      </c>
      <c r="G1737" s="1" t="s">
        <v>119</v>
      </c>
      <c r="H1737" s="1" t="str">
        <f>VLOOKUP(F1737,Countries!$A$1:$B$161,2,0)</f>
        <v>Great Britain (United Kingdom)</v>
      </c>
    </row>
    <row r="1738" spans="1:8" x14ac:dyDescent="0.3">
      <c r="A1738" s="3">
        <v>46258.002824074072</v>
      </c>
      <c r="B1738" s="1">
        <v>6.37</v>
      </c>
      <c r="C1738" s="1">
        <v>5.45</v>
      </c>
      <c r="D1738" s="1">
        <v>0.54</v>
      </c>
      <c r="E1738" s="1" t="s">
        <v>113</v>
      </c>
      <c r="F1738" s="1" t="s">
        <v>113</v>
      </c>
      <c r="G1738" s="1" t="s">
        <v>113</v>
      </c>
      <c r="H1738" s="1" t="str">
        <f>VLOOKUP(F1738,Countries!$A$1:$B$161,2,0)</f>
        <v>United States of America</v>
      </c>
    </row>
    <row r="1739" spans="1:8" x14ac:dyDescent="0.3">
      <c r="A1739" s="3">
        <v>46258.000127314823</v>
      </c>
      <c r="B1739" s="1">
        <v>15.78</v>
      </c>
      <c r="C1739" s="1">
        <v>13.52</v>
      </c>
      <c r="D1739" s="1">
        <v>0.96</v>
      </c>
      <c r="E1739" s="1" t="s">
        <v>143</v>
      </c>
      <c r="F1739" s="1" t="s">
        <v>143</v>
      </c>
      <c r="G1739" s="1" t="s">
        <v>143</v>
      </c>
      <c r="H1739" s="1" t="str">
        <f>VLOOKUP(F1739,Countries!$A$1:$B$161,2,0)</f>
        <v>United Arab Emirates</v>
      </c>
    </row>
    <row r="1740" spans="1:8" x14ac:dyDescent="0.3">
      <c r="A1740" s="3">
        <v>46257.998287037037</v>
      </c>
      <c r="B1740" s="1">
        <v>6.37</v>
      </c>
      <c r="C1740" s="1">
        <v>5.46</v>
      </c>
      <c r="D1740" s="1">
        <v>0.54</v>
      </c>
      <c r="E1740" s="1" t="s">
        <v>113</v>
      </c>
      <c r="F1740" s="1" t="s">
        <v>113</v>
      </c>
      <c r="G1740" s="1" t="s">
        <v>113</v>
      </c>
      <c r="H1740" s="1" t="str">
        <f>VLOOKUP(F1740,Countries!$A$1:$B$161,2,0)</f>
        <v>United States of America</v>
      </c>
    </row>
    <row r="1741" spans="1:8" x14ac:dyDescent="0.3">
      <c r="A1741" s="3">
        <v>46257.994629629633</v>
      </c>
      <c r="B1741" s="1">
        <v>10.51</v>
      </c>
      <c r="C1741" s="1">
        <v>9</v>
      </c>
      <c r="D1741" s="1">
        <v>0.72</v>
      </c>
      <c r="E1741" s="1" t="s">
        <v>143</v>
      </c>
      <c r="F1741" s="1" t="s">
        <v>143</v>
      </c>
      <c r="G1741" s="1" t="s">
        <v>143</v>
      </c>
      <c r="H1741" s="1" t="str">
        <f>VLOOKUP(F1741,Countries!$A$1:$B$161,2,0)</f>
        <v>United Arab Emirates</v>
      </c>
    </row>
    <row r="1742" spans="1:8" x14ac:dyDescent="0.3">
      <c r="A1742" s="3">
        <v>46257.963101851848</v>
      </c>
      <c r="B1742" s="1">
        <v>2.39</v>
      </c>
      <c r="C1742" s="1">
        <v>2.0499999999999998</v>
      </c>
      <c r="D1742" s="1">
        <v>0.36</v>
      </c>
      <c r="E1742" s="1" t="s">
        <v>165</v>
      </c>
      <c r="F1742" s="1" t="s">
        <v>165</v>
      </c>
      <c r="G1742" s="1" t="s">
        <v>165</v>
      </c>
      <c r="H1742" s="1" t="str">
        <f>VLOOKUP(F1742,Countries!$A$1:$B$161,2,0)</f>
        <v>Israel</v>
      </c>
    </row>
    <row r="1743" spans="1:8" x14ac:dyDescent="0.3">
      <c r="A1743" s="3">
        <v>46257.961192129631</v>
      </c>
      <c r="B1743" s="1">
        <v>10.51</v>
      </c>
      <c r="C1743" s="1">
        <v>9</v>
      </c>
      <c r="D1743" s="1">
        <v>0.72</v>
      </c>
      <c r="E1743" s="1" t="s">
        <v>143</v>
      </c>
      <c r="F1743" s="1" t="s">
        <v>143</v>
      </c>
      <c r="G1743" s="1" t="s">
        <v>143</v>
      </c>
      <c r="H1743" s="1" t="str">
        <f>VLOOKUP(F1743,Countries!$A$1:$B$161,2,0)</f>
        <v>United Arab Emirates</v>
      </c>
    </row>
    <row r="1744" spans="1:8" x14ac:dyDescent="0.3">
      <c r="A1744" s="3">
        <v>46257.957546296297</v>
      </c>
      <c r="B1744" s="1">
        <v>10.51</v>
      </c>
      <c r="C1744" s="1">
        <v>9</v>
      </c>
      <c r="D1744" s="1">
        <v>0.72</v>
      </c>
      <c r="E1744" s="1" t="s">
        <v>143</v>
      </c>
      <c r="F1744" s="1" t="s">
        <v>143</v>
      </c>
      <c r="G1744" s="1" t="s">
        <v>143</v>
      </c>
      <c r="H1744" s="1" t="str">
        <f>VLOOKUP(F1744,Countries!$A$1:$B$161,2,0)</f>
        <v>United Arab Emirates</v>
      </c>
    </row>
    <row r="1745" spans="1:8" x14ac:dyDescent="0.3">
      <c r="A1745" s="3">
        <v>46257.953750000001</v>
      </c>
      <c r="B1745" s="1">
        <v>10.51</v>
      </c>
      <c r="C1745" s="1">
        <v>9</v>
      </c>
      <c r="D1745" s="1">
        <v>0.72</v>
      </c>
      <c r="E1745" s="1" t="s">
        <v>143</v>
      </c>
      <c r="F1745" s="1" t="s">
        <v>143</v>
      </c>
      <c r="G1745" s="1" t="s">
        <v>143</v>
      </c>
      <c r="H1745" s="1" t="str">
        <f>VLOOKUP(F1745,Countries!$A$1:$B$161,2,0)</f>
        <v>United Arab Emirates</v>
      </c>
    </row>
    <row r="1746" spans="1:8" x14ac:dyDescent="0.3">
      <c r="A1746" s="3">
        <v>46257.950231481482</v>
      </c>
      <c r="B1746" s="1">
        <v>3.39</v>
      </c>
      <c r="C1746" s="1">
        <v>2.9</v>
      </c>
      <c r="D1746" s="1">
        <v>0.4</v>
      </c>
      <c r="E1746" s="1" t="s">
        <v>196</v>
      </c>
      <c r="F1746" s="1" t="s">
        <v>196</v>
      </c>
      <c r="G1746" s="1" t="s">
        <v>196</v>
      </c>
      <c r="H1746" s="1" t="str">
        <f>VLOOKUP(F1746,Countries!$A$1:$B$161,2,0)</f>
        <v>Kazakhstan</v>
      </c>
    </row>
    <row r="1747" spans="1:8" x14ac:dyDescent="0.3">
      <c r="A1747" s="3">
        <v>46257.94771990741</v>
      </c>
      <c r="B1747" s="1">
        <v>10.51</v>
      </c>
      <c r="C1747" s="1">
        <v>9</v>
      </c>
      <c r="D1747" s="1">
        <v>0.72</v>
      </c>
      <c r="E1747" s="1" t="s">
        <v>143</v>
      </c>
      <c r="F1747" s="1" t="s">
        <v>143</v>
      </c>
      <c r="G1747" s="1" t="s">
        <v>143</v>
      </c>
      <c r="H1747" s="1" t="str">
        <f>VLOOKUP(F1747,Countries!$A$1:$B$161,2,0)</f>
        <v>United Arab Emirates</v>
      </c>
    </row>
    <row r="1748" spans="1:8" x14ac:dyDescent="0.3">
      <c r="A1748" s="3">
        <v>46257.947604166657</v>
      </c>
      <c r="B1748" s="1">
        <v>6.37</v>
      </c>
      <c r="C1748" s="1">
        <v>5.45</v>
      </c>
      <c r="D1748" s="1">
        <v>0.54</v>
      </c>
      <c r="E1748" s="1" t="s">
        <v>113</v>
      </c>
      <c r="F1748" s="1" t="s">
        <v>113</v>
      </c>
      <c r="G1748" s="1" t="s">
        <v>113</v>
      </c>
      <c r="H1748" s="1" t="str">
        <f>VLOOKUP(F1748,Countries!$A$1:$B$161,2,0)</f>
        <v>United States of America</v>
      </c>
    </row>
    <row r="1749" spans="1:8" x14ac:dyDescent="0.3">
      <c r="A1749" s="3">
        <v>46257.942453703698</v>
      </c>
      <c r="B1749" s="1">
        <v>10.51</v>
      </c>
      <c r="C1749" s="1">
        <v>9</v>
      </c>
      <c r="D1749" s="1">
        <v>0.72</v>
      </c>
      <c r="E1749" s="1" t="s">
        <v>143</v>
      </c>
      <c r="F1749" s="1" t="s">
        <v>143</v>
      </c>
      <c r="G1749" s="1" t="s">
        <v>143</v>
      </c>
      <c r="H1749" s="1" t="str">
        <f>VLOOKUP(F1749,Countries!$A$1:$B$161,2,0)</f>
        <v>United Arab Emirates</v>
      </c>
    </row>
    <row r="1750" spans="1:8" x14ac:dyDescent="0.3">
      <c r="A1750" s="3">
        <v>46257.936736111107</v>
      </c>
      <c r="B1750" s="1">
        <v>10.85</v>
      </c>
      <c r="C1750" s="1">
        <v>9.2899999999999991</v>
      </c>
      <c r="D1750" s="1">
        <v>0.74</v>
      </c>
      <c r="E1750" s="1" t="s">
        <v>115</v>
      </c>
      <c r="F1750" s="1" t="s">
        <v>115</v>
      </c>
      <c r="G1750" s="1" t="s">
        <v>115</v>
      </c>
      <c r="H1750" s="1" t="str">
        <f>VLOOKUP(F1750,Countries!$A$1:$B$161,2,0)</f>
        <v>Switzerland</v>
      </c>
    </row>
    <row r="1751" spans="1:8" x14ac:dyDescent="0.3">
      <c r="A1751" s="3">
        <v>46257.935983796298</v>
      </c>
      <c r="B1751" s="1">
        <v>5.99</v>
      </c>
      <c r="C1751" s="1">
        <v>5.13</v>
      </c>
      <c r="D1751" s="1">
        <v>0.52</v>
      </c>
      <c r="E1751" s="1" t="s">
        <v>113</v>
      </c>
      <c r="F1751" s="1" t="s">
        <v>113</v>
      </c>
      <c r="G1751" s="1" t="s">
        <v>113</v>
      </c>
      <c r="H1751" s="1" t="str">
        <f>VLOOKUP(F1751,Countries!$A$1:$B$161,2,0)</f>
        <v>United States of America</v>
      </c>
    </row>
    <row r="1752" spans="1:8" x14ac:dyDescent="0.3">
      <c r="A1752" s="3">
        <v>46257.933159722219</v>
      </c>
      <c r="B1752" s="1">
        <v>6.37</v>
      </c>
      <c r="C1752" s="1">
        <v>5.45</v>
      </c>
      <c r="D1752" s="1">
        <v>0.54</v>
      </c>
      <c r="E1752" s="1" t="s">
        <v>113</v>
      </c>
      <c r="F1752" s="1" t="s">
        <v>113</v>
      </c>
      <c r="G1752" s="1" t="s">
        <v>113</v>
      </c>
      <c r="H1752" s="1" t="str">
        <f>VLOOKUP(F1752,Countries!$A$1:$B$161,2,0)</f>
        <v>United States of America</v>
      </c>
    </row>
    <row r="1753" spans="1:8" x14ac:dyDescent="0.3">
      <c r="A1753" s="3">
        <v>46257.924085648148</v>
      </c>
      <c r="B1753" s="1">
        <v>10.85</v>
      </c>
      <c r="C1753" s="1">
        <v>9.2899999999999991</v>
      </c>
      <c r="D1753" s="1">
        <v>0.74</v>
      </c>
      <c r="E1753" s="1" t="s">
        <v>115</v>
      </c>
      <c r="F1753" s="1" t="s">
        <v>115</v>
      </c>
      <c r="G1753" s="1" t="s">
        <v>115</v>
      </c>
      <c r="H1753" s="1" t="str">
        <f>VLOOKUP(F1753,Countries!$A$1:$B$161,2,0)</f>
        <v>Switzerland</v>
      </c>
    </row>
    <row r="1754" spans="1:8" x14ac:dyDescent="0.3">
      <c r="A1754" s="3">
        <v>46257.922442129631</v>
      </c>
      <c r="B1754" s="1">
        <v>6.65</v>
      </c>
      <c r="C1754" s="1">
        <v>5.69</v>
      </c>
      <c r="D1754" s="1">
        <v>0.54</v>
      </c>
      <c r="E1754" s="1" t="s">
        <v>171</v>
      </c>
      <c r="F1754" s="1" t="s">
        <v>171</v>
      </c>
      <c r="G1754" s="1" t="s">
        <v>171</v>
      </c>
      <c r="H1754" s="1" t="str">
        <f>VLOOKUP(F1754,Countries!$A$1:$B$161,2,0)</f>
        <v>Korea (South)</v>
      </c>
    </row>
    <row r="1755" spans="1:8" x14ac:dyDescent="0.3">
      <c r="A1755" s="3">
        <v>46257.91914351852</v>
      </c>
      <c r="B1755" s="1">
        <v>10.51</v>
      </c>
      <c r="C1755" s="1">
        <v>9</v>
      </c>
      <c r="D1755" s="1">
        <v>0.72</v>
      </c>
      <c r="E1755" s="1" t="s">
        <v>143</v>
      </c>
      <c r="F1755" s="1" t="s">
        <v>143</v>
      </c>
      <c r="G1755" s="1" t="s">
        <v>143</v>
      </c>
      <c r="H1755" s="1" t="str">
        <f>VLOOKUP(F1755,Countries!$A$1:$B$161,2,0)</f>
        <v>United Arab Emirates</v>
      </c>
    </row>
    <row r="1756" spans="1:8" x14ac:dyDescent="0.3">
      <c r="A1756" s="3">
        <v>46257.90960648148</v>
      </c>
      <c r="B1756" s="1">
        <v>50.62</v>
      </c>
      <c r="C1756" s="1">
        <v>43.35</v>
      </c>
      <c r="D1756" s="1">
        <v>1.77</v>
      </c>
      <c r="E1756" s="1" t="s">
        <v>151</v>
      </c>
      <c r="F1756" s="1" t="s">
        <v>151</v>
      </c>
      <c r="G1756" s="1" t="s">
        <v>151</v>
      </c>
      <c r="H1756" s="1" t="str">
        <f>VLOOKUP(F1756,Countries!$A$1:$B$161,2,0)</f>
        <v>Netherlands (Holland)</v>
      </c>
    </row>
    <row r="1757" spans="1:8" x14ac:dyDescent="0.3">
      <c r="A1757" s="3">
        <v>46257.908773148149</v>
      </c>
      <c r="B1757" s="1">
        <v>6.37</v>
      </c>
      <c r="C1757" s="1">
        <v>5.46</v>
      </c>
      <c r="D1757" s="1">
        <v>0.54</v>
      </c>
      <c r="E1757" s="1" t="s">
        <v>113</v>
      </c>
      <c r="F1757" s="1" t="s">
        <v>113</v>
      </c>
      <c r="G1757" s="1" t="s">
        <v>113</v>
      </c>
      <c r="H1757" s="1" t="str">
        <f>VLOOKUP(F1757,Countries!$A$1:$B$161,2,0)</f>
        <v>United States of America</v>
      </c>
    </row>
    <row r="1758" spans="1:8" x14ac:dyDescent="0.3">
      <c r="A1758" s="3">
        <v>46257.905856481477</v>
      </c>
      <c r="B1758" s="1">
        <v>10.85</v>
      </c>
      <c r="C1758" s="1">
        <v>9.2899999999999991</v>
      </c>
      <c r="D1758" s="1">
        <v>0.74</v>
      </c>
      <c r="E1758" s="1" t="s">
        <v>115</v>
      </c>
      <c r="F1758" s="1" t="s">
        <v>115</v>
      </c>
      <c r="G1758" s="1" t="s">
        <v>115</v>
      </c>
      <c r="H1758" s="1" t="str">
        <f>VLOOKUP(F1758,Countries!$A$1:$B$161,2,0)</f>
        <v>Switzerland</v>
      </c>
    </row>
    <row r="1759" spans="1:8" x14ac:dyDescent="0.3">
      <c r="A1759" s="3">
        <v>46257.898414351846</v>
      </c>
      <c r="B1759" s="1">
        <v>7.77</v>
      </c>
      <c r="C1759" s="1">
        <v>6.65</v>
      </c>
      <c r="D1759" s="1">
        <v>0.48</v>
      </c>
      <c r="E1759" s="1" t="s">
        <v>137</v>
      </c>
      <c r="F1759" s="1" t="s">
        <v>137</v>
      </c>
      <c r="G1759" s="1" t="s">
        <v>137</v>
      </c>
      <c r="H1759" s="1" t="str">
        <f>VLOOKUP(F1759,Countries!$A$1:$B$161,2,0)</f>
        <v>Poland</v>
      </c>
    </row>
    <row r="1760" spans="1:8" x14ac:dyDescent="0.3">
      <c r="A1760" s="3">
        <v>46257.89738425926</v>
      </c>
      <c r="B1760" s="1">
        <v>10.85</v>
      </c>
      <c r="C1760" s="1">
        <v>9.2899999999999991</v>
      </c>
      <c r="D1760" s="1">
        <v>0.74</v>
      </c>
      <c r="E1760" s="1" t="s">
        <v>115</v>
      </c>
      <c r="F1760" s="1" t="s">
        <v>115</v>
      </c>
      <c r="G1760" s="1" t="s">
        <v>115</v>
      </c>
      <c r="H1760" s="1" t="str">
        <f>VLOOKUP(F1760,Countries!$A$1:$B$161,2,0)</f>
        <v>Switzerland</v>
      </c>
    </row>
    <row r="1761" spans="1:8" x14ac:dyDescent="0.3">
      <c r="A1761" s="3">
        <v>46257.891192129631</v>
      </c>
      <c r="B1761" s="1">
        <v>10.85</v>
      </c>
      <c r="C1761" s="1">
        <v>9.2899999999999991</v>
      </c>
      <c r="D1761" s="1">
        <v>0.74</v>
      </c>
      <c r="E1761" s="1" t="s">
        <v>115</v>
      </c>
      <c r="F1761" s="1" t="s">
        <v>115</v>
      </c>
      <c r="G1761" s="1" t="s">
        <v>115</v>
      </c>
      <c r="H1761" s="1" t="str">
        <f>VLOOKUP(F1761,Countries!$A$1:$B$161,2,0)</f>
        <v>Switzerland</v>
      </c>
    </row>
    <row r="1762" spans="1:8" x14ac:dyDescent="0.3">
      <c r="A1762" s="3">
        <v>46257.889131944437</v>
      </c>
      <c r="B1762" s="1">
        <v>3.18</v>
      </c>
      <c r="C1762" s="1">
        <v>2.72</v>
      </c>
      <c r="D1762" s="1">
        <v>0.39</v>
      </c>
      <c r="E1762" s="1" t="s">
        <v>113</v>
      </c>
      <c r="F1762" s="1" t="s">
        <v>113</v>
      </c>
      <c r="G1762" s="1" t="s">
        <v>113</v>
      </c>
      <c r="H1762" s="1" t="str">
        <f>VLOOKUP(F1762,Countries!$A$1:$B$161,2,0)</f>
        <v>United States of America</v>
      </c>
    </row>
    <row r="1763" spans="1:8" x14ac:dyDescent="0.3">
      <c r="A1763" s="3">
        <v>46257.88521990741</v>
      </c>
      <c r="B1763" s="1">
        <v>10.85</v>
      </c>
      <c r="C1763" s="1">
        <v>9.2899999999999991</v>
      </c>
      <c r="D1763" s="1">
        <v>0.74</v>
      </c>
      <c r="E1763" s="1" t="s">
        <v>115</v>
      </c>
      <c r="F1763" s="1" t="s">
        <v>115</v>
      </c>
      <c r="G1763" s="1" t="s">
        <v>115</v>
      </c>
      <c r="H1763" s="1" t="str">
        <f>VLOOKUP(F1763,Countries!$A$1:$B$161,2,0)</f>
        <v>Switzerland</v>
      </c>
    </row>
    <row r="1764" spans="1:8" x14ac:dyDescent="0.3">
      <c r="A1764" s="3">
        <v>46257.879745370366</v>
      </c>
      <c r="B1764" s="1">
        <v>50.62</v>
      </c>
      <c r="C1764" s="1">
        <v>43.35</v>
      </c>
      <c r="D1764" s="1">
        <v>1.77</v>
      </c>
      <c r="E1764" s="1" t="s">
        <v>151</v>
      </c>
      <c r="F1764" s="1" t="s">
        <v>151</v>
      </c>
      <c r="G1764" s="1" t="s">
        <v>151</v>
      </c>
      <c r="H1764" s="1" t="str">
        <f>VLOOKUP(F1764,Countries!$A$1:$B$161,2,0)</f>
        <v>Netherlands (Holland)</v>
      </c>
    </row>
    <row r="1765" spans="1:8" x14ac:dyDescent="0.3">
      <c r="A1765" s="3">
        <v>46257.878506944442</v>
      </c>
      <c r="B1765" s="1">
        <v>2.21</v>
      </c>
      <c r="C1765" s="1">
        <v>1.89</v>
      </c>
      <c r="D1765" s="1">
        <v>0.35</v>
      </c>
      <c r="E1765" s="1" t="s">
        <v>130</v>
      </c>
      <c r="F1765" s="1" t="s">
        <v>130</v>
      </c>
      <c r="G1765" s="1" t="s">
        <v>130</v>
      </c>
      <c r="H1765" s="1" t="str">
        <f>VLOOKUP(F1765,Countries!$A$1:$B$161,2,0)</f>
        <v>Australia</v>
      </c>
    </row>
    <row r="1766" spans="1:8" x14ac:dyDescent="0.3">
      <c r="A1766" s="3">
        <v>46257.877905092602</v>
      </c>
      <c r="B1766" s="1">
        <v>10.85</v>
      </c>
      <c r="C1766" s="1">
        <v>9.2899999999999991</v>
      </c>
      <c r="D1766" s="1">
        <v>0.74</v>
      </c>
      <c r="E1766" s="1" t="s">
        <v>115</v>
      </c>
      <c r="F1766" s="1" t="s">
        <v>115</v>
      </c>
      <c r="G1766" s="1" t="s">
        <v>115</v>
      </c>
      <c r="H1766" s="1" t="str">
        <f>VLOOKUP(F1766,Countries!$A$1:$B$161,2,0)</f>
        <v>Switzerland</v>
      </c>
    </row>
    <row r="1767" spans="1:8" x14ac:dyDescent="0.3">
      <c r="A1767" s="3">
        <v>46257.874710648153</v>
      </c>
      <c r="B1767" s="1">
        <v>6.37</v>
      </c>
      <c r="C1767" s="1">
        <v>5.46</v>
      </c>
      <c r="D1767" s="1">
        <v>0.54</v>
      </c>
      <c r="E1767" s="1" t="s">
        <v>113</v>
      </c>
      <c r="F1767" s="1" t="s">
        <v>113</v>
      </c>
      <c r="G1767" s="1" t="s">
        <v>113</v>
      </c>
      <c r="H1767" s="1" t="str">
        <f>VLOOKUP(F1767,Countries!$A$1:$B$161,2,0)</f>
        <v>United States of America</v>
      </c>
    </row>
    <row r="1768" spans="1:8" x14ac:dyDescent="0.3">
      <c r="A1768" s="3">
        <v>46257.873252314806</v>
      </c>
      <c r="B1768" s="1">
        <v>6.37</v>
      </c>
      <c r="C1768" s="1">
        <v>5.46</v>
      </c>
      <c r="D1768" s="1">
        <v>0.54</v>
      </c>
      <c r="E1768" s="1" t="s">
        <v>113</v>
      </c>
      <c r="F1768" s="1" t="s">
        <v>113</v>
      </c>
      <c r="G1768" s="1" t="s">
        <v>113</v>
      </c>
      <c r="H1768" s="1" t="str">
        <f>VLOOKUP(F1768,Countries!$A$1:$B$161,2,0)</f>
        <v>United States of America</v>
      </c>
    </row>
    <row r="1769" spans="1:8" x14ac:dyDescent="0.3">
      <c r="A1769" s="3">
        <v>46257.872754629629</v>
      </c>
      <c r="B1769" s="1">
        <v>10.85</v>
      </c>
      <c r="C1769" s="1">
        <v>9.2899999999999991</v>
      </c>
      <c r="D1769" s="1">
        <v>0.74</v>
      </c>
      <c r="E1769" s="1" t="s">
        <v>115</v>
      </c>
      <c r="F1769" s="1" t="s">
        <v>115</v>
      </c>
      <c r="G1769" s="1" t="s">
        <v>115</v>
      </c>
      <c r="H1769" s="1" t="str">
        <f>VLOOKUP(F1769,Countries!$A$1:$B$161,2,0)</f>
        <v>Switzerland</v>
      </c>
    </row>
    <row r="1770" spans="1:8" x14ac:dyDescent="0.3">
      <c r="A1770" s="3">
        <v>46257.866180555553</v>
      </c>
      <c r="B1770" s="1">
        <v>10.85</v>
      </c>
      <c r="C1770" s="1">
        <v>9.2899999999999991</v>
      </c>
      <c r="D1770" s="1">
        <v>0.74</v>
      </c>
      <c r="E1770" s="1" t="s">
        <v>115</v>
      </c>
      <c r="F1770" s="1" t="s">
        <v>115</v>
      </c>
      <c r="G1770" s="1" t="s">
        <v>115</v>
      </c>
      <c r="H1770" s="1" t="str">
        <f>VLOOKUP(F1770,Countries!$A$1:$B$161,2,0)</f>
        <v>Switzerland</v>
      </c>
    </row>
    <row r="1771" spans="1:8" x14ac:dyDescent="0.3">
      <c r="A1771" s="3">
        <v>46257.866030092591</v>
      </c>
      <c r="B1771" s="1">
        <v>50.63</v>
      </c>
      <c r="C1771" s="1">
        <v>43.37</v>
      </c>
      <c r="D1771" s="1">
        <v>1.77</v>
      </c>
      <c r="E1771" s="1" t="s">
        <v>154</v>
      </c>
      <c r="F1771" s="1" t="s">
        <v>154</v>
      </c>
      <c r="G1771" s="1" t="s">
        <v>154</v>
      </c>
      <c r="H1771" s="1" t="str">
        <f>VLOOKUP(F1771,Countries!$A$1:$B$161,2,0)</f>
        <v>Belgium</v>
      </c>
    </row>
    <row r="1772" spans="1:8" x14ac:dyDescent="0.3">
      <c r="A1772" s="3">
        <v>46257.864259259259</v>
      </c>
      <c r="B1772" s="1">
        <v>50.63</v>
      </c>
      <c r="C1772" s="1">
        <v>43.37</v>
      </c>
      <c r="D1772" s="1">
        <v>1.77</v>
      </c>
      <c r="E1772" s="1" t="s">
        <v>154</v>
      </c>
      <c r="F1772" s="1" t="s">
        <v>154</v>
      </c>
      <c r="G1772" s="1" t="s">
        <v>154</v>
      </c>
      <c r="H1772" s="1" t="str">
        <f>VLOOKUP(F1772,Countries!$A$1:$B$161,2,0)</f>
        <v>Belgium</v>
      </c>
    </row>
    <row r="1773" spans="1:8" x14ac:dyDescent="0.3">
      <c r="A1773" s="3">
        <v>46257.863043981481</v>
      </c>
      <c r="B1773" s="1">
        <v>12.64</v>
      </c>
      <c r="C1773" s="1">
        <v>10.83</v>
      </c>
      <c r="D1773" s="1">
        <v>0.63</v>
      </c>
      <c r="E1773" s="1" t="s">
        <v>154</v>
      </c>
      <c r="F1773" s="1" t="s">
        <v>154</v>
      </c>
      <c r="G1773" s="1" t="s">
        <v>154</v>
      </c>
      <c r="H1773" s="1" t="str">
        <f>VLOOKUP(F1773,Countries!$A$1:$B$161,2,0)</f>
        <v>Belgium</v>
      </c>
    </row>
    <row r="1774" spans="1:8" x14ac:dyDescent="0.3">
      <c r="A1774" s="3">
        <v>46257.861446759263</v>
      </c>
      <c r="B1774" s="1">
        <v>50.62</v>
      </c>
      <c r="C1774" s="1">
        <v>43.36</v>
      </c>
      <c r="D1774" s="1">
        <v>1.77</v>
      </c>
      <c r="E1774" s="1" t="s">
        <v>154</v>
      </c>
      <c r="F1774" s="1" t="s">
        <v>154</v>
      </c>
      <c r="G1774" s="1" t="s">
        <v>154</v>
      </c>
      <c r="H1774" s="1" t="str">
        <f>VLOOKUP(F1774,Countries!$A$1:$B$161,2,0)</f>
        <v>Belgium</v>
      </c>
    </row>
    <row r="1775" spans="1:8" x14ac:dyDescent="0.3">
      <c r="A1775" s="3">
        <v>46257.859918981478</v>
      </c>
      <c r="B1775" s="1">
        <v>10.85</v>
      </c>
      <c r="C1775" s="1">
        <v>9.2899999999999991</v>
      </c>
      <c r="D1775" s="1">
        <v>0.74</v>
      </c>
      <c r="E1775" s="1" t="s">
        <v>115</v>
      </c>
      <c r="F1775" s="1" t="s">
        <v>115</v>
      </c>
      <c r="G1775" s="1" t="s">
        <v>115</v>
      </c>
      <c r="H1775" s="1" t="str">
        <f>VLOOKUP(F1775,Countries!$A$1:$B$161,2,0)</f>
        <v>Switzerland</v>
      </c>
    </row>
    <row r="1776" spans="1:8" x14ac:dyDescent="0.3">
      <c r="A1776" s="3">
        <v>46257.858877314808</v>
      </c>
      <c r="B1776" s="1">
        <v>1.99</v>
      </c>
      <c r="C1776" s="1">
        <v>1.7</v>
      </c>
      <c r="D1776" s="1">
        <v>0.34</v>
      </c>
      <c r="E1776" s="1" t="s">
        <v>113</v>
      </c>
      <c r="F1776" s="1" t="s">
        <v>113</v>
      </c>
      <c r="G1776" s="1" t="s">
        <v>113</v>
      </c>
      <c r="H1776" s="1" t="str">
        <f>VLOOKUP(F1776,Countries!$A$1:$B$161,2,0)</f>
        <v>United States of America</v>
      </c>
    </row>
    <row r="1777" spans="1:8" x14ac:dyDescent="0.3">
      <c r="A1777" s="3">
        <v>46257.858124999999</v>
      </c>
      <c r="B1777" s="1">
        <v>105.56</v>
      </c>
      <c r="C1777" s="1">
        <v>90.41</v>
      </c>
      <c r="D1777" s="1">
        <v>3.42</v>
      </c>
      <c r="E1777" s="1" t="s">
        <v>113</v>
      </c>
      <c r="F1777" s="1" t="s">
        <v>113</v>
      </c>
      <c r="G1777" s="1" t="s">
        <v>113</v>
      </c>
      <c r="H1777" s="1" t="str">
        <f>VLOOKUP(F1777,Countries!$A$1:$B$161,2,0)</f>
        <v>United States of America</v>
      </c>
    </row>
    <row r="1778" spans="1:8" x14ac:dyDescent="0.3">
      <c r="A1778" s="3">
        <v>46257.85560185185</v>
      </c>
      <c r="B1778" s="1">
        <v>12.64</v>
      </c>
      <c r="C1778" s="1">
        <v>10.83</v>
      </c>
      <c r="D1778" s="1">
        <v>0.63</v>
      </c>
      <c r="E1778" s="1" t="s">
        <v>154</v>
      </c>
      <c r="F1778" s="1" t="s">
        <v>154</v>
      </c>
      <c r="G1778" s="1" t="s">
        <v>154</v>
      </c>
      <c r="H1778" s="1" t="str">
        <f>VLOOKUP(F1778,Countries!$A$1:$B$161,2,0)</f>
        <v>Belgium</v>
      </c>
    </row>
    <row r="1779" spans="1:8" x14ac:dyDescent="0.3">
      <c r="A1779" s="3">
        <v>46257.853888888887</v>
      </c>
      <c r="B1779" s="1">
        <v>2.99</v>
      </c>
      <c r="C1779" s="1">
        <v>2.56</v>
      </c>
      <c r="D1779" s="1">
        <v>0.38</v>
      </c>
      <c r="E1779" s="1" t="s">
        <v>135</v>
      </c>
      <c r="F1779" s="1" t="s">
        <v>135</v>
      </c>
      <c r="G1779" s="1" t="s">
        <v>135</v>
      </c>
      <c r="H1779" s="1" t="str">
        <f>VLOOKUP(F1779,Countries!$A$1:$B$161,2,0)</f>
        <v>Kuwait</v>
      </c>
    </row>
    <row r="1780" spans="1:8" x14ac:dyDescent="0.3">
      <c r="A1780" s="3">
        <v>46257.853009259263</v>
      </c>
      <c r="B1780" s="1">
        <v>12.64</v>
      </c>
      <c r="C1780" s="1">
        <v>10.83</v>
      </c>
      <c r="D1780" s="1">
        <v>0.63</v>
      </c>
      <c r="E1780" s="1" t="s">
        <v>154</v>
      </c>
      <c r="F1780" s="1" t="s">
        <v>154</v>
      </c>
      <c r="G1780" s="1" t="s">
        <v>154</v>
      </c>
      <c r="H1780" s="1" t="str">
        <f>VLOOKUP(F1780,Countries!$A$1:$B$161,2,0)</f>
        <v>Belgium</v>
      </c>
    </row>
    <row r="1781" spans="1:8" x14ac:dyDescent="0.3">
      <c r="A1781" s="3">
        <v>46257.85193287037</v>
      </c>
      <c r="B1781" s="1">
        <v>65.28</v>
      </c>
      <c r="C1781" s="1">
        <v>55.91</v>
      </c>
      <c r="D1781" s="1">
        <v>3.19</v>
      </c>
      <c r="E1781" s="1" t="s">
        <v>163</v>
      </c>
      <c r="F1781" s="1" t="s">
        <v>163</v>
      </c>
      <c r="G1781" s="1" t="s">
        <v>163</v>
      </c>
      <c r="H1781" s="1" t="str">
        <f>VLOOKUP(F1781,Countries!$A$1:$B$161,2,0)</f>
        <v>Saudi Arabia</v>
      </c>
    </row>
    <row r="1782" spans="1:8" x14ac:dyDescent="0.3">
      <c r="A1782" s="3">
        <v>46257.849479166667</v>
      </c>
      <c r="B1782" s="1">
        <v>12.64</v>
      </c>
      <c r="C1782" s="1">
        <v>10.83</v>
      </c>
      <c r="D1782" s="1">
        <v>0.63</v>
      </c>
      <c r="E1782" s="1" t="s">
        <v>154</v>
      </c>
      <c r="F1782" s="1" t="s">
        <v>154</v>
      </c>
      <c r="G1782" s="1" t="s">
        <v>154</v>
      </c>
      <c r="H1782" s="1" t="str">
        <f>VLOOKUP(F1782,Countries!$A$1:$B$161,2,0)</f>
        <v>Belgium</v>
      </c>
    </row>
    <row r="1783" spans="1:8" x14ac:dyDescent="0.3">
      <c r="A1783" s="3">
        <v>46257.848622685182</v>
      </c>
      <c r="B1783" s="1">
        <v>3.69</v>
      </c>
      <c r="C1783" s="1">
        <v>3.16</v>
      </c>
      <c r="D1783" s="1">
        <v>0.36</v>
      </c>
      <c r="E1783" s="1" t="s">
        <v>159</v>
      </c>
      <c r="F1783" s="1" t="s">
        <v>159</v>
      </c>
      <c r="G1783" s="1" t="s">
        <v>159</v>
      </c>
      <c r="H1783" s="1" t="str">
        <f>VLOOKUP(F1783,Countries!$A$1:$B$161,2,0)</f>
        <v>Romania</v>
      </c>
    </row>
    <row r="1784" spans="1:8" x14ac:dyDescent="0.3">
      <c r="A1784" s="3">
        <v>46257.847199074073</v>
      </c>
      <c r="B1784" s="1">
        <v>6.37</v>
      </c>
      <c r="C1784" s="1">
        <v>5.46</v>
      </c>
      <c r="D1784" s="1">
        <v>0.54</v>
      </c>
      <c r="E1784" s="1" t="s">
        <v>113</v>
      </c>
      <c r="F1784" s="1" t="s">
        <v>113</v>
      </c>
      <c r="G1784" s="1" t="s">
        <v>113</v>
      </c>
      <c r="H1784" s="1" t="str">
        <f>VLOOKUP(F1784,Countries!$A$1:$B$161,2,0)</f>
        <v>United States of America</v>
      </c>
    </row>
    <row r="1785" spans="1:8" x14ac:dyDescent="0.3">
      <c r="A1785" s="3">
        <v>46257.845613425918</v>
      </c>
      <c r="B1785" s="1">
        <v>12.64</v>
      </c>
      <c r="C1785" s="1">
        <v>10.83</v>
      </c>
      <c r="D1785" s="1">
        <v>0.63</v>
      </c>
      <c r="E1785" s="1" t="s">
        <v>154</v>
      </c>
      <c r="F1785" s="1" t="s">
        <v>154</v>
      </c>
      <c r="G1785" s="1" t="s">
        <v>154</v>
      </c>
      <c r="H1785" s="1" t="str">
        <f>VLOOKUP(F1785,Countries!$A$1:$B$161,2,0)</f>
        <v>Belgium</v>
      </c>
    </row>
    <row r="1786" spans="1:8" x14ac:dyDescent="0.3">
      <c r="A1786" s="3">
        <v>46257.845497685194</v>
      </c>
      <c r="B1786" s="1">
        <v>6.37</v>
      </c>
      <c r="C1786" s="1">
        <v>5.46</v>
      </c>
      <c r="D1786" s="1">
        <v>0.54</v>
      </c>
      <c r="E1786" s="1" t="s">
        <v>113</v>
      </c>
      <c r="F1786" s="1" t="s">
        <v>113</v>
      </c>
      <c r="G1786" s="1" t="s">
        <v>113</v>
      </c>
      <c r="H1786" s="1" t="str">
        <f>VLOOKUP(F1786,Countries!$A$1:$B$161,2,0)</f>
        <v>United States of America</v>
      </c>
    </row>
    <row r="1787" spans="1:8" x14ac:dyDescent="0.3">
      <c r="A1787" s="3">
        <v>46257.843622685177</v>
      </c>
      <c r="B1787" s="1">
        <v>17.010000000000002</v>
      </c>
      <c r="C1787" s="1">
        <v>14.57</v>
      </c>
      <c r="D1787" s="1">
        <v>1.01</v>
      </c>
      <c r="E1787" s="1" t="s">
        <v>113</v>
      </c>
      <c r="F1787" s="1" t="s">
        <v>113</v>
      </c>
      <c r="G1787" s="1" t="s">
        <v>113</v>
      </c>
      <c r="H1787" s="1" t="str">
        <f>VLOOKUP(F1787,Countries!$A$1:$B$161,2,0)</f>
        <v>United States of America</v>
      </c>
    </row>
    <row r="1788" spans="1:8" x14ac:dyDescent="0.3">
      <c r="A1788" s="3">
        <v>46257.843530092592</v>
      </c>
      <c r="B1788" s="1">
        <v>1.99</v>
      </c>
      <c r="C1788" s="1">
        <v>1.7</v>
      </c>
      <c r="D1788" s="1">
        <v>0.31</v>
      </c>
      <c r="E1788" s="1" t="s">
        <v>147</v>
      </c>
      <c r="F1788" s="1" t="s">
        <v>147</v>
      </c>
      <c r="G1788" s="1" t="s">
        <v>147</v>
      </c>
      <c r="H1788" s="1" t="str">
        <f>VLOOKUP(F1788,Countries!$A$1:$B$161,2,0)</f>
        <v>Germany</v>
      </c>
    </row>
    <row r="1789" spans="1:8" x14ac:dyDescent="0.3">
      <c r="A1789" s="3">
        <v>46257.842499999999</v>
      </c>
      <c r="B1789" s="1">
        <v>12.64</v>
      </c>
      <c r="C1789" s="1">
        <v>10.83</v>
      </c>
      <c r="D1789" s="1">
        <v>0.63</v>
      </c>
      <c r="E1789" s="1" t="s">
        <v>154</v>
      </c>
      <c r="F1789" s="1" t="s">
        <v>154</v>
      </c>
      <c r="G1789" s="1" t="s">
        <v>154</v>
      </c>
      <c r="H1789" s="1" t="str">
        <f>VLOOKUP(F1789,Countries!$A$1:$B$161,2,0)</f>
        <v>Belgium</v>
      </c>
    </row>
    <row r="1790" spans="1:8" x14ac:dyDescent="0.3">
      <c r="A1790" s="3">
        <v>46257.841435185182</v>
      </c>
      <c r="B1790" s="1">
        <v>10.85</v>
      </c>
      <c r="C1790" s="1">
        <v>9.2899999999999991</v>
      </c>
      <c r="D1790" s="1">
        <v>0.74</v>
      </c>
      <c r="E1790" s="1" t="s">
        <v>115</v>
      </c>
      <c r="F1790" s="1" t="s">
        <v>115</v>
      </c>
      <c r="G1790" s="1" t="s">
        <v>115</v>
      </c>
      <c r="H1790" s="1" t="str">
        <f>VLOOKUP(F1790,Countries!$A$1:$B$161,2,0)</f>
        <v>Switzerland</v>
      </c>
    </row>
    <row r="1791" spans="1:8" x14ac:dyDescent="0.3">
      <c r="A1791" s="3">
        <v>46257.841099537043</v>
      </c>
      <c r="B1791" s="1">
        <v>15.09</v>
      </c>
      <c r="C1791" s="1">
        <v>12.92</v>
      </c>
      <c r="D1791" s="1">
        <v>0.93</v>
      </c>
      <c r="E1791" s="1" t="s">
        <v>115</v>
      </c>
      <c r="F1791" s="1" t="s">
        <v>115</v>
      </c>
      <c r="G1791" s="1" t="s">
        <v>115</v>
      </c>
      <c r="H1791" s="1" t="str">
        <f>VLOOKUP(F1791,Countries!$A$1:$B$161,2,0)</f>
        <v>Switzerland</v>
      </c>
    </row>
    <row r="1792" spans="1:8" x14ac:dyDescent="0.3">
      <c r="A1792" s="3">
        <v>46257.838240740741</v>
      </c>
      <c r="B1792" s="1">
        <v>12.64</v>
      </c>
      <c r="C1792" s="1">
        <v>10.83</v>
      </c>
      <c r="D1792" s="1">
        <v>0.63</v>
      </c>
      <c r="E1792" s="1" t="s">
        <v>154</v>
      </c>
      <c r="F1792" s="1" t="s">
        <v>154</v>
      </c>
      <c r="G1792" s="1" t="s">
        <v>154</v>
      </c>
      <c r="H1792" s="1" t="str">
        <f>VLOOKUP(F1792,Countries!$A$1:$B$161,2,0)</f>
        <v>Belgium</v>
      </c>
    </row>
    <row r="1793" spans="1:8" x14ac:dyDescent="0.3">
      <c r="A1793" s="3">
        <v>46257.837766203702</v>
      </c>
      <c r="B1793" s="1">
        <v>15.09</v>
      </c>
      <c r="C1793" s="1">
        <v>12.92</v>
      </c>
      <c r="D1793" s="1">
        <v>0.93</v>
      </c>
      <c r="E1793" s="1" t="s">
        <v>115</v>
      </c>
      <c r="F1793" s="1" t="s">
        <v>115</v>
      </c>
      <c r="G1793" s="1" t="s">
        <v>115</v>
      </c>
      <c r="H1793" s="1" t="str">
        <f>VLOOKUP(F1793,Countries!$A$1:$B$161,2,0)</f>
        <v>Switzerland</v>
      </c>
    </row>
    <row r="1794" spans="1:8" x14ac:dyDescent="0.3">
      <c r="A1794" s="3">
        <v>46257.837337962963</v>
      </c>
      <c r="B1794" s="1">
        <v>10.85</v>
      </c>
      <c r="C1794" s="1">
        <v>9.2899999999999991</v>
      </c>
      <c r="D1794" s="1">
        <v>0.74</v>
      </c>
      <c r="E1794" s="1" t="s">
        <v>115</v>
      </c>
      <c r="F1794" s="1" t="s">
        <v>115</v>
      </c>
      <c r="G1794" s="1" t="s">
        <v>115</v>
      </c>
      <c r="H1794" s="1" t="str">
        <f>VLOOKUP(F1794,Countries!$A$1:$B$161,2,0)</f>
        <v>Switzerland</v>
      </c>
    </row>
    <row r="1795" spans="1:8" x14ac:dyDescent="0.3">
      <c r="A1795" s="3">
        <v>46257.834687499999</v>
      </c>
      <c r="B1795" s="1">
        <v>12.64</v>
      </c>
      <c r="C1795" s="1">
        <v>10.82</v>
      </c>
      <c r="D1795" s="1">
        <v>0.63</v>
      </c>
      <c r="E1795" s="1" t="s">
        <v>154</v>
      </c>
      <c r="F1795" s="1" t="s">
        <v>154</v>
      </c>
      <c r="G1795" s="1" t="s">
        <v>154</v>
      </c>
      <c r="H1795" s="1" t="str">
        <f>VLOOKUP(F1795,Countries!$A$1:$B$161,2,0)</f>
        <v>Belgium</v>
      </c>
    </row>
    <row r="1796" spans="1:8" x14ac:dyDescent="0.3">
      <c r="A1796" s="3">
        <v>46257.83452546296</v>
      </c>
      <c r="B1796" s="1">
        <v>7.48</v>
      </c>
      <c r="C1796" s="1">
        <v>6.4</v>
      </c>
      <c r="D1796" s="1">
        <v>0.59</v>
      </c>
      <c r="E1796" s="1" t="s">
        <v>115</v>
      </c>
      <c r="F1796" s="1" t="s">
        <v>115</v>
      </c>
      <c r="G1796" s="1" t="s">
        <v>115</v>
      </c>
      <c r="H1796" s="1" t="str">
        <f>VLOOKUP(F1796,Countries!$A$1:$B$161,2,0)</f>
        <v>Switzerland</v>
      </c>
    </row>
    <row r="1797" spans="1:8" x14ac:dyDescent="0.3">
      <c r="A1797" s="3">
        <v>46257.828333333331</v>
      </c>
      <c r="B1797" s="1">
        <v>12.64</v>
      </c>
      <c r="C1797" s="1">
        <v>10.82</v>
      </c>
      <c r="D1797" s="1">
        <v>0.63</v>
      </c>
      <c r="E1797" s="1" t="s">
        <v>154</v>
      </c>
      <c r="F1797" s="1" t="s">
        <v>154</v>
      </c>
      <c r="G1797" s="1" t="s">
        <v>154</v>
      </c>
      <c r="H1797" s="1" t="str">
        <f>VLOOKUP(F1797,Countries!$A$1:$B$161,2,0)</f>
        <v>Belgium</v>
      </c>
    </row>
    <row r="1798" spans="1:8" x14ac:dyDescent="0.3">
      <c r="A1798" s="3">
        <v>46257.823263888888</v>
      </c>
      <c r="B1798" s="1">
        <v>2.99</v>
      </c>
      <c r="C1798" s="1">
        <v>2.56</v>
      </c>
      <c r="D1798" s="1">
        <v>0.38</v>
      </c>
      <c r="E1798" s="1" t="s">
        <v>142</v>
      </c>
      <c r="F1798" s="1" t="s">
        <v>142</v>
      </c>
      <c r="G1798" s="1" t="s">
        <v>142</v>
      </c>
      <c r="H1798" s="1" t="str">
        <f>VLOOKUP(F1798,Countries!$A$1:$B$161,2,0)</f>
        <v>India</v>
      </c>
    </row>
    <row r="1799" spans="1:8" x14ac:dyDescent="0.3">
      <c r="A1799" s="3">
        <v>46257.820543981477</v>
      </c>
      <c r="B1799" s="1">
        <v>42.54</v>
      </c>
      <c r="C1799" s="1">
        <v>36.42</v>
      </c>
      <c r="D1799" s="1">
        <v>2.16</v>
      </c>
      <c r="E1799" s="1" t="s">
        <v>113</v>
      </c>
      <c r="F1799" s="1" t="s">
        <v>197</v>
      </c>
      <c r="G1799" s="1" t="s">
        <v>197</v>
      </c>
      <c r="H1799" s="1" t="str">
        <f>VLOOKUP(F1799,Countries!$A$1:$B$161,2,0)</f>
        <v>China</v>
      </c>
    </row>
    <row r="1800" spans="1:8" x14ac:dyDescent="0.3">
      <c r="A1800" s="3">
        <v>46257.81826388889</v>
      </c>
      <c r="B1800" s="1">
        <v>65.28</v>
      </c>
      <c r="C1800" s="1">
        <v>55.89</v>
      </c>
      <c r="D1800" s="1">
        <v>3.19</v>
      </c>
      <c r="E1800" s="1" t="s">
        <v>163</v>
      </c>
      <c r="F1800" s="1" t="s">
        <v>163</v>
      </c>
      <c r="G1800" s="1" t="s">
        <v>163</v>
      </c>
      <c r="H1800" s="1" t="str">
        <f>VLOOKUP(F1800,Countries!$A$1:$B$161,2,0)</f>
        <v>Saudi Arabia</v>
      </c>
    </row>
    <row r="1801" spans="1:8" x14ac:dyDescent="0.3">
      <c r="A1801" s="3">
        <v>46257.815486111111</v>
      </c>
      <c r="B1801" s="1">
        <v>10.85</v>
      </c>
      <c r="C1801" s="1">
        <v>9.2899999999999991</v>
      </c>
      <c r="D1801" s="1">
        <v>0.74</v>
      </c>
      <c r="E1801" s="1" t="s">
        <v>115</v>
      </c>
      <c r="F1801" s="1" t="s">
        <v>115</v>
      </c>
      <c r="G1801" s="1" t="s">
        <v>115</v>
      </c>
      <c r="H1801" s="1" t="str">
        <f>VLOOKUP(F1801,Countries!$A$1:$B$161,2,0)</f>
        <v>Switzerland</v>
      </c>
    </row>
    <row r="1802" spans="1:8" x14ac:dyDescent="0.3">
      <c r="A1802" s="3">
        <v>46257.813761574071</v>
      </c>
      <c r="B1802" s="1">
        <v>3.99</v>
      </c>
      <c r="C1802" s="1">
        <v>3.42</v>
      </c>
      <c r="D1802" s="1">
        <v>0.43</v>
      </c>
      <c r="E1802" s="1" t="s">
        <v>121</v>
      </c>
      <c r="F1802" s="1" t="s">
        <v>121</v>
      </c>
      <c r="G1802" s="1" t="s">
        <v>121</v>
      </c>
      <c r="H1802" s="1" t="str">
        <f>VLOOKUP(F1802,Countries!$A$1:$B$161,2,0)</f>
        <v>Japan</v>
      </c>
    </row>
    <row r="1803" spans="1:8" x14ac:dyDescent="0.3">
      <c r="A1803" s="3">
        <v>46257.813483796293</v>
      </c>
      <c r="B1803" s="1">
        <v>10.62</v>
      </c>
      <c r="C1803" s="1">
        <v>9.09</v>
      </c>
      <c r="D1803" s="1">
        <v>0.73</v>
      </c>
      <c r="E1803" s="1" t="s">
        <v>113</v>
      </c>
      <c r="F1803" s="1" t="s">
        <v>113</v>
      </c>
      <c r="G1803" s="1" t="s">
        <v>113</v>
      </c>
      <c r="H1803" s="1" t="str">
        <f>VLOOKUP(F1803,Countries!$A$1:$B$161,2,0)</f>
        <v>United States of America</v>
      </c>
    </row>
    <row r="1804" spans="1:8" x14ac:dyDescent="0.3">
      <c r="A1804" s="3">
        <v>46257.792256944442</v>
      </c>
      <c r="B1804" s="1">
        <v>65.28</v>
      </c>
      <c r="C1804" s="1">
        <v>55.88</v>
      </c>
      <c r="D1804" s="1">
        <v>3.19</v>
      </c>
      <c r="E1804" s="1" t="s">
        <v>163</v>
      </c>
      <c r="F1804" s="1" t="s">
        <v>163</v>
      </c>
      <c r="G1804" s="1" t="s">
        <v>163</v>
      </c>
      <c r="H1804" s="1" t="str">
        <f>VLOOKUP(F1804,Countries!$A$1:$B$161,2,0)</f>
        <v>Saudi Arabia</v>
      </c>
    </row>
    <row r="1805" spans="1:8" x14ac:dyDescent="0.3">
      <c r="A1805" s="3">
        <v>46257.788680555554</v>
      </c>
      <c r="B1805" s="1">
        <v>10.85</v>
      </c>
      <c r="C1805" s="1">
        <v>9.2899999999999991</v>
      </c>
      <c r="D1805" s="1">
        <v>0.74</v>
      </c>
      <c r="E1805" s="1" t="s">
        <v>115</v>
      </c>
      <c r="F1805" s="1" t="s">
        <v>115</v>
      </c>
      <c r="G1805" s="1" t="s">
        <v>115</v>
      </c>
      <c r="H1805" s="1" t="str">
        <f>VLOOKUP(F1805,Countries!$A$1:$B$161,2,0)</f>
        <v>Switzerland</v>
      </c>
    </row>
    <row r="1806" spans="1:8" x14ac:dyDescent="0.3">
      <c r="A1806" s="3">
        <v>46257.786770833343</v>
      </c>
      <c r="B1806" s="1">
        <v>7.39</v>
      </c>
      <c r="C1806" s="1">
        <v>6.33</v>
      </c>
      <c r="D1806" s="1">
        <v>0.47</v>
      </c>
      <c r="E1806" s="1" t="s">
        <v>147</v>
      </c>
      <c r="F1806" s="1" t="s">
        <v>147</v>
      </c>
      <c r="G1806" s="1" t="s">
        <v>147</v>
      </c>
      <c r="H1806" s="1" t="str">
        <f>VLOOKUP(F1806,Countries!$A$1:$B$161,2,0)</f>
        <v>Germany</v>
      </c>
    </row>
    <row r="1807" spans="1:8" x14ac:dyDescent="0.3">
      <c r="A1807" s="3">
        <v>46257.783888888887</v>
      </c>
      <c r="B1807" s="1">
        <v>6.37</v>
      </c>
      <c r="C1807" s="1">
        <v>5.45</v>
      </c>
      <c r="D1807" s="1">
        <v>0.54</v>
      </c>
      <c r="E1807" s="1" t="s">
        <v>113</v>
      </c>
      <c r="F1807" s="1" t="s">
        <v>113</v>
      </c>
      <c r="G1807" s="1" t="s">
        <v>113</v>
      </c>
      <c r="H1807" s="1" t="str">
        <f>VLOOKUP(F1807,Countries!$A$1:$B$161,2,0)</f>
        <v>United States of America</v>
      </c>
    </row>
    <row r="1808" spans="1:8" x14ac:dyDescent="0.3">
      <c r="A1808" s="3">
        <v>46257.777349537027</v>
      </c>
      <c r="B1808" s="1">
        <v>6.37</v>
      </c>
      <c r="C1808" s="1">
        <v>5.45</v>
      </c>
      <c r="D1808" s="1">
        <v>0.54</v>
      </c>
      <c r="E1808" s="1" t="s">
        <v>113</v>
      </c>
      <c r="F1808" s="1" t="s">
        <v>113</v>
      </c>
      <c r="G1808" s="1" t="s">
        <v>113</v>
      </c>
      <c r="H1808" s="1" t="str">
        <f>VLOOKUP(F1808,Countries!$A$1:$B$161,2,0)</f>
        <v>United States of America</v>
      </c>
    </row>
    <row r="1809" spans="1:8" x14ac:dyDescent="0.3">
      <c r="A1809" s="3">
        <v>46257.775358796287</v>
      </c>
      <c r="B1809" s="1">
        <v>42.54</v>
      </c>
      <c r="C1809" s="1">
        <v>36.42</v>
      </c>
      <c r="D1809" s="1">
        <v>2.16</v>
      </c>
      <c r="E1809" s="1" t="s">
        <v>113</v>
      </c>
      <c r="F1809" s="1" t="s">
        <v>113</v>
      </c>
      <c r="G1809" s="1" t="s">
        <v>113</v>
      </c>
      <c r="H1809" s="1" t="str">
        <f>VLOOKUP(F1809,Countries!$A$1:$B$161,2,0)</f>
        <v>United States of America</v>
      </c>
    </row>
    <row r="1810" spans="1:8" x14ac:dyDescent="0.3">
      <c r="A1810" s="3">
        <v>46257.769733796304</v>
      </c>
      <c r="B1810" s="1">
        <v>3.39</v>
      </c>
      <c r="C1810" s="1">
        <v>2.9</v>
      </c>
      <c r="D1810" s="1">
        <v>0.4</v>
      </c>
      <c r="E1810" s="1" t="s">
        <v>114</v>
      </c>
      <c r="F1810" s="1" t="s">
        <v>114</v>
      </c>
      <c r="G1810" s="1" t="s">
        <v>114</v>
      </c>
      <c r="H1810" s="1" t="str">
        <f>VLOOKUP(F1810,Countries!$A$1:$B$161,2,0)</f>
        <v>Philippines</v>
      </c>
    </row>
    <row r="1811" spans="1:8" x14ac:dyDescent="0.3">
      <c r="A1811" s="3">
        <v>46257.763506944437</v>
      </c>
      <c r="B1811" s="1">
        <v>15.43</v>
      </c>
      <c r="C1811" s="1">
        <v>13.21</v>
      </c>
      <c r="D1811" s="1">
        <v>0.94</v>
      </c>
      <c r="E1811" s="1" t="s">
        <v>130</v>
      </c>
      <c r="F1811" s="1" t="s">
        <v>130</v>
      </c>
      <c r="G1811" s="1" t="s">
        <v>130</v>
      </c>
      <c r="H1811" s="1" t="str">
        <f>VLOOKUP(F1811,Countries!$A$1:$B$161,2,0)</f>
        <v>Australia</v>
      </c>
    </row>
    <row r="1812" spans="1:8" x14ac:dyDescent="0.3">
      <c r="A1812" s="3">
        <v>46257.76326388889</v>
      </c>
      <c r="B1812" s="1">
        <v>14.77</v>
      </c>
      <c r="C1812" s="1">
        <v>12.64</v>
      </c>
      <c r="D1812" s="1">
        <v>0.91</v>
      </c>
      <c r="E1812" s="1" t="s">
        <v>113</v>
      </c>
      <c r="F1812" s="1" t="s">
        <v>113</v>
      </c>
      <c r="G1812" s="1" t="s">
        <v>113</v>
      </c>
      <c r="H1812" s="1" t="str">
        <f>VLOOKUP(F1812,Countries!$A$1:$B$161,2,0)</f>
        <v>United States of America</v>
      </c>
    </row>
    <row r="1813" spans="1:8" x14ac:dyDescent="0.3">
      <c r="A1813" s="3">
        <v>46257.753344907411</v>
      </c>
      <c r="B1813" s="1">
        <v>7.58</v>
      </c>
      <c r="C1813" s="1">
        <v>6.49</v>
      </c>
      <c r="D1813" s="1">
        <v>0.48</v>
      </c>
      <c r="E1813" s="1" t="s">
        <v>113</v>
      </c>
      <c r="F1813" s="1" t="s">
        <v>113</v>
      </c>
      <c r="G1813" s="1" t="s">
        <v>113</v>
      </c>
      <c r="H1813" s="1" t="str">
        <f>VLOOKUP(F1813,Countries!$A$1:$B$161,2,0)</f>
        <v>United States of America</v>
      </c>
    </row>
    <row r="1814" spans="1:8" x14ac:dyDescent="0.3">
      <c r="A1814" s="3">
        <v>46257.752349537041</v>
      </c>
      <c r="B1814" s="1">
        <v>6.37</v>
      </c>
      <c r="C1814" s="1">
        <v>5.45</v>
      </c>
      <c r="D1814" s="1">
        <v>0.54</v>
      </c>
      <c r="E1814" s="1" t="s">
        <v>113</v>
      </c>
      <c r="F1814" s="1" t="s">
        <v>113</v>
      </c>
      <c r="G1814" s="1" t="s">
        <v>113</v>
      </c>
      <c r="H1814" s="1" t="str">
        <f>VLOOKUP(F1814,Countries!$A$1:$B$161,2,0)</f>
        <v>United States of America</v>
      </c>
    </row>
    <row r="1815" spans="1:8" x14ac:dyDescent="0.3">
      <c r="A1815" s="3">
        <v>46257.750543981478</v>
      </c>
      <c r="B1815" s="1">
        <v>14.77</v>
      </c>
      <c r="C1815" s="1">
        <v>12.65</v>
      </c>
      <c r="D1815" s="1">
        <v>0.91</v>
      </c>
      <c r="E1815" s="1" t="s">
        <v>113</v>
      </c>
      <c r="F1815" s="1" t="s">
        <v>113</v>
      </c>
      <c r="G1815" s="1" t="s">
        <v>113</v>
      </c>
      <c r="H1815" s="1" t="str">
        <f>VLOOKUP(F1815,Countries!$A$1:$B$161,2,0)</f>
        <v>United States of America</v>
      </c>
    </row>
    <row r="1816" spans="1:8" x14ac:dyDescent="0.3">
      <c r="A1816" s="3">
        <v>46257.750023148154</v>
      </c>
      <c r="B1816" s="1">
        <v>17.739999999999998</v>
      </c>
      <c r="C1816" s="1">
        <v>15.19</v>
      </c>
      <c r="D1816" s="1">
        <v>1.04</v>
      </c>
      <c r="E1816" s="1" t="s">
        <v>113</v>
      </c>
      <c r="F1816" s="1" t="s">
        <v>113</v>
      </c>
      <c r="G1816" s="1" t="s">
        <v>113</v>
      </c>
      <c r="H1816" s="1" t="str">
        <f>VLOOKUP(F1816,Countries!$A$1:$B$161,2,0)</f>
        <v>United States of America</v>
      </c>
    </row>
    <row r="1817" spans="1:8" x14ac:dyDescent="0.3">
      <c r="A1817" s="3">
        <v>46257.748900462961</v>
      </c>
      <c r="B1817" s="1">
        <v>26.06</v>
      </c>
      <c r="C1817" s="1">
        <v>22.32</v>
      </c>
      <c r="D1817" s="1">
        <v>1.03</v>
      </c>
      <c r="E1817" s="1" t="s">
        <v>123</v>
      </c>
      <c r="F1817" s="1" t="s">
        <v>123</v>
      </c>
      <c r="G1817" s="1" t="s">
        <v>123</v>
      </c>
      <c r="H1817" s="1" t="str">
        <f>VLOOKUP(F1817,Countries!$A$1:$B$161,2,0)</f>
        <v>France</v>
      </c>
    </row>
    <row r="1818" spans="1:8" x14ac:dyDescent="0.3">
      <c r="A1818" s="3">
        <v>46257.739027777781</v>
      </c>
      <c r="B1818" s="1">
        <v>45.96</v>
      </c>
      <c r="C1818" s="1">
        <v>39.36</v>
      </c>
      <c r="D1818" s="1">
        <v>2.3199999999999998</v>
      </c>
      <c r="E1818" s="1" t="s">
        <v>113</v>
      </c>
      <c r="F1818" s="1" t="s">
        <v>113</v>
      </c>
      <c r="G1818" s="1" t="s">
        <v>113</v>
      </c>
      <c r="H1818" s="1" t="str">
        <f>VLOOKUP(F1818,Countries!$A$1:$B$161,2,0)</f>
        <v>United States of America</v>
      </c>
    </row>
    <row r="1819" spans="1:8" x14ac:dyDescent="0.3">
      <c r="A1819" s="3">
        <v>46257.721215277779</v>
      </c>
      <c r="B1819" s="1">
        <v>4.24</v>
      </c>
      <c r="C1819" s="1">
        <v>3.63</v>
      </c>
      <c r="D1819" s="1">
        <v>0.44</v>
      </c>
      <c r="E1819" s="1" t="s">
        <v>113</v>
      </c>
      <c r="F1819" s="1" t="s">
        <v>113</v>
      </c>
      <c r="G1819" s="1" t="s">
        <v>113</v>
      </c>
      <c r="H1819" s="1" t="str">
        <f>VLOOKUP(F1819,Countries!$A$1:$B$161,2,0)</f>
        <v>United States of America</v>
      </c>
    </row>
    <row r="1820" spans="1:8" x14ac:dyDescent="0.3">
      <c r="A1820" s="3">
        <v>46257.718287037038</v>
      </c>
      <c r="B1820" s="1">
        <v>13.82</v>
      </c>
      <c r="C1820" s="1">
        <v>11.84</v>
      </c>
      <c r="D1820" s="1">
        <v>0.87</v>
      </c>
      <c r="E1820" s="1" t="s">
        <v>113</v>
      </c>
      <c r="F1820" s="1" t="s">
        <v>113</v>
      </c>
      <c r="G1820" s="1" t="s">
        <v>113</v>
      </c>
      <c r="H1820" s="1" t="str">
        <f>VLOOKUP(F1820,Countries!$A$1:$B$161,2,0)</f>
        <v>United States of America</v>
      </c>
    </row>
    <row r="1821" spans="1:8" x14ac:dyDescent="0.3">
      <c r="A1821" s="3">
        <v>46257.712604166663</v>
      </c>
      <c r="B1821" s="1">
        <v>17.010000000000002</v>
      </c>
      <c r="C1821" s="1">
        <v>14.57</v>
      </c>
      <c r="D1821" s="1">
        <v>1.01</v>
      </c>
      <c r="E1821" s="1" t="s">
        <v>113</v>
      </c>
      <c r="F1821" s="1" t="s">
        <v>113</v>
      </c>
      <c r="G1821" s="1" t="s">
        <v>113</v>
      </c>
      <c r="H1821" s="1" t="str">
        <f>VLOOKUP(F1821,Countries!$A$1:$B$161,2,0)</f>
        <v>United States of America</v>
      </c>
    </row>
    <row r="1822" spans="1:8" x14ac:dyDescent="0.3">
      <c r="A1822" s="3">
        <v>46257.710775462961</v>
      </c>
      <c r="B1822" s="1">
        <v>94.93</v>
      </c>
      <c r="C1822" s="1">
        <v>81.3</v>
      </c>
      <c r="D1822" s="1">
        <v>3.1</v>
      </c>
      <c r="E1822" s="1" t="s">
        <v>154</v>
      </c>
      <c r="F1822" s="1" t="s">
        <v>154</v>
      </c>
      <c r="G1822" s="1" t="s">
        <v>154</v>
      </c>
      <c r="H1822" s="1" t="str">
        <f>VLOOKUP(F1822,Countries!$A$1:$B$161,2,0)</f>
        <v>Belgium</v>
      </c>
    </row>
    <row r="1823" spans="1:8" x14ac:dyDescent="0.3">
      <c r="A1823" s="3">
        <v>46257.70989583333</v>
      </c>
      <c r="B1823" s="1">
        <v>8.5</v>
      </c>
      <c r="C1823" s="1">
        <v>7.28</v>
      </c>
      <c r="D1823" s="1">
        <v>0.64</v>
      </c>
      <c r="E1823" s="1" t="s">
        <v>113</v>
      </c>
      <c r="F1823" s="1" t="s">
        <v>113</v>
      </c>
      <c r="G1823" s="1" t="s">
        <v>113</v>
      </c>
      <c r="H1823" s="1" t="str">
        <f>VLOOKUP(F1823,Countries!$A$1:$B$161,2,0)</f>
        <v>United States of America</v>
      </c>
    </row>
    <row r="1824" spans="1:8" x14ac:dyDescent="0.3">
      <c r="A1824" s="3">
        <v>46257.707662037043</v>
      </c>
      <c r="B1824" s="1">
        <v>12.64</v>
      </c>
      <c r="C1824" s="1">
        <v>10.82</v>
      </c>
      <c r="D1824" s="1">
        <v>0.63</v>
      </c>
      <c r="E1824" s="1" t="s">
        <v>154</v>
      </c>
      <c r="F1824" s="1" t="s">
        <v>154</v>
      </c>
      <c r="G1824" s="1" t="s">
        <v>154</v>
      </c>
      <c r="H1824" s="1" t="str">
        <f>VLOOKUP(F1824,Countries!$A$1:$B$161,2,0)</f>
        <v>Belgium</v>
      </c>
    </row>
    <row r="1825" spans="1:8" x14ac:dyDescent="0.3">
      <c r="A1825" s="3">
        <v>46257.705138888887</v>
      </c>
      <c r="B1825" s="1">
        <v>18.98</v>
      </c>
      <c r="C1825" s="1">
        <v>16.25</v>
      </c>
      <c r="D1825" s="1">
        <v>0.82</v>
      </c>
      <c r="E1825" s="1" t="s">
        <v>154</v>
      </c>
      <c r="F1825" s="1" t="s">
        <v>154</v>
      </c>
      <c r="G1825" s="1" t="s">
        <v>154</v>
      </c>
      <c r="H1825" s="1" t="str">
        <f>VLOOKUP(F1825,Countries!$A$1:$B$161,2,0)</f>
        <v>Belgium</v>
      </c>
    </row>
    <row r="1826" spans="1:8" x14ac:dyDescent="0.3">
      <c r="A1826" s="3">
        <v>46257.701909722222</v>
      </c>
      <c r="B1826" s="1">
        <v>7.48</v>
      </c>
      <c r="C1826" s="1">
        <v>6.4</v>
      </c>
      <c r="D1826" s="1">
        <v>0.54</v>
      </c>
      <c r="E1826" s="1" t="s">
        <v>119</v>
      </c>
      <c r="F1826" s="1" t="s">
        <v>119</v>
      </c>
      <c r="G1826" s="1" t="s">
        <v>119</v>
      </c>
      <c r="H1826" s="1" t="str">
        <f>VLOOKUP(F1826,Countries!$A$1:$B$161,2,0)</f>
        <v>Great Britain (United Kingdom)</v>
      </c>
    </row>
    <row r="1827" spans="1:8" x14ac:dyDescent="0.3">
      <c r="A1827" s="3">
        <v>46257.701307870368</v>
      </c>
      <c r="B1827" s="1">
        <v>18.98</v>
      </c>
      <c r="C1827" s="1">
        <v>16.25</v>
      </c>
      <c r="D1827" s="1">
        <v>0.82</v>
      </c>
      <c r="E1827" s="1" t="s">
        <v>154</v>
      </c>
      <c r="F1827" s="1" t="s">
        <v>154</v>
      </c>
      <c r="G1827" s="1" t="s">
        <v>154</v>
      </c>
      <c r="H1827" s="1" t="str">
        <f>VLOOKUP(F1827,Countries!$A$1:$B$161,2,0)</f>
        <v>Belgium</v>
      </c>
    </row>
    <row r="1828" spans="1:8" x14ac:dyDescent="0.3">
      <c r="A1828" s="3">
        <v>46257.700729166667</v>
      </c>
      <c r="B1828" s="1">
        <v>12.64</v>
      </c>
      <c r="C1828" s="1">
        <v>10.82</v>
      </c>
      <c r="D1828" s="1">
        <v>0.63</v>
      </c>
      <c r="E1828" s="1" t="s">
        <v>154</v>
      </c>
      <c r="F1828" s="1" t="s">
        <v>154</v>
      </c>
      <c r="G1828" s="1" t="s">
        <v>154</v>
      </c>
      <c r="H1828" s="1" t="str">
        <f>VLOOKUP(F1828,Countries!$A$1:$B$161,2,0)</f>
        <v>Belgium</v>
      </c>
    </row>
    <row r="1829" spans="1:8" x14ac:dyDescent="0.3">
      <c r="A1829" s="3">
        <v>46257.694108796299</v>
      </c>
      <c r="B1829" s="1">
        <v>12.64</v>
      </c>
      <c r="C1829" s="1">
        <v>10.82</v>
      </c>
      <c r="D1829" s="1">
        <v>0.63</v>
      </c>
      <c r="E1829" s="1" t="s">
        <v>154</v>
      </c>
      <c r="F1829" s="1" t="s">
        <v>154</v>
      </c>
      <c r="G1829" s="1" t="s">
        <v>154</v>
      </c>
      <c r="H1829" s="1" t="str">
        <f>VLOOKUP(F1829,Countries!$A$1:$B$161,2,0)</f>
        <v>Belgium</v>
      </c>
    </row>
    <row r="1830" spans="1:8" x14ac:dyDescent="0.3">
      <c r="A1830" s="3">
        <v>46257.692453703698</v>
      </c>
      <c r="B1830" s="1">
        <v>6.65</v>
      </c>
      <c r="C1830" s="1">
        <v>5.69</v>
      </c>
      <c r="D1830" s="1">
        <v>0.54</v>
      </c>
      <c r="E1830" s="1" t="s">
        <v>113</v>
      </c>
      <c r="F1830" s="1" t="s">
        <v>113</v>
      </c>
      <c r="G1830" s="1" t="s">
        <v>113</v>
      </c>
      <c r="H1830" s="1" t="str">
        <f>VLOOKUP(F1830,Countries!$A$1:$B$161,2,0)</f>
        <v>United States of America</v>
      </c>
    </row>
    <row r="1831" spans="1:8" x14ac:dyDescent="0.3">
      <c r="A1831" s="3">
        <v>46257.687245370369</v>
      </c>
      <c r="B1831" s="1">
        <v>12.64</v>
      </c>
      <c r="C1831" s="1">
        <v>10.82</v>
      </c>
      <c r="D1831" s="1">
        <v>0.63</v>
      </c>
      <c r="E1831" s="1" t="s">
        <v>154</v>
      </c>
      <c r="F1831" s="1" t="s">
        <v>154</v>
      </c>
      <c r="G1831" s="1" t="s">
        <v>154</v>
      </c>
      <c r="H1831" s="1" t="str">
        <f>VLOOKUP(F1831,Countries!$A$1:$B$161,2,0)</f>
        <v>Belgium</v>
      </c>
    </row>
    <row r="1832" spans="1:8" x14ac:dyDescent="0.3">
      <c r="A1832" s="3">
        <v>46257.682546296302</v>
      </c>
      <c r="B1832" s="1">
        <v>1.99</v>
      </c>
      <c r="C1832" s="1">
        <v>1.7</v>
      </c>
      <c r="D1832" s="1">
        <v>0.34</v>
      </c>
      <c r="E1832" s="1" t="s">
        <v>132</v>
      </c>
      <c r="F1832" s="1" t="s">
        <v>132</v>
      </c>
      <c r="G1832" s="1" t="s">
        <v>132</v>
      </c>
      <c r="H1832" s="1" t="str">
        <f>VLOOKUP(F1832,Countries!$A$1:$B$161,2,0)</f>
        <v>Canada</v>
      </c>
    </row>
    <row r="1833" spans="1:8" x14ac:dyDescent="0.3">
      <c r="A1833" s="3">
        <v>46257.681250000001</v>
      </c>
      <c r="B1833" s="1">
        <v>29.57</v>
      </c>
      <c r="C1833" s="1">
        <v>25.31</v>
      </c>
      <c r="D1833" s="1">
        <v>1.58</v>
      </c>
      <c r="E1833" s="1" t="s">
        <v>113</v>
      </c>
      <c r="F1833" s="1" t="s">
        <v>113</v>
      </c>
      <c r="G1833" s="1" t="s">
        <v>113</v>
      </c>
      <c r="H1833" s="1" t="str">
        <f>VLOOKUP(F1833,Countries!$A$1:$B$161,2,0)</f>
        <v>United States of America</v>
      </c>
    </row>
    <row r="1834" spans="1:8" x14ac:dyDescent="0.3">
      <c r="A1834" s="3">
        <v>46257.680081018523</v>
      </c>
      <c r="B1834" s="1">
        <v>17.010000000000002</v>
      </c>
      <c r="C1834" s="1">
        <v>14.56</v>
      </c>
      <c r="D1834" s="1">
        <v>1.01</v>
      </c>
      <c r="E1834" s="1" t="s">
        <v>113</v>
      </c>
      <c r="F1834" s="1" t="s">
        <v>113</v>
      </c>
      <c r="G1834" s="1" t="s">
        <v>113</v>
      </c>
      <c r="H1834" s="1" t="str">
        <f>VLOOKUP(F1834,Countries!$A$1:$B$161,2,0)</f>
        <v>United States of America</v>
      </c>
    </row>
    <row r="1835" spans="1:8" x14ac:dyDescent="0.3">
      <c r="A1835" s="3">
        <v>46257.679976851847</v>
      </c>
      <c r="B1835" s="1">
        <v>12.64</v>
      </c>
      <c r="C1835" s="1">
        <v>10.82</v>
      </c>
      <c r="D1835" s="1">
        <v>0.63</v>
      </c>
      <c r="E1835" s="1" t="s">
        <v>154</v>
      </c>
      <c r="F1835" s="1" t="s">
        <v>154</v>
      </c>
      <c r="G1835" s="1" t="s">
        <v>154</v>
      </c>
      <c r="H1835" s="1" t="str">
        <f>VLOOKUP(F1835,Countries!$A$1:$B$161,2,0)</f>
        <v>Belgium</v>
      </c>
    </row>
    <row r="1836" spans="1:8" x14ac:dyDescent="0.3">
      <c r="A1836" s="3">
        <v>46257.679594907408</v>
      </c>
      <c r="B1836" s="1">
        <v>6.37</v>
      </c>
      <c r="C1836" s="1">
        <v>5.45</v>
      </c>
      <c r="D1836" s="1">
        <v>0.54</v>
      </c>
      <c r="E1836" s="1" t="s">
        <v>113</v>
      </c>
      <c r="F1836" s="1" t="s">
        <v>113</v>
      </c>
      <c r="G1836" s="1" t="s">
        <v>113</v>
      </c>
      <c r="H1836" s="1" t="str">
        <f>VLOOKUP(F1836,Countries!$A$1:$B$161,2,0)</f>
        <v>United States of America</v>
      </c>
    </row>
    <row r="1837" spans="1:8" x14ac:dyDescent="0.3">
      <c r="A1837" s="3">
        <v>46257.675520833327</v>
      </c>
      <c r="B1837" s="1">
        <v>12.64</v>
      </c>
      <c r="C1837" s="1">
        <v>10.82</v>
      </c>
      <c r="D1837" s="1">
        <v>0.63</v>
      </c>
      <c r="E1837" s="1" t="s">
        <v>154</v>
      </c>
      <c r="F1837" s="1" t="s">
        <v>154</v>
      </c>
      <c r="G1837" s="1" t="s">
        <v>154</v>
      </c>
      <c r="H1837" s="1" t="str">
        <f>VLOOKUP(F1837,Countries!$A$1:$B$161,2,0)</f>
        <v>Belgium</v>
      </c>
    </row>
    <row r="1838" spans="1:8" x14ac:dyDescent="0.3">
      <c r="A1838" s="3">
        <v>46257.673726851863</v>
      </c>
      <c r="B1838" s="1">
        <v>3.73</v>
      </c>
      <c r="C1838" s="1">
        <v>3.19</v>
      </c>
      <c r="D1838" s="1">
        <v>0.39</v>
      </c>
      <c r="E1838" s="1" t="s">
        <v>119</v>
      </c>
      <c r="F1838" s="1" t="s">
        <v>119</v>
      </c>
      <c r="G1838" s="1" t="s">
        <v>119</v>
      </c>
      <c r="H1838" s="1" t="str">
        <f>VLOOKUP(F1838,Countries!$A$1:$B$161,2,0)</f>
        <v>Great Britain (United Kingdom)</v>
      </c>
    </row>
    <row r="1839" spans="1:8" x14ac:dyDescent="0.3">
      <c r="A1839" s="3">
        <v>46257.668912037043</v>
      </c>
      <c r="B1839" s="1">
        <v>10.85</v>
      </c>
      <c r="C1839" s="1">
        <v>9.2899999999999991</v>
      </c>
      <c r="D1839" s="1">
        <v>0.74</v>
      </c>
      <c r="E1839" s="1" t="s">
        <v>115</v>
      </c>
      <c r="F1839" s="1" t="s">
        <v>115</v>
      </c>
      <c r="G1839" s="1" t="s">
        <v>115</v>
      </c>
      <c r="H1839" s="1" t="str">
        <f>VLOOKUP(F1839,Countries!$A$1:$B$161,2,0)</f>
        <v>Switzerland</v>
      </c>
    </row>
    <row r="1840" spans="1:8" x14ac:dyDescent="0.3">
      <c r="A1840" s="3">
        <v>46257.65929398148</v>
      </c>
      <c r="B1840" s="1">
        <v>2.99</v>
      </c>
      <c r="C1840" s="1">
        <v>2.56</v>
      </c>
      <c r="D1840" s="1">
        <v>0.38</v>
      </c>
      <c r="E1840" s="1" t="s">
        <v>113</v>
      </c>
      <c r="F1840" s="1" t="s">
        <v>113</v>
      </c>
      <c r="G1840" s="1" t="s">
        <v>113</v>
      </c>
      <c r="H1840" s="1" t="str">
        <f>VLOOKUP(F1840,Countries!$A$1:$B$161,2,0)</f>
        <v>United States of America</v>
      </c>
    </row>
    <row r="1841" spans="1:8" x14ac:dyDescent="0.3">
      <c r="A1841" s="3">
        <v>46257.644155092603</v>
      </c>
      <c r="B1841" s="1">
        <v>6.37</v>
      </c>
      <c r="C1841" s="1">
        <v>5.45</v>
      </c>
      <c r="D1841" s="1">
        <v>0.54</v>
      </c>
      <c r="E1841" s="1" t="s">
        <v>113</v>
      </c>
      <c r="F1841" s="1" t="s">
        <v>113</v>
      </c>
      <c r="G1841" s="1" t="s">
        <v>113</v>
      </c>
      <c r="H1841" s="1" t="str">
        <f>VLOOKUP(F1841,Countries!$A$1:$B$161,2,0)</f>
        <v>United States of America</v>
      </c>
    </row>
    <row r="1842" spans="1:8" x14ac:dyDescent="0.3">
      <c r="A1842" s="3">
        <v>46257.640289351853</v>
      </c>
      <c r="B1842" s="1">
        <v>3.78</v>
      </c>
      <c r="C1842" s="1">
        <v>3.24</v>
      </c>
      <c r="D1842" s="1">
        <v>0.36</v>
      </c>
      <c r="E1842" s="1" t="s">
        <v>113</v>
      </c>
      <c r="F1842" s="1" t="s">
        <v>113</v>
      </c>
      <c r="G1842" s="1" t="s">
        <v>113</v>
      </c>
      <c r="H1842" s="1" t="str">
        <f>VLOOKUP(F1842,Countries!$A$1:$B$161,2,0)</f>
        <v>United States of America</v>
      </c>
    </row>
    <row r="1843" spans="1:8" x14ac:dyDescent="0.3">
      <c r="A1843" s="3">
        <v>46257.636817129627</v>
      </c>
      <c r="B1843" s="1">
        <v>17.010000000000002</v>
      </c>
      <c r="C1843" s="1">
        <v>14.56</v>
      </c>
      <c r="D1843" s="1">
        <v>1.01</v>
      </c>
      <c r="E1843" s="1" t="s">
        <v>113</v>
      </c>
      <c r="F1843" s="1" t="s">
        <v>113</v>
      </c>
      <c r="G1843" s="1" t="s">
        <v>113</v>
      </c>
      <c r="H1843" s="1" t="str">
        <f>VLOOKUP(F1843,Countries!$A$1:$B$161,2,0)</f>
        <v>United States of America</v>
      </c>
    </row>
    <row r="1844" spans="1:8" x14ac:dyDescent="0.3">
      <c r="A1844" s="3">
        <v>46257.622465277767</v>
      </c>
      <c r="B1844" s="1">
        <v>6.65</v>
      </c>
      <c r="C1844" s="1">
        <v>5.69</v>
      </c>
      <c r="D1844" s="1">
        <v>0.54</v>
      </c>
      <c r="E1844" s="1" t="s">
        <v>171</v>
      </c>
      <c r="F1844" s="1" t="s">
        <v>171</v>
      </c>
      <c r="G1844" s="1" t="s">
        <v>171</v>
      </c>
      <c r="H1844" s="1" t="str">
        <f>VLOOKUP(F1844,Countries!$A$1:$B$161,2,0)</f>
        <v>Korea (South)</v>
      </c>
    </row>
    <row r="1845" spans="1:8" x14ac:dyDescent="0.3">
      <c r="A1845" s="3">
        <v>46257.608206018522</v>
      </c>
      <c r="B1845" s="1">
        <v>1.99</v>
      </c>
      <c r="C1845" s="1">
        <v>1.7</v>
      </c>
      <c r="D1845" s="1">
        <v>0.34</v>
      </c>
      <c r="E1845" s="1" t="s">
        <v>129</v>
      </c>
      <c r="F1845" s="1" t="s">
        <v>129</v>
      </c>
      <c r="G1845" s="1" t="s">
        <v>129</v>
      </c>
      <c r="H1845" s="1" t="str">
        <f>VLOOKUP(F1845,Countries!$A$1:$B$161,2,0)</f>
        <v>Qatar</v>
      </c>
    </row>
    <row r="1846" spans="1:8" x14ac:dyDescent="0.3">
      <c r="A1846" s="3">
        <v>46257.574780092589</v>
      </c>
      <c r="B1846" s="1">
        <v>10.85</v>
      </c>
      <c r="C1846" s="1">
        <v>9.2899999999999991</v>
      </c>
      <c r="D1846" s="1">
        <v>0.74</v>
      </c>
      <c r="E1846" s="1" t="s">
        <v>115</v>
      </c>
      <c r="F1846" s="1" t="s">
        <v>115</v>
      </c>
      <c r="G1846" s="1" t="s">
        <v>115</v>
      </c>
      <c r="H1846" s="1" t="str">
        <f>VLOOKUP(F1846,Countries!$A$1:$B$161,2,0)</f>
        <v>Switzerland</v>
      </c>
    </row>
    <row r="1847" spans="1:8" x14ac:dyDescent="0.3">
      <c r="A1847" s="3">
        <v>46257.572789351849</v>
      </c>
      <c r="B1847" s="1">
        <v>1.99</v>
      </c>
      <c r="C1847" s="1">
        <v>1.7</v>
      </c>
      <c r="D1847" s="1">
        <v>0.34</v>
      </c>
      <c r="E1847" s="1" t="s">
        <v>198</v>
      </c>
      <c r="F1847" s="1" t="s">
        <v>198</v>
      </c>
      <c r="G1847" s="1" t="s">
        <v>198</v>
      </c>
      <c r="H1847" s="1" t="str">
        <f>VLOOKUP(F1847,Countries!$A$1:$B$161,2,0)</f>
        <v>Taiwan</v>
      </c>
    </row>
    <row r="1848" spans="1:8" x14ac:dyDescent="0.3">
      <c r="A1848" s="3">
        <v>46257.557696759257</v>
      </c>
      <c r="B1848" s="1">
        <v>33.01</v>
      </c>
      <c r="C1848" s="1">
        <v>28.26</v>
      </c>
      <c r="D1848" s="1">
        <v>1.24</v>
      </c>
      <c r="E1848" s="1" t="s">
        <v>123</v>
      </c>
      <c r="F1848" s="1" t="s">
        <v>123</v>
      </c>
      <c r="G1848" s="1" t="s">
        <v>123</v>
      </c>
      <c r="H1848" s="1" t="str">
        <f>VLOOKUP(F1848,Countries!$A$1:$B$161,2,0)</f>
        <v>France</v>
      </c>
    </row>
    <row r="1849" spans="1:8" x14ac:dyDescent="0.3">
      <c r="A1849" s="3">
        <v>46257.548726851863</v>
      </c>
      <c r="B1849" s="1">
        <v>17.36</v>
      </c>
      <c r="C1849" s="1">
        <v>14.86</v>
      </c>
      <c r="D1849" s="1">
        <v>0.77</v>
      </c>
      <c r="E1849" s="1" t="s">
        <v>123</v>
      </c>
      <c r="F1849" s="1" t="s">
        <v>123</v>
      </c>
      <c r="G1849" s="1" t="s">
        <v>123</v>
      </c>
      <c r="H1849" s="1" t="str">
        <f>VLOOKUP(F1849,Countries!$A$1:$B$161,2,0)</f>
        <v>France</v>
      </c>
    </row>
    <row r="1850" spans="1:8" x14ac:dyDescent="0.3">
      <c r="A1850" s="3">
        <v>46257.54791666667</v>
      </c>
      <c r="B1850" s="1">
        <v>26.06</v>
      </c>
      <c r="C1850" s="1">
        <v>22.31</v>
      </c>
      <c r="D1850" s="1">
        <v>1.03</v>
      </c>
      <c r="E1850" s="1" t="s">
        <v>123</v>
      </c>
      <c r="F1850" s="1" t="s">
        <v>123</v>
      </c>
      <c r="G1850" s="1" t="s">
        <v>123</v>
      </c>
      <c r="H1850" s="1" t="str">
        <f>VLOOKUP(F1850,Countries!$A$1:$B$161,2,0)</f>
        <v>France</v>
      </c>
    </row>
    <row r="1851" spans="1:8" x14ac:dyDescent="0.3">
      <c r="A1851" s="3">
        <v>46257.546400462961</v>
      </c>
      <c r="B1851" s="1">
        <v>6.37</v>
      </c>
      <c r="C1851" s="1">
        <v>5.45</v>
      </c>
      <c r="D1851" s="1">
        <v>0.54</v>
      </c>
      <c r="E1851" s="1" t="s">
        <v>113</v>
      </c>
      <c r="F1851" s="1" t="s">
        <v>113</v>
      </c>
      <c r="G1851" s="1" t="s">
        <v>113</v>
      </c>
      <c r="H1851" s="1" t="str">
        <f>VLOOKUP(F1851,Countries!$A$1:$B$161,2,0)</f>
        <v>United States of America</v>
      </c>
    </row>
    <row r="1852" spans="1:8" x14ac:dyDescent="0.3">
      <c r="A1852" s="3">
        <v>46257.540254629632</v>
      </c>
      <c r="B1852" s="1">
        <v>20.85</v>
      </c>
      <c r="C1852" s="1">
        <v>17.86</v>
      </c>
      <c r="D1852" s="1">
        <v>0.88</v>
      </c>
      <c r="E1852" s="1" t="s">
        <v>123</v>
      </c>
      <c r="F1852" s="1" t="s">
        <v>123</v>
      </c>
      <c r="G1852" s="1" t="s">
        <v>123</v>
      </c>
      <c r="H1852" s="1" t="str">
        <f>VLOOKUP(F1852,Countries!$A$1:$B$161,2,0)</f>
        <v>France</v>
      </c>
    </row>
    <row r="1853" spans="1:8" x14ac:dyDescent="0.3">
      <c r="A1853" s="3">
        <v>46257.540150462963</v>
      </c>
      <c r="B1853" s="1">
        <v>10.62</v>
      </c>
      <c r="C1853" s="1">
        <v>9.1</v>
      </c>
      <c r="D1853" s="1">
        <v>0.73</v>
      </c>
      <c r="E1853" s="1" t="s">
        <v>113</v>
      </c>
      <c r="F1853" s="1" t="s">
        <v>113</v>
      </c>
      <c r="G1853" s="1" t="s">
        <v>113</v>
      </c>
      <c r="H1853" s="1" t="str">
        <f>VLOOKUP(F1853,Countries!$A$1:$B$161,2,0)</f>
        <v>United States of America</v>
      </c>
    </row>
    <row r="1854" spans="1:8" x14ac:dyDescent="0.3">
      <c r="A1854" s="3">
        <v>46257.54011574074</v>
      </c>
      <c r="B1854" s="1">
        <v>36.57</v>
      </c>
      <c r="C1854" s="1">
        <v>31.32</v>
      </c>
      <c r="D1854" s="1">
        <v>1.9</v>
      </c>
      <c r="E1854" s="1" t="s">
        <v>132</v>
      </c>
      <c r="F1854" s="1" t="s">
        <v>132</v>
      </c>
      <c r="G1854" s="1" t="s">
        <v>132</v>
      </c>
      <c r="H1854" s="1" t="str">
        <f>VLOOKUP(F1854,Countries!$A$1:$B$161,2,0)</f>
        <v>Canada</v>
      </c>
    </row>
    <row r="1855" spans="1:8" x14ac:dyDescent="0.3">
      <c r="A1855" s="3">
        <v>46257.538425925923</v>
      </c>
      <c r="B1855" s="1">
        <v>6.3</v>
      </c>
      <c r="C1855" s="1">
        <v>5.4</v>
      </c>
      <c r="D1855" s="1">
        <v>0.54</v>
      </c>
      <c r="E1855" s="1" t="s">
        <v>132</v>
      </c>
      <c r="F1855" s="1" t="s">
        <v>132</v>
      </c>
      <c r="G1855" s="1" t="s">
        <v>132</v>
      </c>
      <c r="H1855" s="1" t="str">
        <f>VLOOKUP(F1855,Countries!$A$1:$B$161,2,0)</f>
        <v>Canada</v>
      </c>
    </row>
    <row r="1856" spans="1:8" x14ac:dyDescent="0.3">
      <c r="A1856" s="3">
        <v>46257.536030092589</v>
      </c>
      <c r="B1856" s="1">
        <v>7.48</v>
      </c>
      <c r="C1856" s="1">
        <v>6.41</v>
      </c>
      <c r="D1856" s="1">
        <v>0.48</v>
      </c>
      <c r="E1856" s="1" t="s">
        <v>123</v>
      </c>
      <c r="F1856" s="1" t="s">
        <v>123</v>
      </c>
      <c r="G1856" s="1" t="s">
        <v>123</v>
      </c>
      <c r="H1856" s="1" t="str">
        <f>VLOOKUP(F1856,Countries!$A$1:$B$161,2,0)</f>
        <v>France</v>
      </c>
    </row>
    <row r="1857" spans="1:8" x14ac:dyDescent="0.3">
      <c r="A1857" s="3">
        <v>46257.535509259258</v>
      </c>
      <c r="B1857" s="1">
        <v>12.97</v>
      </c>
      <c r="C1857" s="1">
        <v>11.11</v>
      </c>
      <c r="D1857" s="1">
        <v>0.64</v>
      </c>
      <c r="E1857" s="1" t="s">
        <v>137</v>
      </c>
      <c r="F1857" s="1" t="s">
        <v>137</v>
      </c>
      <c r="G1857" s="1" t="s">
        <v>137</v>
      </c>
      <c r="H1857" s="1" t="str">
        <f>VLOOKUP(F1857,Countries!$A$1:$B$161,2,0)</f>
        <v>Poland</v>
      </c>
    </row>
    <row r="1858" spans="1:8" x14ac:dyDescent="0.3">
      <c r="A1858" s="3">
        <v>46257.531747685192</v>
      </c>
      <c r="B1858" s="1">
        <v>7.77</v>
      </c>
      <c r="C1858" s="1">
        <v>6.65</v>
      </c>
      <c r="D1858" s="1">
        <v>0.48</v>
      </c>
      <c r="E1858" s="1" t="s">
        <v>137</v>
      </c>
      <c r="F1858" s="1" t="s">
        <v>137</v>
      </c>
      <c r="G1858" s="1" t="s">
        <v>137</v>
      </c>
      <c r="H1858" s="1" t="str">
        <f>VLOOKUP(F1858,Countries!$A$1:$B$161,2,0)</f>
        <v>Poland</v>
      </c>
    </row>
    <row r="1859" spans="1:8" x14ac:dyDescent="0.3">
      <c r="A1859" s="3">
        <v>46257.525462962964</v>
      </c>
      <c r="B1859" s="1">
        <v>10.62</v>
      </c>
      <c r="C1859" s="1">
        <v>9.1</v>
      </c>
      <c r="D1859" s="1">
        <v>0.73</v>
      </c>
      <c r="E1859" s="1" t="s">
        <v>113</v>
      </c>
      <c r="F1859" s="1" t="s">
        <v>113</v>
      </c>
      <c r="G1859" s="1" t="s">
        <v>113</v>
      </c>
      <c r="H1859" s="1" t="str">
        <f>VLOOKUP(F1859,Countries!$A$1:$B$161,2,0)</f>
        <v>United States of America</v>
      </c>
    </row>
    <row r="1860" spans="1:8" x14ac:dyDescent="0.3">
      <c r="A1860" s="3">
        <v>46257.524930555563</v>
      </c>
      <c r="B1860" s="1">
        <v>17.010000000000002</v>
      </c>
      <c r="C1860" s="1">
        <v>14.57</v>
      </c>
      <c r="D1860" s="1">
        <v>1.01</v>
      </c>
      <c r="E1860" s="1" t="s">
        <v>113</v>
      </c>
      <c r="F1860" s="1" t="s">
        <v>113</v>
      </c>
      <c r="G1860" s="1" t="s">
        <v>113</v>
      </c>
      <c r="H1860" s="1" t="str">
        <f>VLOOKUP(F1860,Countries!$A$1:$B$161,2,0)</f>
        <v>United States of America</v>
      </c>
    </row>
    <row r="1861" spans="1:8" x14ac:dyDescent="0.3">
      <c r="A1861" s="3">
        <v>46257.522870370369</v>
      </c>
      <c r="B1861" s="1">
        <v>10.62</v>
      </c>
      <c r="C1861" s="1">
        <v>9.1</v>
      </c>
      <c r="D1861" s="1">
        <v>0.73</v>
      </c>
      <c r="E1861" s="1" t="s">
        <v>113</v>
      </c>
      <c r="F1861" s="1" t="s">
        <v>113</v>
      </c>
      <c r="G1861" s="1" t="s">
        <v>113</v>
      </c>
      <c r="H1861" s="1" t="str">
        <f>VLOOKUP(F1861,Countries!$A$1:$B$161,2,0)</f>
        <v>United States of America</v>
      </c>
    </row>
    <row r="1862" spans="1:8" x14ac:dyDescent="0.3">
      <c r="A1862" s="3">
        <v>46257.512361111112</v>
      </c>
      <c r="B1862" s="1">
        <v>4.09</v>
      </c>
      <c r="C1862" s="1">
        <v>3.5</v>
      </c>
      <c r="D1862" s="1">
        <v>0.43</v>
      </c>
      <c r="E1862" s="1" t="s">
        <v>199</v>
      </c>
      <c r="F1862" s="1" t="s">
        <v>199</v>
      </c>
      <c r="G1862" s="1" t="s">
        <v>199</v>
      </c>
      <c r="H1862" s="1" t="str">
        <f>VLOOKUP(F1862,Countries!$A$1:$B$161,2,0)</f>
        <v>Moldova</v>
      </c>
    </row>
    <row r="1863" spans="1:8" x14ac:dyDescent="0.3">
      <c r="A1863" s="3">
        <v>46257.511759259258</v>
      </c>
      <c r="B1863" s="1">
        <v>10.62</v>
      </c>
      <c r="C1863" s="1">
        <v>9.1</v>
      </c>
      <c r="D1863" s="1">
        <v>0.73</v>
      </c>
      <c r="E1863" s="1" t="s">
        <v>113</v>
      </c>
      <c r="F1863" s="1" t="s">
        <v>113</v>
      </c>
      <c r="G1863" s="1" t="s">
        <v>113</v>
      </c>
      <c r="H1863" s="1" t="str">
        <f>VLOOKUP(F1863,Countries!$A$1:$B$161,2,0)</f>
        <v>United States of America</v>
      </c>
    </row>
    <row r="1864" spans="1:8" x14ac:dyDescent="0.3">
      <c r="A1864" s="3">
        <v>46257.508194444446</v>
      </c>
      <c r="B1864" s="1">
        <v>10.85</v>
      </c>
      <c r="C1864" s="1">
        <v>9.2899999999999991</v>
      </c>
      <c r="D1864" s="1">
        <v>0.74</v>
      </c>
      <c r="E1864" s="1" t="s">
        <v>115</v>
      </c>
      <c r="F1864" s="1" t="s">
        <v>115</v>
      </c>
      <c r="G1864" s="1" t="s">
        <v>115</v>
      </c>
      <c r="H1864" s="1" t="str">
        <f>VLOOKUP(F1864,Countries!$A$1:$B$161,2,0)</f>
        <v>Switzerland</v>
      </c>
    </row>
    <row r="1865" spans="1:8" x14ac:dyDescent="0.3">
      <c r="A1865" s="3">
        <v>46257.507800925923</v>
      </c>
      <c r="B1865" s="1">
        <v>2.99</v>
      </c>
      <c r="C1865" s="1">
        <v>2.56</v>
      </c>
      <c r="D1865" s="1">
        <v>0.38</v>
      </c>
      <c r="E1865" s="1" t="s">
        <v>113</v>
      </c>
      <c r="F1865" s="1" t="s">
        <v>113</v>
      </c>
      <c r="G1865" s="1" t="s">
        <v>113</v>
      </c>
      <c r="H1865" s="1" t="str">
        <f>VLOOKUP(F1865,Countries!$A$1:$B$161,2,0)</f>
        <v>United States of America</v>
      </c>
    </row>
    <row r="1866" spans="1:8" x14ac:dyDescent="0.3">
      <c r="A1866" s="3">
        <v>46257.50640046296</v>
      </c>
      <c r="B1866" s="1">
        <v>10.62</v>
      </c>
      <c r="C1866" s="1">
        <v>9.1</v>
      </c>
      <c r="D1866" s="1">
        <v>0.73</v>
      </c>
      <c r="E1866" s="1" t="s">
        <v>113</v>
      </c>
      <c r="F1866" s="1" t="s">
        <v>113</v>
      </c>
      <c r="G1866" s="1" t="s">
        <v>113</v>
      </c>
      <c r="H1866" s="1" t="str">
        <f>VLOOKUP(F1866,Countries!$A$1:$B$161,2,0)</f>
        <v>United States of America</v>
      </c>
    </row>
    <row r="1867" spans="1:8" x14ac:dyDescent="0.3">
      <c r="A1867" s="3">
        <v>46257.492847222216</v>
      </c>
      <c r="B1867" s="1">
        <v>10.62</v>
      </c>
      <c r="C1867" s="1">
        <v>9.09</v>
      </c>
      <c r="D1867" s="1">
        <v>0.73</v>
      </c>
      <c r="E1867" s="1" t="s">
        <v>113</v>
      </c>
      <c r="F1867" s="1" t="s">
        <v>113</v>
      </c>
      <c r="G1867" s="1" t="s">
        <v>113</v>
      </c>
      <c r="H1867" s="1" t="str">
        <f>VLOOKUP(F1867,Countries!$A$1:$B$161,2,0)</f>
        <v>United States of America</v>
      </c>
    </row>
    <row r="1868" spans="1:8" x14ac:dyDescent="0.3">
      <c r="A1868" s="3">
        <v>46257.490335648137</v>
      </c>
      <c r="B1868" s="1">
        <v>10.62</v>
      </c>
      <c r="C1868" s="1">
        <v>9.09</v>
      </c>
      <c r="D1868" s="1">
        <v>0.73</v>
      </c>
      <c r="E1868" s="1" t="s">
        <v>113</v>
      </c>
      <c r="F1868" s="1" t="s">
        <v>113</v>
      </c>
      <c r="G1868" s="1" t="s">
        <v>113</v>
      </c>
      <c r="H1868" s="1" t="str">
        <f>VLOOKUP(F1868,Countries!$A$1:$B$161,2,0)</f>
        <v>United States of America</v>
      </c>
    </row>
    <row r="1869" spans="1:8" x14ac:dyDescent="0.3">
      <c r="A1869" s="3">
        <v>46257.485381944447</v>
      </c>
      <c r="B1869" s="1">
        <v>10.62</v>
      </c>
      <c r="C1869" s="1">
        <v>9.09</v>
      </c>
      <c r="D1869" s="1">
        <v>0.73</v>
      </c>
      <c r="E1869" s="1" t="s">
        <v>113</v>
      </c>
      <c r="F1869" s="1" t="s">
        <v>113</v>
      </c>
      <c r="G1869" s="1" t="s">
        <v>113</v>
      </c>
      <c r="H1869" s="1" t="str">
        <f>VLOOKUP(F1869,Countries!$A$1:$B$161,2,0)</f>
        <v>United States of America</v>
      </c>
    </row>
    <row r="1870" spans="1:8" x14ac:dyDescent="0.3">
      <c r="A1870" s="3">
        <v>46257.48537037037</v>
      </c>
      <c r="B1870" s="1">
        <v>10.85</v>
      </c>
      <c r="C1870" s="1">
        <v>9.2899999999999991</v>
      </c>
      <c r="D1870" s="1">
        <v>0.74</v>
      </c>
      <c r="E1870" s="1" t="s">
        <v>115</v>
      </c>
      <c r="F1870" s="1" t="s">
        <v>115</v>
      </c>
      <c r="G1870" s="1" t="s">
        <v>115</v>
      </c>
      <c r="H1870" s="1" t="str">
        <f>VLOOKUP(F1870,Countries!$A$1:$B$161,2,0)</f>
        <v>Switzerland</v>
      </c>
    </row>
    <row r="1871" spans="1:8" x14ac:dyDescent="0.3">
      <c r="A1871" s="3">
        <v>46257.48064814815</v>
      </c>
      <c r="B1871" s="1">
        <v>10.62</v>
      </c>
      <c r="C1871" s="1">
        <v>9.09</v>
      </c>
      <c r="D1871" s="1">
        <v>0.73</v>
      </c>
      <c r="E1871" s="1" t="s">
        <v>113</v>
      </c>
      <c r="F1871" s="1" t="s">
        <v>113</v>
      </c>
      <c r="G1871" s="1" t="s">
        <v>113</v>
      </c>
      <c r="H1871" s="1" t="str">
        <f>VLOOKUP(F1871,Countries!$A$1:$B$161,2,0)</f>
        <v>United States of America</v>
      </c>
    </row>
    <row r="1872" spans="1:8" x14ac:dyDescent="0.3">
      <c r="A1872" s="3">
        <v>46257.476666666669</v>
      </c>
      <c r="B1872" s="1">
        <v>10.62</v>
      </c>
      <c r="C1872" s="1">
        <v>9.09</v>
      </c>
      <c r="D1872" s="1">
        <v>0.73</v>
      </c>
      <c r="E1872" s="1" t="s">
        <v>113</v>
      </c>
      <c r="F1872" s="1" t="s">
        <v>113</v>
      </c>
      <c r="G1872" s="1" t="s">
        <v>113</v>
      </c>
      <c r="H1872" s="1" t="str">
        <f>VLOOKUP(F1872,Countries!$A$1:$B$161,2,0)</f>
        <v>United States of America</v>
      </c>
    </row>
    <row r="1873" spans="1:8" x14ac:dyDescent="0.3">
      <c r="A1873" s="3">
        <v>46257.473344907397</v>
      </c>
      <c r="B1873" s="1">
        <v>6.37</v>
      </c>
      <c r="C1873" s="1">
        <v>5.45</v>
      </c>
      <c r="D1873" s="1">
        <v>0.54</v>
      </c>
      <c r="E1873" s="1" t="s">
        <v>113</v>
      </c>
      <c r="F1873" s="1" t="s">
        <v>113</v>
      </c>
      <c r="G1873" s="1" t="s">
        <v>113</v>
      </c>
      <c r="H1873" s="1" t="str">
        <f>VLOOKUP(F1873,Countries!$A$1:$B$161,2,0)</f>
        <v>United States of America</v>
      </c>
    </row>
    <row r="1874" spans="1:8" x14ac:dyDescent="0.3">
      <c r="A1874" s="3">
        <v>46257.472743055558</v>
      </c>
      <c r="B1874" s="1">
        <v>108.11</v>
      </c>
      <c r="C1874" s="1">
        <v>92.55</v>
      </c>
      <c r="D1874" s="1">
        <v>5.1100000000000003</v>
      </c>
      <c r="E1874" s="1" t="s">
        <v>130</v>
      </c>
      <c r="F1874" s="1" t="s">
        <v>130</v>
      </c>
      <c r="G1874" s="1" t="s">
        <v>130</v>
      </c>
      <c r="H1874" s="1" t="str">
        <f>VLOOKUP(F1874,Countries!$A$1:$B$161,2,0)</f>
        <v>Australia</v>
      </c>
    </row>
    <row r="1875" spans="1:8" x14ac:dyDescent="0.3">
      <c r="A1875" s="3">
        <v>46257.471574074072</v>
      </c>
      <c r="B1875" s="1">
        <v>6.37</v>
      </c>
      <c r="C1875" s="1">
        <v>5.45</v>
      </c>
      <c r="D1875" s="1">
        <v>0.54</v>
      </c>
      <c r="E1875" s="1" t="s">
        <v>113</v>
      </c>
      <c r="F1875" s="1" t="s">
        <v>113</v>
      </c>
      <c r="G1875" s="1" t="s">
        <v>113</v>
      </c>
      <c r="H1875" s="1" t="str">
        <f>VLOOKUP(F1875,Countries!$A$1:$B$161,2,0)</f>
        <v>United States of America</v>
      </c>
    </row>
    <row r="1876" spans="1:8" x14ac:dyDescent="0.3">
      <c r="A1876" s="3">
        <v>46257.470462962963</v>
      </c>
      <c r="B1876" s="1">
        <v>2.11</v>
      </c>
      <c r="C1876" s="1">
        <v>1.81</v>
      </c>
      <c r="D1876" s="1">
        <v>0.35</v>
      </c>
      <c r="E1876" s="1" t="s">
        <v>113</v>
      </c>
      <c r="F1876" s="1" t="s">
        <v>113</v>
      </c>
      <c r="G1876" s="1" t="s">
        <v>113</v>
      </c>
      <c r="H1876" s="1" t="str">
        <f>VLOOKUP(F1876,Countries!$A$1:$B$161,2,0)</f>
        <v>United States of America</v>
      </c>
    </row>
    <row r="1877" spans="1:8" x14ac:dyDescent="0.3">
      <c r="A1877" s="3">
        <v>46257.467326388891</v>
      </c>
      <c r="B1877" s="1">
        <v>1.99</v>
      </c>
      <c r="C1877" s="1">
        <v>1.7</v>
      </c>
      <c r="D1877" s="1">
        <v>0.34</v>
      </c>
      <c r="E1877" s="1" t="s">
        <v>126</v>
      </c>
      <c r="F1877" s="1" t="s">
        <v>126</v>
      </c>
      <c r="G1877" s="1" t="s">
        <v>126</v>
      </c>
      <c r="H1877" s="1" t="str">
        <f>VLOOKUP(F1877,Countries!$A$1:$B$161,2,0)</f>
        <v>Cambodia</v>
      </c>
    </row>
    <row r="1878" spans="1:8" x14ac:dyDescent="0.3">
      <c r="A1878" s="3">
        <v>46257.464942129627</v>
      </c>
      <c r="B1878" s="1">
        <v>6.37</v>
      </c>
      <c r="C1878" s="1">
        <v>5.45</v>
      </c>
      <c r="D1878" s="1">
        <v>0.54</v>
      </c>
      <c r="E1878" s="1" t="s">
        <v>113</v>
      </c>
      <c r="F1878" s="1" t="s">
        <v>113</v>
      </c>
      <c r="G1878" s="1" t="s">
        <v>113</v>
      </c>
      <c r="H1878" s="1" t="str">
        <f>VLOOKUP(F1878,Countries!$A$1:$B$161,2,0)</f>
        <v>United States of America</v>
      </c>
    </row>
    <row r="1879" spans="1:8" x14ac:dyDescent="0.3">
      <c r="A1879" s="3">
        <v>46257.462604166663</v>
      </c>
      <c r="B1879" s="1">
        <v>10.62</v>
      </c>
      <c r="C1879" s="1">
        <v>9.09</v>
      </c>
      <c r="D1879" s="1">
        <v>0.73</v>
      </c>
      <c r="E1879" s="1" t="s">
        <v>113</v>
      </c>
      <c r="F1879" s="1" t="s">
        <v>113</v>
      </c>
      <c r="G1879" s="1" t="s">
        <v>113</v>
      </c>
      <c r="H1879" s="1" t="str">
        <f>VLOOKUP(F1879,Countries!$A$1:$B$161,2,0)</f>
        <v>United States of America</v>
      </c>
    </row>
    <row r="1880" spans="1:8" x14ac:dyDescent="0.3">
      <c r="A1880" s="3">
        <v>46257.45988425926</v>
      </c>
      <c r="B1880" s="1">
        <v>6.37</v>
      </c>
      <c r="C1880" s="1">
        <v>5.45</v>
      </c>
      <c r="D1880" s="1">
        <v>0.54</v>
      </c>
      <c r="E1880" s="1" t="s">
        <v>113</v>
      </c>
      <c r="F1880" s="1" t="s">
        <v>113</v>
      </c>
      <c r="G1880" s="1" t="s">
        <v>113</v>
      </c>
      <c r="H1880" s="1" t="str">
        <f>VLOOKUP(F1880,Countries!$A$1:$B$161,2,0)</f>
        <v>United States of America</v>
      </c>
    </row>
    <row r="1881" spans="1:8" x14ac:dyDescent="0.3">
      <c r="A1881" s="3">
        <v>46257.457812499997</v>
      </c>
      <c r="B1881" s="1">
        <v>10.85</v>
      </c>
      <c r="C1881" s="1">
        <v>9.2899999999999991</v>
      </c>
      <c r="D1881" s="1">
        <v>0.74</v>
      </c>
      <c r="E1881" s="1" t="s">
        <v>115</v>
      </c>
      <c r="F1881" s="1" t="s">
        <v>115</v>
      </c>
      <c r="G1881" s="1" t="s">
        <v>115</v>
      </c>
      <c r="H1881" s="1" t="str">
        <f>VLOOKUP(F1881,Countries!$A$1:$B$161,2,0)</f>
        <v>Switzerland</v>
      </c>
    </row>
    <row r="1882" spans="1:8" x14ac:dyDescent="0.3">
      <c r="A1882" s="3">
        <v>46257.444733796299</v>
      </c>
      <c r="B1882" s="1">
        <v>10.62</v>
      </c>
      <c r="C1882" s="1">
        <v>9.09</v>
      </c>
      <c r="D1882" s="1">
        <v>0.73</v>
      </c>
      <c r="E1882" s="1" t="s">
        <v>113</v>
      </c>
      <c r="F1882" s="1" t="s">
        <v>113</v>
      </c>
      <c r="G1882" s="1" t="s">
        <v>113</v>
      </c>
      <c r="H1882" s="1" t="str">
        <f>VLOOKUP(F1882,Countries!$A$1:$B$161,2,0)</f>
        <v>United States of America</v>
      </c>
    </row>
    <row r="1883" spans="1:8" x14ac:dyDescent="0.3">
      <c r="A1883" s="3">
        <v>46257.44127314815</v>
      </c>
      <c r="B1883" s="1">
        <v>10.85</v>
      </c>
      <c r="C1883" s="1">
        <v>9.2899999999999991</v>
      </c>
      <c r="D1883" s="1">
        <v>0.74</v>
      </c>
      <c r="E1883" s="1" t="s">
        <v>115</v>
      </c>
      <c r="F1883" s="1" t="s">
        <v>115</v>
      </c>
      <c r="G1883" s="1" t="s">
        <v>115</v>
      </c>
      <c r="H1883" s="1" t="str">
        <f>VLOOKUP(F1883,Countries!$A$1:$B$161,2,0)</f>
        <v>Switzerland</v>
      </c>
    </row>
    <row r="1884" spans="1:8" x14ac:dyDescent="0.3">
      <c r="A1884" s="3">
        <v>46257.433946759258</v>
      </c>
      <c r="B1884" s="1">
        <v>6.37</v>
      </c>
      <c r="C1884" s="1">
        <v>5.45</v>
      </c>
      <c r="D1884" s="1">
        <v>0.54</v>
      </c>
      <c r="E1884" s="1" t="s">
        <v>113</v>
      </c>
      <c r="F1884" s="1" t="s">
        <v>113</v>
      </c>
      <c r="G1884" s="1" t="s">
        <v>113</v>
      </c>
      <c r="H1884" s="1" t="str">
        <f>VLOOKUP(F1884,Countries!$A$1:$B$161,2,0)</f>
        <v>United States of America</v>
      </c>
    </row>
    <row r="1885" spans="1:8" x14ac:dyDescent="0.3">
      <c r="A1885" s="3">
        <v>46257.433344907397</v>
      </c>
      <c r="B1885" s="1">
        <v>10.62</v>
      </c>
      <c r="C1885" s="1">
        <v>9.09</v>
      </c>
      <c r="D1885" s="1">
        <v>0.73</v>
      </c>
      <c r="E1885" s="1" t="s">
        <v>113</v>
      </c>
      <c r="F1885" s="1" t="s">
        <v>113</v>
      </c>
      <c r="G1885" s="1" t="s">
        <v>113</v>
      </c>
      <c r="H1885" s="1" t="str">
        <f>VLOOKUP(F1885,Countries!$A$1:$B$161,2,0)</f>
        <v>United States of America</v>
      </c>
    </row>
    <row r="1886" spans="1:8" x14ac:dyDescent="0.3">
      <c r="A1886" s="3">
        <v>46257.421122685177</v>
      </c>
      <c r="B1886" s="1">
        <v>6.37</v>
      </c>
      <c r="C1886" s="1">
        <v>5.45</v>
      </c>
      <c r="D1886" s="1">
        <v>0.54</v>
      </c>
      <c r="E1886" s="1" t="s">
        <v>113</v>
      </c>
      <c r="F1886" s="1" t="s">
        <v>113</v>
      </c>
      <c r="G1886" s="1" t="s">
        <v>113</v>
      </c>
      <c r="H1886" s="1" t="str">
        <f>VLOOKUP(F1886,Countries!$A$1:$B$161,2,0)</f>
        <v>United States of America</v>
      </c>
    </row>
    <row r="1887" spans="1:8" x14ac:dyDescent="0.3">
      <c r="A1887" s="3">
        <v>46257.409074074072</v>
      </c>
      <c r="B1887" s="1">
        <v>6.37</v>
      </c>
      <c r="C1887" s="1">
        <v>5.45</v>
      </c>
      <c r="D1887" s="1">
        <v>0.54</v>
      </c>
      <c r="E1887" s="1" t="s">
        <v>113</v>
      </c>
      <c r="F1887" s="1" t="s">
        <v>113</v>
      </c>
      <c r="G1887" s="1" t="s">
        <v>113</v>
      </c>
      <c r="H1887" s="1" t="str">
        <f>VLOOKUP(F1887,Countries!$A$1:$B$161,2,0)</f>
        <v>United States of America</v>
      </c>
    </row>
    <row r="1888" spans="1:8" x14ac:dyDescent="0.3">
      <c r="A1888" s="3">
        <v>46257.404293981483</v>
      </c>
      <c r="B1888" s="1">
        <v>6.37</v>
      </c>
      <c r="C1888" s="1">
        <v>5.45</v>
      </c>
      <c r="D1888" s="1">
        <v>0.54</v>
      </c>
      <c r="E1888" s="1" t="s">
        <v>113</v>
      </c>
      <c r="F1888" s="1" t="s">
        <v>113</v>
      </c>
      <c r="G1888" s="1" t="s">
        <v>113</v>
      </c>
      <c r="H1888" s="1" t="str">
        <f>VLOOKUP(F1888,Countries!$A$1:$B$161,2,0)</f>
        <v>United States of America</v>
      </c>
    </row>
    <row r="1889" spans="1:8" x14ac:dyDescent="0.3">
      <c r="A1889" s="3">
        <v>46257.376666666663</v>
      </c>
      <c r="B1889" s="1">
        <v>3.18</v>
      </c>
      <c r="C1889" s="1">
        <v>2.72</v>
      </c>
      <c r="D1889" s="1">
        <v>0.39</v>
      </c>
      <c r="E1889" s="1" t="s">
        <v>113</v>
      </c>
      <c r="F1889" s="1" t="s">
        <v>113</v>
      </c>
      <c r="G1889" s="1" t="s">
        <v>113</v>
      </c>
      <c r="H1889" s="1" t="str">
        <f>VLOOKUP(F1889,Countries!$A$1:$B$161,2,0)</f>
        <v>United States of America</v>
      </c>
    </row>
    <row r="1890" spans="1:8" x14ac:dyDescent="0.3">
      <c r="A1890" s="3">
        <v>46257.375416666669</v>
      </c>
      <c r="B1890" s="1">
        <v>1.99</v>
      </c>
      <c r="C1890" s="1">
        <v>1.7</v>
      </c>
      <c r="D1890" s="1">
        <v>0.32</v>
      </c>
      <c r="E1890" s="1" t="s">
        <v>119</v>
      </c>
      <c r="F1890" s="1" t="s">
        <v>119</v>
      </c>
      <c r="G1890" s="1" t="s">
        <v>119</v>
      </c>
      <c r="H1890" s="1" t="str">
        <f>VLOOKUP(F1890,Countries!$A$1:$B$161,2,0)</f>
        <v>Great Britain (United Kingdom)</v>
      </c>
    </row>
    <row r="1891" spans="1:8" x14ac:dyDescent="0.3">
      <c r="A1891" s="3">
        <v>46257.368194444447</v>
      </c>
      <c r="B1891" s="1">
        <v>10.85</v>
      </c>
      <c r="C1891" s="1">
        <v>9.2899999999999991</v>
      </c>
      <c r="D1891" s="1">
        <v>0.74</v>
      </c>
      <c r="E1891" s="1" t="s">
        <v>115</v>
      </c>
      <c r="F1891" s="1" t="s">
        <v>115</v>
      </c>
      <c r="G1891" s="1" t="s">
        <v>115</v>
      </c>
      <c r="H1891" s="1" t="str">
        <f>VLOOKUP(F1891,Countries!$A$1:$B$161,2,0)</f>
        <v>Switzerland</v>
      </c>
    </row>
    <row r="1892" spans="1:8" x14ac:dyDescent="0.3">
      <c r="A1892" s="3">
        <v>46257.361886574072</v>
      </c>
      <c r="B1892" s="1">
        <v>6.37</v>
      </c>
      <c r="C1892" s="1">
        <v>5.45</v>
      </c>
      <c r="D1892" s="1">
        <v>0.54</v>
      </c>
      <c r="E1892" s="1" t="s">
        <v>113</v>
      </c>
      <c r="F1892" s="1" t="s">
        <v>113</v>
      </c>
      <c r="G1892" s="1" t="s">
        <v>113</v>
      </c>
      <c r="H1892" s="1" t="str">
        <f>VLOOKUP(F1892,Countries!$A$1:$B$161,2,0)</f>
        <v>United States of America</v>
      </c>
    </row>
    <row r="1893" spans="1:8" x14ac:dyDescent="0.3">
      <c r="A1893" s="3">
        <v>46257.360462962963</v>
      </c>
      <c r="B1893" s="1">
        <v>6.65</v>
      </c>
      <c r="C1893" s="1">
        <v>5.69</v>
      </c>
      <c r="D1893" s="1">
        <v>0.54</v>
      </c>
      <c r="E1893" s="1" t="s">
        <v>130</v>
      </c>
      <c r="F1893" s="1" t="s">
        <v>130</v>
      </c>
      <c r="G1893" s="1" t="s">
        <v>130</v>
      </c>
      <c r="H1893" s="1" t="str">
        <f>VLOOKUP(F1893,Countries!$A$1:$B$161,2,0)</f>
        <v>Australia</v>
      </c>
    </row>
    <row r="1894" spans="1:8" x14ac:dyDescent="0.3">
      <c r="A1894" s="3">
        <v>46257.352418981478</v>
      </c>
      <c r="B1894" s="1">
        <v>10.85</v>
      </c>
      <c r="C1894" s="1">
        <v>9.2899999999999991</v>
      </c>
      <c r="D1894" s="1">
        <v>0.74</v>
      </c>
      <c r="E1894" s="1" t="s">
        <v>115</v>
      </c>
      <c r="F1894" s="1" t="s">
        <v>115</v>
      </c>
      <c r="G1894" s="1" t="s">
        <v>115</v>
      </c>
      <c r="H1894" s="1" t="str">
        <f>VLOOKUP(F1894,Countries!$A$1:$B$161,2,0)</f>
        <v>Switzerland</v>
      </c>
    </row>
    <row r="1895" spans="1:8" x14ac:dyDescent="0.3">
      <c r="A1895" s="3">
        <v>46257.350335648152</v>
      </c>
      <c r="B1895" s="1">
        <v>17.010000000000002</v>
      </c>
      <c r="C1895" s="1">
        <v>14.57</v>
      </c>
      <c r="D1895" s="1">
        <v>1.01</v>
      </c>
      <c r="E1895" s="1" t="s">
        <v>113</v>
      </c>
      <c r="F1895" s="1" t="s">
        <v>113</v>
      </c>
      <c r="G1895" s="1" t="s">
        <v>113</v>
      </c>
      <c r="H1895" s="1" t="str">
        <f>VLOOKUP(F1895,Countries!$A$1:$B$161,2,0)</f>
        <v>United States of America</v>
      </c>
    </row>
    <row r="1896" spans="1:8" x14ac:dyDescent="0.3">
      <c r="A1896" s="3">
        <v>46257.349699074082</v>
      </c>
      <c r="B1896" s="1">
        <v>5.99</v>
      </c>
      <c r="C1896" s="1">
        <v>5.13</v>
      </c>
      <c r="D1896" s="1">
        <v>0.52</v>
      </c>
      <c r="E1896" s="1" t="s">
        <v>113</v>
      </c>
      <c r="F1896" s="1" t="s">
        <v>113</v>
      </c>
      <c r="G1896" s="1" t="s">
        <v>113</v>
      </c>
      <c r="H1896" s="1" t="str">
        <f>VLOOKUP(F1896,Countries!$A$1:$B$161,2,0)</f>
        <v>United States of America</v>
      </c>
    </row>
    <row r="1897" spans="1:8" x14ac:dyDescent="0.3">
      <c r="A1897" s="3">
        <v>46257.340405092589</v>
      </c>
      <c r="B1897" s="1">
        <v>14.77</v>
      </c>
      <c r="C1897" s="1">
        <v>12.65</v>
      </c>
      <c r="D1897" s="1">
        <v>0.91</v>
      </c>
      <c r="E1897" s="1" t="s">
        <v>113</v>
      </c>
      <c r="F1897" s="1" t="s">
        <v>113</v>
      </c>
      <c r="G1897" s="1" t="s">
        <v>113</v>
      </c>
      <c r="H1897" s="1" t="str">
        <f>VLOOKUP(F1897,Countries!$A$1:$B$161,2,0)</f>
        <v>United States of America</v>
      </c>
    </row>
    <row r="1898" spans="1:8" x14ac:dyDescent="0.3">
      <c r="A1898" s="3">
        <v>46257.338379629633</v>
      </c>
      <c r="B1898" s="1">
        <v>6.37</v>
      </c>
      <c r="C1898" s="1">
        <v>5.45</v>
      </c>
      <c r="D1898" s="1">
        <v>0.54</v>
      </c>
      <c r="E1898" s="1" t="s">
        <v>113</v>
      </c>
      <c r="F1898" s="1" t="s">
        <v>113</v>
      </c>
      <c r="G1898" s="1" t="s">
        <v>113</v>
      </c>
      <c r="H1898" s="1" t="str">
        <f>VLOOKUP(F1898,Countries!$A$1:$B$161,2,0)</f>
        <v>United States of America</v>
      </c>
    </row>
    <row r="1899" spans="1:8" x14ac:dyDescent="0.3">
      <c r="A1899" s="3">
        <v>46257.3358912037</v>
      </c>
      <c r="B1899" s="1">
        <v>10.85</v>
      </c>
      <c r="C1899" s="1">
        <v>9.2899999999999991</v>
      </c>
      <c r="D1899" s="1">
        <v>0.74</v>
      </c>
      <c r="E1899" s="1" t="s">
        <v>115</v>
      </c>
      <c r="F1899" s="1" t="s">
        <v>115</v>
      </c>
      <c r="G1899" s="1" t="s">
        <v>115</v>
      </c>
      <c r="H1899" s="1" t="str">
        <f>VLOOKUP(F1899,Countries!$A$1:$B$161,2,0)</f>
        <v>Switzerland</v>
      </c>
    </row>
    <row r="1900" spans="1:8" x14ac:dyDescent="0.3">
      <c r="A1900" s="3">
        <v>46257.332627314812</v>
      </c>
      <c r="B1900" s="1">
        <v>14.77</v>
      </c>
      <c r="C1900" s="1">
        <v>12.65</v>
      </c>
      <c r="D1900" s="1">
        <v>0.91</v>
      </c>
      <c r="E1900" s="1" t="s">
        <v>113</v>
      </c>
      <c r="F1900" s="1" t="s">
        <v>113</v>
      </c>
      <c r="G1900" s="1" t="s">
        <v>113</v>
      </c>
      <c r="H1900" s="1" t="str">
        <f>VLOOKUP(F1900,Countries!$A$1:$B$161,2,0)</f>
        <v>United States of America</v>
      </c>
    </row>
    <row r="1901" spans="1:8" x14ac:dyDescent="0.3">
      <c r="A1901" s="3">
        <v>46257.329756944448</v>
      </c>
      <c r="B1901" s="1">
        <v>10.62</v>
      </c>
      <c r="C1901" s="1">
        <v>9.09</v>
      </c>
      <c r="D1901" s="1">
        <v>0.73</v>
      </c>
      <c r="E1901" s="1" t="s">
        <v>113</v>
      </c>
      <c r="F1901" s="1" t="s">
        <v>113</v>
      </c>
      <c r="G1901" s="1" t="s">
        <v>113</v>
      </c>
      <c r="H1901" s="1" t="str">
        <f>VLOOKUP(F1901,Countries!$A$1:$B$161,2,0)</f>
        <v>United States of America</v>
      </c>
    </row>
    <row r="1902" spans="1:8" x14ac:dyDescent="0.3">
      <c r="A1902" s="3">
        <v>46257.326319444437</v>
      </c>
      <c r="B1902" s="1">
        <v>14.77</v>
      </c>
      <c r="C1902" s="1">
        <v>12.65</v>
      </c>
      <c r="D1902" s="1">
        <v>0.91</v>
      </c>
      <c r="E1902" s="1" t="s">
        <v>113</v>
      </c>
      <c r="F1902" s="1" t="s">
        <v>113</v>
      </c>
      <c r="G1902" s="1" t="s">
        <v>113</v>
      </c>
      <c r="H1902" s="1" t="str">
        <f>VLOOKUP(F1902,Countries!$A$1:$B$161,2,0)</f>
        <v>United States of America</v>
      </c>
    </row>
    <row r="1903" spans="1:8" x14ac:dyDescent="0.3">
      <c r="A1903" s="3">
        <v>46257.322314814817</v>
      </c>
      <c r="B1903" s="1">
        <v>14.77</v>
      </c>
      <c r="C1903" s="1">
        <v>12.65</v>
      </c>
      <c r="D1903" s="1">
        <v>0.91</v>
      </c>
      <c r="E1903" s="1" t="s">
        <v>113</v>
      </c>
      <c r="F1903" s="1" t="s">
        <v>113</v>
      </c>
      <c r="G1903" s="1" t="s">
        <v>113</v>
      </c>
      <c r="H1903" s="1" t="str">
        <f>VLOOKUP(F1903,Countries!$A$1:$B$161,2,0)</f>
        <v>United States of America</v>
      </c>
    </row>
    <row r="1904" spans="1:8" x14ac:dyDescent="0.3">
      <c r="A1904" s="3">
        <v>46257.31790509259</v>
      </c>
      <c r="B1904" s="1">
        <v>10.62</v>
      </c>
      <c r="C1904" s="1">
        <v>9.09</v>
      </c>
      <c r="D1904" s="1">
        <v>0.73</v>
      </c>
      <c r="E1904" s="1" t="s">
        <v>113</v>
      </c>
      <c r="F1904" s="1" t="s">
        <v>113</v>
      </c>
      <c r="G1904" s="1" t="s">
        <v>113</v>
      </c>
      <c r="H1904" s="1" t="str">
        <f>VLOOKUP(F1904,Countries!$A$1:$B$161,2,0)</f>
        <v>United States of America</v>
      </c>
    </row>
    <row r="1905" spans="1:8" x14ac:dyDescent="0.3">
      <c r="A1905" s="3">
        <v>46257.316030092603</v>
      </c>
      <c r="B1905" s="1">
        <v>8.5</v>
      </c>
      <c r="C1905" s="1">
        <v>7.28</v>
      </c>
      <c r="D1905" s="1">
        <v>0.64</v>
      </c>
      <c r="E1905" s="1" t="s">
        <v>113</v>
      </c>
      <c r="F1905" s="1" t="s">
        <v>113</v>
      </c>
      <c r="G1905" s="1" t="s">
        <v>113</v>
      </c>
      <c r="H1905" s="1" t="str">
        <f>VLOOKUP(F1905,Countries!$A$1:$B$161,2,0)</f>
        <v>United States of America</v>
      </c>
    </row>
    <row r="1906" spans="1:8" x14ac:dyDescent="0.3">
      <c r="A1906" s="3">
        <v>46257.311319444438</v>
      </c>
      <c r="B1906" s="1">
        <v>6.37</v>
      </c>
      <c r="C1906" s="1">
        <v>5.45</v>
      </c>
      <c r="D1906" s="1">
        <v>0.54</v>
      </c>
      <c r="E1906" s="1" t="s">
        <v>113</v>
      </c>
      <c r="F1906" s="1" t="s">
        <v>113</v>
      </c>
      <c r="G1906" s="1" t="s">
        <v>113</v>
      </c>
      <c r="H1906" s="1" t="str">
        <f>VLOOKUP(F1906,Countries!$A$1:$B$161,2,0)</f>
        <v>United States of America</v>
      </c>
    </row>
    <row r="1907" spans="1:8" x14ac:dyDescent="0.3">
      <c r="A1907" s="3">
        <v>46257.307199074072</v>
      </c>
      <c r="B1907" s="1">
        <v>6.37</v>
      </c>
      <c r="C1907" s="1">
        <v>5.45</v>
      </c>
      <c r="D1907" s="1">
        <v>0.54</v>
      </c>
      <c r="E1907" s="1" t="s">
        <v>113</v>
      </c>
      <c r="F1907" s="1" t="s">
        <v>113</v>
      </c>
      <c r="G1907" s="1" t="s">
        <v>113</v>
      </c>
      <c r="H1907" s="1" t="str">
        <f>VLOOKUP(F1907,Countries!$A$1:$B$161,2,0)</f>
        <v>United States of America</v>
      </c>
    </row>
    <row r="1908" spans="1:8" x14ac:dyDescent="0.3">
      <c r="A1908" s="3">
        <v>46257.305983796286</v>
      </c>
      <c r="B1908" s="1">
        <v>10.62</v>
      </c>
      <c r="C1908" s="1">
        <v>9.09</v>
      </c>
      <c r="D1908" s="1">
        <v>0.73</v>
      </c>
      <c r="E1908" s="1" t="s">
        <v>113</v>
      </c>
      <c r="F1908" s="1" t="s">
        <v>113</v>
      </c>
      <c r="G1908" s="1" t="s">
        <v>113</v>
      </c>
      <c r="H1908" s="1" t="str">
        <f>VLOOKUP(F1908,Countries!$A$1:$B$161,2,0)</f>
        <v>United States of America</v>
      </c>
    </row>
    <row r="1909" spans="1:8" x14ac:dyDescent="0.3">
      <c r="A1909" s="3">
        <v>46257.305185185192</v>
      </c>
      <c r="B1909" s="1">
        <v>14.77</v>
      </c>
      <c r="C1909" s="1">
        <v>12.65</v>
      </c>
      <c r="D1909" s="1">
        <v>0.91</v>
      </c>
      <c r="E1909" s="1" t="s">
        <v>113</v>
      </c>
      <c r="F1909" s="1" t="s">
        <v>113</v>
      </c>
      <c r="G1909" s="1" t="s">
        <v>113</v>
      </c>
      <c r="H1909" s="1" t="str">
        <f>VLOOKUP(F1909,Countries!$A$1:$B$161,2,0)</f>
        <v>United States of America</v>
      </c>
    </row>
    <row r="1910" spans="1:8" x14ac:dyDescent="0.3">
      <c r="A1910" s="3">
        <v>46257.304050925923</v>
      </c>
      <c r="B1910" s="1">
        <v>3.35</v>
      </c>
      <c r="C1910" s="1">
        <v>2.87</v>
      </c>
      <c r="D1910" s="1">
        <v>0.4</v>
      </c>
      <c r="E1910" s="1" t="s">
        <v>149</v>
      </c>
      <c r="F1910" s="1" t="s">
        <v>149</v>
      </c>
      <c r="G1910" s="1" t="s">
        <v>149</v>
      </c>
      <c r="H1910" s="1" t="str">
        <f>VLOOKUP(F1910,Countries!$A$1:$B$161,2,0)</f>
        <v>Indonesia</v>
      </c>
    </row>
    <row r="1911" spans="1:8" x14ac:dyDescent="0.3">
      <c r="A1911" s="3">
        <v>46257.300752314812</v>
      </c>
      <c r="B1911" s="1">
        <v>14.77</v>
      </c>
      <c r="C1911" s="1">
        <v>12.65</v>
      </c>
      <c r="D1911" s="1">
        <v>0.91</v>
      </c>
      <c r="E1911" s="1" t="s">
        <v>113</v>
      </c>
      <c r="F1911" s="1" t="s">
        <v>113</v>
      </c>
      <c r="G1911" s="1" t="s">
        <v>113</v>
      </c>
      <c r="H1911" s="1" t="str">
        <f>VLOOKUP(F1911,Countries!$A$1:$B$161,2,0)</f>
        <v>United States of America</v>
      </c>
    </row>
    <row r="1912" spans="1:8" x14ac:dyDescent="0.3">
      <c r="A1912" s="3">
        <v>46257.300104166658</v>
      </c>
      <c r="B1912" s="1">
        <v>17.010000000000002</v>
      </c>
      <c r="C1912" s="1">
        <v>14.56</v>
      </c>
      <c r="D1912" s="1">
        <v>1.01</v>
      </c>
      <c r="E1912" s="1" t="s">
        <v>113</v>
      </c>
      <c r="F1912" s="1" t="s">
        <v>113</v>
      </c>
      <c r="G1912" s="1" t="s">
        <v>113</v>
      </c>
      <c r="H1912" s="1" t="str">
        <f>VLOOKUP(F1912,Countries!$A$1:$B$161,2,0)</f>
        <v>United States of America</v>
      </c>
    </row>
    <row r="1913" spans="1:8" x14ac:dyDescent="0.3">
      <c r="A1913" s="3">
        <v>46257.297986111109</v>
      </c>
      <c r="B1913" s="1">
        <v>10.62</v>
      </c>
      <c r="C1913" s="1">
        <v>9.09</v>
      </c>
      <c r="D1913" s="1">
        <v>0.73</v>
      </c>
      <c r="E1913" s="1" t="s">
        <v>113</v>
      </c>
      <c r="F1913" s="1" t="s">
        <v>113</v>
      </c>
      <c r="G1913" s="1" t="s">
        <v>113</v>
      </c>
      <c r="H1913" s="1" t="str">
        <f>VLOOKUP(F1913,Countries!$A$1:$B$161,2,0)</f>
        <v>United States of America</v>
      </c>
    </row>
    <row r="1914" spans="1:8" x14ac:dyDescent="0.3">
      <c r="A1914" s="3">
        <v>46257.296736111108</v>
      </c>
      <c r="B1914" s="1">
        <v>23.16</v>
      </c>
      <c r="C1914" s="1">
        <v>19.829999999999998</v>
      </c>
      <c r="D1914" s="1">
        <v>1.29</v>
      </c>
      <c r="E1914" s="1" t="s">
        <v>130</v>
      </c>
      <c r="F1914" s="1" t="s">
        <v>130</v>
      </c>
      <c r="G1914" s="1" t="s">
        <v>130</v>
      </c>
      <c r="H1914" s="1" t="str">
        <f>VLOOKUP(F1914,Countries!$A$1:$B$161,2,0)</f>
        <v>Australia</v>
      </c>
    </row>
    <row r="1915" spans="1:8" x14ac:dyDescent="0.3">
      <c r="A1915" s="3">
        <v>46257.295694444438</v>
      </c>
      <c r="B1915" s="1">
        <v>14.77</v>
      </c>
      <c r="C1915" s="1">
        <v>12.65</v>
      </c>
      <c r="D1915" s="1">
        <v>0.91</v>
      </c>
      <c r="E1915" s="1" t="s">
        <v>113</v>
      </c>
      <c r="F1915" s="1" t="s">
        <v>113</v>
      </c>
      <c r="G1915" s="1" t="s">
        <v>113</v>
      </c>
      <c r="H1915" s="1" t="str">
        <f>VLOOKUP(F1915,Countries!$A$1:$B$161,2,0)</f>
        <v>United States of America</v>
      </c>
    </row>
    <row r="1916" spans="1:8" x14ac:dyDescent="0.3">
      <c r="A1916" s="3">
        <v>46257.295451388891</v>
      </c>
      <c r="B1916" s="1">
        <v>27.8</v>
      </c>
      <c r="C1916" s="1">
        <v>23.8</v>
      </c>
      <c r="D1916" s="1">
        <v>1.5</v>
      </c>
      <c r="E1916" s="1" t="s">
        <v>130</v>
      </c>
      <c r="F1916" s="1" t="s">
        <v>130</v>
      </c>
      <c r="G1916" s="1" t="s">
        <v>130</v>
      </c>
      <c r="H1916" s="1" t="str">
        <f>VLOOKUP(F1916,Countries!$A$1:$B$161,2,0)</f>
        <v>Australia</v>
      </c>
    </row>
    <row r="1917" spans="1:8" x14ac:dyDescent="0.3">
      <c r="A1917" s="3">
        <v>46257.294108796297</v>
      </c>
      <c r="B1917" s="1">
        <v>6.8</v>
      </c>
      <c r="C1917" s="1">
        <v>5.82</v>
      </c>
      <c r="D1917" s="1">
        <v>0.56000000000000005</v>
      </c>
      <c r="E1917" s="1" t="s">
        <v>114</v>
      </c>
      <c r="F1917" s="1" t="s">
        <v>114</v>
      </c>
      <c r="G1917" s="1" t="s">
        <v>114</v>
      </c>
      <c r="H1917" s="1" t="str">
        <f>VLOOKUP(F1917,Countries!$A$1:$B$161,2,0)</f>
        <v>Philippines</v>
      </c>
    </row>
    <row r="1918" spans="1:8" x14ac:dyDescent="0.3">
      <c r="A1918" s="3">
        <v>46257.292280092603</v>
      </c>
      <c r="B1918" s="1">
        <v>6.37</v>
      </c>
      <c r="C1918" s="1">
        <v>5.45</v>
      </c>
      <c r="D1918" s="1">
        <v>0.54</v>
      </c>
      <c r="E1918" s="1" t="s">
        <v>113</v>
      </c>
      <c r="F1918" s="1" t="s">
        <v>113</v>
      </c>
      <c r="G1918" s="1" t="s">
        <v>113</v>
      </c>
      <c r="H1918" s="1" t="str">
        <f>VLOOKUP(F1918,Countries!$A$1:$B$161,2,0)</f>
        <v>United States of America</v>
      </c>
    </row>
    <row r="1919" spans="1:8" x14ac:dyDescent="0.3">
      <c r="A1919" s="3">
        <v>46257.285069444442</v>
      </c>
      <c r="B1919" s="1">
        <v>10.62</v>
      </c>
      <c r="C1919" s="1">
        <v>9.09</v>
      </c>
      <c r="D1919" s="1">
        <v>0.73</v>
      </c>
      <c r="E1919" s="1" t="s">
        <v>113</v>
      </c>
      <c r="F1919" s="1" t="s">
        <v>113</v>
      </c>
      <c r="G1919" s="1" t="s">
        <v>113</v>
      </c>
      <c r="H1919" s="1" t="str">
        <f>VLOOKUP(F1919,Countries!$A$1:$B$161,2,0)</f>
        <v>United States of America</v>
      </c>
    </row>
    <row r="1920" spans="1:8" x14ac:dyDescent="0.3">
      <c r="A1920" s="3">
        <v>46257.27783564815</v>
      </c>
      <c r="B1920" s="1">
        <v>10.62</v>
      </c>
      <c r="C1920" s="1">
        <v>9.09</v>
      </c>
      <c r="D1920" s="1">
        <v>0.73</v>
      </c>
      <c r="E1920" s="1" t="s">
        <v>113</v>
      </c>
      <c r="F1920" s="1" t="s">
        <v>113</v>
      </c>
      <c r="G1920" s="1" t="s">
        <v>113</v>
      </c>
      <c r="H1920" s="1" t="str">
        <f>VLOOKUP(F1920,Countries!$A$1:$B$161,2,0)</f>
        <v>United States of America</v>
      </c>
    </row>
    <row r="1921" spans="1:8" x14ac:dyDescent="0.3">
      <c r="A1921" s="3">
        <v>46257.271689814806</v>
      </c>
      <c r="B1921" s="1">
        <v>10.62</v>
      </c>
      <c r="C1921" s="1">
        <v>9.09</v>
      </c>
      <c r="D1921" s="1">
        <v>0.73</v>
      </c>
      <c r="E1921" s="1" t="s">
        <v>113</v>
      </c>
      <c r="F1921" s="1" t="s">
        <v>113</v>
      </c>
      <c r="G1921" s="1" t="s">
        <v>113</v>
      </c>
      <c r="H1921" s="1" t="str">
        <f>VLOOKUP(F1921,Countries!$A$1:$B$161,2,0)</f>
        <v>United States of America</v>
      </c>
    </row>
    <row r="1922" spans="1:8" x14ac:dyDescent="0.3">
      <c r="A1922" s="3">
        <v>46257.264363425929</v>
      </c>
      <c r="B1922" s="1">
        <v>10.62</v>
      </c>
      <c r="C1922" s="1">
        <v>9.09</v>
      </c>
      <c r="D1922" s="1">
        <v>0.73</v>
      </c>
      <c r="E1922" s="1" t="s">
        <v>113</v>
      </c>
      <c r="F1922" s="1" t="s">
        <v>113</v>
      </c>
      <c r="G1922" s="1" t="s">
        <v>113</v>
      </c>
      <c r="H1922" s="1" t="str">
        <f>VLOOKUP(F1922,Countries!$A$1:$B$161,2,0)</f>
        <v>United States of America</v>
      </c>
    </row>
    <row r="1923" spans="1:8" x14ac:dyDescent="0.3">
      <c r="A1923" s="3">
        <v>46257.262673611112</v>
      </c>
      <c r="B1923" s="1">
        <v>7.58</v>
      </c>
      <c r="C1923" s="1">
        <v>6.49</v>
      </c>
      <c r="D1923" s="1">
        <v>0.48</v>
      </c>
      <c r="E1923" s="1" t="s">
        <v>113</v>
      </c>
      <c r="F1923" s="1" t="s">
        <v>113</v>
      </c>
      <c r="G1923" s="1" t="s">
        <v>113</v>
      </c>
      <c r="H1923" s="1" t="str">
        <f>VLOOKUP(F1923,Countries!$A$1:$B$161,2,0)</f>
        <v>United States of America</v>
      </c>
    </row>
    <row r="1924" spans="1:8" x14ac:dyDescent="0.3">
      <c r="A1924" s="3">
        <v>46257.253518518519</v>
      </c>
      <c r="B1924" s="1">
        <v>17.010000000000002</v>
      </c>
      <c r="C1924" s="1">
        <v>14.56</v>
      </c>
      <c r="D1924" s="1">
        <v>1.01</v>
      </c>
      <c r="E1924" s="1" t="s">
        <v>113</v>
      </c>
      <c r="F1924" s="1" t="s">
        <v>113</v>
      </c>
      <c r="G1924" s="1" t="s">
        <v>113</v>
      </c>
      <c r="H1924" s="1" t="str">
        <f>VLOOKUP(F1924,Countries!$A$1:$B$161,2,0)</f>
        <v>United States of America</v>
      </c>
    </row>
    <row r="1925" spans="1:8" x14ac:dyDescent="0.3">
      <c r="A1925" s="3">
        <v>46257.24658564815</v>
      </c>
      <c r="B1925" s="1">
        <v>6.37</v>
      </c>
      <c r="C1925" s="1">
        <v>5.45</v>
      </c>
      <c r="D1925" s="1">
        <v>0.54</v>
      </c>
      <c r="E1925" s="1" t="s">
        <v>113</v>
      </c>
      <c r="F1925" s="1" t="s">
        <v>113</v>
      </c>
      <c r="G1925" s="1" t="s">
        <v>113</v>
      </c>
      <c r="H1925" s="1" t="str">
        <f>VLOOKUP(F1925,Countries!$A$1:$B$161,2,0)</f>
        <v>United States of America</v>
      </c>
    </row>
    <row r="1926" spans="1:8" x14ac:dyDescent="0.3">
      <c r="A1926" s="3">
        <v>46257.243611111109</v>
      </c>
      <c r="B1926" s="1">
        <v>10.62</v>
      </c>
      <c r="C1926" s="1">
        <v>9.09</v>
      </c>
      <c r="D1926" s="1">
        <v>0.73</v>
      </c>
      <c r="E1926" s="1" t="s">
        <v>113</v>
      </c>
      <c r="F1926" s="1" t="s">
        <v>113</v>
      </c>
      <c r="G1926" s="1" t="s">
        <v>113</v>
      </c>
      <c r="H1926" s="1" t="str">
        <f>VLOOKUP(F1926,Countries!$A$1:$B$161,2,0)</f>
        <v>United States of America</v>
      </c>
    </row>
    <row r="1927" spans="1:8" x14ac:dyDescent="0.3">
      <c r="A1927" s="3">
        <v>46257.239618055559</v>
      </c>
      <c r="B1927" s="1">
        <v>6.37</v>
      </c>
      <c r="C1927" s="1">
        <v>5.45</v>
      </c>
      <c r="D1927" s="1">
        <v>0.54</v>
      </c>
      <c r="E1927" s="1" t="s">
        <v>113</v>
      </c>
      <c r="F1927" s="1" t="s">
        <v>113</v>
      </c>
      <c r="G1927" s="1" t="s">
        <v>113</v>
      </c>
      <c r="H1927" s="1" t="str">
        <f>VLOOKUP(F1927,Countries!$A$1:$B$161,2,0)</f>
        <v>United States of America</v>
      </c>
    </row>
    <row r="1928" spans="1:8" x14ac:dyDescent="0.3">
      <c r="A1928" s="3">
        <v>46257.227962962963</v>
      </c>
      <c r="B1928" s="1">
        <v>6.37</v>
      </c>
      <c r="C1928" s="1">
        <v>5.45</v>
      </c>
      <c r="D1928" s="1">
        <v>0.54</v>
      </c>
      <c r="E1928" s="1" t="s">
        <v>113</v>
      </c>
      <c r="F1928" s="1" t="s">
        <v>113</v>
      </c>
      <c r="G1928" s="1" t="s">
        <v>113</v>
      </c>
      <c r="H1928" s="1" t="str">
        <f>VLOOKUP(F1928,Countries!$A$1:$B$161,2,0)</f>
        <v>United States of America</v>
      </c>
    </row>
    <row r="1929" spans="1:8" x14ac:dyDescent="0.3">
      <c r="A1929" s="3">
        <v>46257.224212962959</v>
      </c>
      <c r="B1929" s="1">
        <v>10.51</v>
      </c>
      <c r="C1929" s="1">
        <v>9</v>
      </c>
      <c r="D1929" s="1">
        <v>0.72</v>
      </c>
      <c r="E1929" s="1" t="s">
        <v>132</v>
      </c>
      <c r="F1929" s="1" t="s">
        <v>132</v>
      </c>
      <c r="G1929" s="1" t="s">
        <v>132</v>
      </c>
      <c r="H1929" s="1" t="str">
        <f>VLOOKUP(F1929,Countries!$A$1:$B$161,2,0)</f>
        <v>Canada</v>
      </c>
    </row>
    <row r="1930" spans="1:8" x14ac:dyDescent="0.3">
      <c r="A1930" s="3">
        <v>46257.213807870372</v>
      </c>
      <c r="B1930" s="1">
        <v>6.37</v>
      </c>
      <c r="C1930" s="1">
        <v>5.45</v>
      </c>
      <c r="D1930" s="1">
        <v>0.54</v>
      </c>
      <c r="E1930" s="1" t="s">
        <v>113</v>
      </c>
      <c r="F1930" s="1" t="s">
        <v>113</v>
      </c>
      <c r="G1930" s="1" t="s">
        <v>113</v>
      </c>
      <c r="H1930" s="1" t="str">
        <f>VLOOKUP(F1930,Countries!$A$1:$B$161,2,0)</f>
        <v>United States of America</v>
      </c>
    </row>
    <row r="1931" spans="1:8" x14ac:dyDescent="0.3">
      <c r="A1931" s="3">
        <v>46257.207546296297</v>
      </c>
      <c r="B1931" s="1">
        <v>14.77</v>
      </c>
      <c r="C1931" s="1">
        <v>12.65</v>
      </c>
      <c r="D1931" s="1">
        <v>0.91</v>
      </c>
      <c r="E1931" s="1" t="s">
        <v>113</v>
      </c>
      <c r="F1931" s="1" t="s">
        <v>113</v>
      </c>
      <c r="G1931" s="1" t="s">
        <v>113</v>
      </c>
      <c r="H1931" s="1" t="str">
        <f>VLOOKUP(F1931,Countries!$A$1:$B$161,2,0)</f>
        <v>United States of America</v>
      </c>
    </row>
    <row r="1932" spans="1:8" x14ac:dyDescent="0.3">
      <c r="A1932" s="3">
        <v>46257.202233796299</v>
      </c>
      <c r="B1932" s="1">
        <v>14.77</v>
      </c>
      <c r="C1932" s="1">
        <v>12.65</v>
      </c>
      <c r="D1932" s="1">
        <v>0.91</v>
      </c>
      <c r="E1932" s="1" t="s">
        <v>113</v>
      </c>
      <c r="F1932" s="1" t="s">
        <v>113</v>
      </c>
      <c r="G1932" s="1" t="s">
        <v>113</v>
      </c>
      <c r="H1932" s="1" t="str">
        <f>VLOOKUP(F1932,Countries!$A$1:$B$161,2,0)</f>
        <v>United States of America</v>
      </c>
    </row>
    <row r="1933" spans="1:8" x14ac:dyDescent="0.3">
      <c r="A1933" s="3">
        <v>46257.183483796303</v>
      </c>
      <c r="B1933" s="1">
        <v>6.37</v>
      </c>
      <c r="C1933" s="1">
        <v>5.45</v>
      </c>
      <c r="D1933" s="1">
        <v>0.54</v>
      </c>
      <c r="E1933" s="1" t="s">
        <v>113</v>
      </c>
      <c r="F1933" s="1" t="s">
        <v>113</v>
      </c>
      <c r="G1933" s="1" t="s">
        <v>113</v>
      </c>
      <c r="H1933" s="1" t="str">
        <f>VLOOKUP(F1933,Countries!$A$1:$B$161,2,0)</f>
        <v>United States of America</v>
      </c>
    </row>
    <row r="1934" spans="1:8" x14ac:dyDescent="0.3">
      <c r="A1934" s="3">
        <v>46257.181527777779</v>
      </c>
      <c r="B1934" s="1">
        <v>6.37</v>
      </c>
      <c r="C1934" s="1">
        <v>5.45</v>
      </c>
      <c r="D1934" s="1">
        <v>0.54</v>
      </c>
      <c r="E1934" s="1" t="s">
        <v>113</v>
      </c>
      <c r="F1934" s="1" t="s">
        <v>113</v>
      </c>
      <c r="G1934" s="1" t="s">
        <v>113</v>
      </c>
      <c r="H1934" s="1" t="str">
        <f>VLOOKUP(F1934,Countries!$A$1:$B$161,2,0)</f>
        <v>United States of America</v>
      </c>
    </row>
    <row r="1935" spans="1:8" x14ac:dyDescent="0.3">
      <c r="A1935" s="3">
        <v>46257.142384259263</v>
      </c>
      <c r="B1935" s="1">
        <v>2.34</v>
      </c>
      <c r="C1935" s="1">
        <v>2</v>
      </c>
      <c r="D1935" s="1">
        <v>0.36</v>
      </c>
      <c r="E1935" s="1" t="s">
        <v>113</v>
      </c>
      <c r="F1935" s="1" t="s">
        <v>163</v>
      </c>
      <c r="G1935" s="1" t="s">
        <v>163</v>
      </c>
      <c r="H1935" s="1" t="str">
        <f>VLOOKUP(F1935,Countries!$A$1:$B$161,2,0)</f>
        <v>Saudi Arabia</v>
      </c>
    </row>
    <row r="1936" spans="1:8" x14ac:dyDescent="0.3">
      <c r="A1936" s="3">
        <v>46257.130543981482</v>
      </c>
      <c r="B1936" s="1">
        <v>17.010000000000002</v>
      </c>
      <c r="C1936" s="1">
        <v>14.56</v>
      </c>
      <c r="D1936" s="1">
        <v>1.01</v>
      </c>
      <c r="E1936" s="1" t="s">
        <v>113</v>
      </c>
      <c r="F1936" s="1" t="s">
        <v>113</v>
      </c>
      <c r="G1936" s="1" t="s">
        <v>113</v>
      </c>
      <c r="H1936" s="1" t="str">
        <f>VLOOKUP(F1936,Countries!$A$1:$B$161,2,0)</f>
        <v>United States of America</v>
      </c>
    </row>
    <row r="1937" spans="1:8" x14ac:dyDescent="0.3">
      <c r="A1937" s="3">
        <v>46257.106504629628</v>
      </c>
      <c r="B1937" s="1">
        <v>21.38</v>
      </c>
      <c r="C1937" s="1">
        <v>18.309999999999999</v>
      </c>
      <c r="D1937" s="1">
        <v>0.89</v>
      </c>
      <c r="E1937" s="1" t="s">
        <v>124</v>
      </c>
      <c r="F1937" s="1" t="s">
        <v>124</v>
      </c>
      <c r="G1937" s="1" t="s">
        <v>124</v>
      </c>
      <c r="H1937" s="1" t="str">
        <f>VLOOKUP(F1937,Countries!$A$1:$B$161,2,0)</f>
        <v>Italy</v>
      </c>
    </row>
    <row r="1938" spans="1:8" x14ac:dyDescent="0.3">
      <c r="A1938" s="3">
        <v>46257.097094907411</v>
      </c>
      <c r="B1938" s="1">
        <v>6.37</v>
      </c>
      <c r="C1938" s="1">
        <v>5.45</v>
      </c>
      <c r="D1938" s="1">
        <v>0.54</v>
      </c>
      <c r="E1938" s="1" t="s">
        <v>113</v>
      </c>
      <c r="F1938" s="1" t="s">
        <v>113</v>
      </c>
      <c r="G1938" s="1" t="s">
        <v>113</v>
      </c>
      <c r="H1938" s="1" t="str">
        <f>VLOOKUP(F1938,Countries!$A$1:$B$161,2,0)</f>
        <v>United States of America</v>
      </c>
    </row>
    <row r="1939" spans="1:8" x14ac:dyDescent="0.3">
      <c r="A1939" s="3">
        <v>46257.091782407413</v>
      </c>
      <c r="B1939" s="1">
        <v>22.18</v>
      </c>
      <c r="C1939" s="1">
        <v>18.989999999999998</v>
      </c>
      <c r="D1939" s="1">
        <v>1.25</v>
      </c>
      <c r="E1939" s="1" t="s">
        <v>113</v>
      </c>
      <c r="F1939" s="1" t="s">
        <v>113</v>
      </c>
      <c r="G1939" s="1" t="s">
        <v>113</v>
      </c>
      <c r="H1939" s="1" t="str">
        <f>VLOOKUP(F1939,Countries!$A$1:$B$161,2,0)</f>
        <v>United States of America</v>
      </c>
    </row>
    <row r="1940" spans="1:8" x14ac:dyDescent="0.3">
      <c r="A1940" s="3">
        <v>46257.076990740738</v>
      </c>
      <c r="B1940" s="1">
        <v>6.37</v>
      </c>
      <c r="C1940" s="1">
        <v>5.45</v>
      </c>
      <c r="D1940" s="1">
        <v>0.54</v>
      </c>
      <c r="E1940" s="1" t="s">
        <v>113</v>
      </c>
      <c r="F1940" s="1" t="s">
        <v>113</v>
      </c>
      <c r="G1940" s="1" t="s">
        <v>113</v>
      </c>
      <c r="H1940" s="1" t="str">
        <f>VLOOKUP(F1940,Countries!$A$1:$B$161,2,0)</f>
        <v>United States of America</v>
      </c>
    </row>
    <row r="1941" spans="1:8" x14ac:dyDescent="0.3">
      <c r="A1941" s="3">
        <v>46257.075532407413</v>
      </c>
      <c r="B1941" s="1">
        <v>6.37</v>
      </c>
      <c r="C1941" s="1">
        <v>5.45</v>
      </c>
      <c r="D1941" s="1">
        <v>0.54</v>
      </c>
      <c r="E1941" s="1" t="s">
        <v>113</v>
      </c>
      <c r="F1941" s="1" t="s">
        <v>113</v>
      </c>
      <c r="G1941" s="1" t="s">
        <v>113</v>
      </c>
      <c r="H1941" s="1" t="str">
        <f>VLOOKUP(F1941,Countries!$A$1:$B$161,2,0)</f>
        <v>United States of America</v>
      </c>
    </row>
    <row r="1942" spans="1:8" x14ac:dyDescent="0.3">
      <c r="A1942" s="3">
        <v>46257.073912037027</v>
      </c>
      <c r="B1942" s="1">
        <v>6.37</v>
      </c>
      <c r="C1942" s="1">
        <v>5.45</v>
      </c>
      <c r="D1942" s="1">
        <v>0.54</v>
      </c>
      <c r="E1942" s="1" t="s">
        <v>113</v>
      </c>
      <c r="F1942" s="1" t="s">
        <v>113</v>
      </c>
      <c r="G1942" s="1" t="s">
        <v>113</v>
      </c>
      <c r="H1942" s="1" t="str">
        <f>VLOOKUP(F1942,Countries!$A$1:$B$161,2,0)</f>
        <v>United States of America</v>
      </c>
    </row>
    <row r="1943" spans="1:8" x14ac:dyDescent="0.3">
      <c r="A1943" s="3">
        <v>46257.06695601852</v>
      </c>
      <c r="B1943" s="1">
        <v>3.18</v>
      </c>
      <c r="C1943" s="1">
        <v>2.72</v>
      </c>
      <c r="D1943" s="1">
        <v>0.39</v>
      </c>
      <c r="E1943" s="1" t="s">
        <v>113</v>
      </c>
      <c r="F1943" s="1" t="s">
        <v>113</v>
      </c>
      <c r="G1943" s="1" t="s">
        <v>113</v>
      </c>
      <c r="H1943" s="1" t="str">
        <f>VLOOKUP(F1943,Countries!$A$1:$B$161,2,0)</f>
        <v>United States of America</v>
      </c>
    </row>
    <row r="1944" spans="1:8" x14ac:dyDescent="0.3">
      <c r="A1944" s="3">
        <v>46257.057569444441</v>
      </c>
      <c r="B1944" s="1">
        <v>17.010000000000002</v>
      </c>
      <c r="C1944" s="1">
        <v>14.56</v>
      </c>
      <c r="D1944" s="1">
        <v>1.01</v>
      </c>
      <c r="E1944" s="1" t="s">
        <v>113</v>
      </c>
      <c r="F1944" s="1" t="s">
        <v>113</v>
      </c>
      <c r="G1944" s="1" t="s">
        <v>113</v>
      </c>
      <c r="H1944" s="1" t="str">
        <f>VLOOKUP(F1944,Countries!$A$1:$B$161,2,0)</f>
        <v>United States of America</v>
      </c>
    </row>
    <row r="1945" spans="1:8" x14ac:dyDescent="0.3">
      <c r="A1945" s="3">
        <v>46257.054942129631</v>
      </c>
      <c r="B1945" s="1">
        <v>12.64</v>
      </c>
      <c r="C1945" s="1">
        <v>10.82</v>
      </c>
      <c r="D1945" s="1">
        <v>0.63</v>
      </c>
      <c r="E1945" s="1" t="s">
        <v>154</v>
      </c>
      <c r="F1945" s="1" t="s">
        <v>154</v>
      </c>
      <c r="G1945" s="1" t="s">
        <v>154</v>
      </c>
      <c r="H1945" s="1" t="str">
        <f>VLOOKUP(F1945,Countries!$A$1:$B$161,2,0)</f>
        <v>Belgium</v>
      </c>
    </row>
    <row r="1946" spans="1:8" x14ac:dyDescent="0.3">
      <c r="A1946" s="3">
        <v>46257.052997685183</v>
      </c>
      <c r="B1946" s="1">
        <v>6.37</v>
      </c>
      <c r="C1946" s="1">
        <v>5.45</v>
      </c>
      <c r="D1946" s="1">
        <v>0.54</v>
      </c>
      <c r="E1946" s="1" t="s">
        <v>113</v>
      </c>
      <c r="F1946" s="1" t="s">
        <v>113</v>
      </c>
      <c r="G1946" s="1" t="s">
        <v>113</v>
      </c>
      <c r="H1946" s="1" t="str">
        <f>VLOOKUP(F1946,Countries!$A$1:$B$161,2,0)</f>
        <v>United States of America</v>
      </c>
    </row>
    <row r="1947" spans="1:8" x14ac:dyDescent="0.3">
      <c r="A1947" s="3">
        <v>46257.04247685185</v>
      </c>
      <c r="B1947" s="1">
        <v>6.37</v>
      </c>
      <c r="C1947" s="1">
        <v>5.45</v>
      </c>
      <c r="D1947" s="1">
        <v>0.54</v>
      </c>
      <c r="E1947" s="1" t="s">
        <v>113</v>
      </c>
      <c r="F1947" s="1" t="s">
        <v>113</v>
      </c>
      <c r="G1947" s="1" t="s">
        <v>113</v>
      </c>
      <c r="H1947" s="1" t="str">
        <f>VLOOKUP(F1947,Countries!$A$1:$B$161,2,0)</f>
        <v>United States of America</v>
      </c>
    </row>
    <row r="1948" spans="1:8" x14ac:dyDescent="0.3">
      <c r="A1948" s="3">
        <v>46257.041087962964</v>
      </c>
      <c r="B1948" s="1">
        <v>1.99</v>
      </c>
      <c r="C1948" s="1">
        <v>1.7</v>
      </c>
      <c r="D1948" s="1">
        <v>0.34</v>
      </c>
      <c r="E1948" s="1" t="s">
        <v>113</v>
      </c>
      <c r="F1948" s="1" t="s">
        <v>113</v>
      </c>
      <c r="G1948" s="1" t="s">
        <v>113</v>
      </c>
      <c r="H1948" s="1" t="str">
        <f>VLOOKUP(F1948,Countries!$A$1:$B$161,2,0)</f>
        <v>United States of America</v>
      </c>
    </row>
    <row r="1949" spans="1:8" x14ac:dyDescent="0.3">
      <c r="A1949" s="3">
        <v>46257.038784722223</v>
      </c>
      <c r="B1949" s="1">
        <v>6.37</v>
      </c>
      <c r="C1949" s="1">
        <v>5.45</v>
      </c>
      <c r="D1949" s="1">
        <v>0.54</v>
      </c>
      <c r="E1949" s="1" t="s">
        <v>113</v>
      </c>
      <c r="F1949" s="1" t="s">
        <v>113</v>
      </c>
      <c r="G1949" s="1" t="s">
        <v>113</v>
      </c>
      <c r="H1949" s="1" t="str">
        <f>VLOOKUP(F1949,Countries!$A$1:$B$161,2,0)</f>
        <v>United States of America</v>
      </c>
    </row>
    <row r="1950" spans="1:8" x14ac:dyDescent="0.3">
      <c r="A1950" s="3">
        <v>46257.034942129627</v>
      </c>
      <c r="B1950" s="1">
        <v>9.99</v>
      </c>
      <c r="C1950" s="1">
        <v>8.5500000000000007</v>
      </c>
      <c r="D1950" s="1">
        <v>0.7</v>
      </c>
      <c r="E1950" s="1" t="s">
        <v>200</v>
      </c>
      <c r="F1950" s="1" t="s">
        <v>200</v>
      </c>
      <c r="G1950" s="1" t="s">
        <v>200</v>
      </c>
      <c r="H1950" s="1" t="str">
        <f>VLOOKUP(F1950,Countries!$A$1:$B$161,2,0)</f>
        <v>Iraq</v>
      </c>
    </row>
    <row r="1951" spans="1:8" x14ac:dyDescent="0.3">
      <c r="A1951" s="3">
        <v>46257.032638888893</v>
      </c>
      <c r="B1951" s="1">
        <v>12.64</v>
      </c>
      <c r="C1951" s="1">
        <v>10.82</v>
      </c>
      <c r="D1951" s="1">
        <v>0.63</v>
      </c>
      <c r="E1951" s="1" t="s">
        <v>154</v>
      </c>
      <c r="F1951" s="1" t="s">
        <v>154</v>
      </c>
      <c r="G1951" s="1" t="s">
        <v>154</v>
      </c>
      <c r="H1951" s="1" t="str">
        <f>VLOOKUP(F1951,Countries!$A$1:$B$161,2,0)</f>
        <v>Belgium</v>
      </c>
    </row>
    <row r="1952" spans="1:8" x14ac:dyDescent="0.3">
      <c r="A1952" s="3">
        <v>46257.030925925923</v>
      </c>
      <c r="B1952" s="1">
        <v>2.99</v>
      </c>
      <c r="C1952" s="1">
        <v>2.56</v>
      </c>
      <c r="D1952" s="1">
        <v>0.38</v>
      </c>
      <c r="E1952" s="1"/>
      <c r="F1952" s="1" t="s">
        <v>113</v>
      </c>
      <c r="G1952" s="1" t="s">
        <v>113</v>
      </c>
      <c r="H1952" s="1" t="str">
        <f>VLOOKUP(F1952,Countries!$A$1:$B$161,2,0)</f>
        <v>United States of America</v>
      </c>
    </row>
    <row r="1953" spans="1:8" x14ac:dyDescent="0.3">
      <c r="A1953" s="3">
        <v>46257.030092592591</v>
      </c>
      <c r="B1953" s="1">
        <v>2.34</v>
      </c>
      <c r="C1953" s="1">
        <v>2</v>
      </c>
      <c r="D1953" s="1">
        <v>0.36</v>
      </c>
      <c r="E1953" s="1" t="s">
        <v>163</v>
      </c>
      <c r="F1953" s="1" t="s">
        <v>163</v>
      </c>
      <c r="G1953" s="1" t="s">
        <v>163</v>
      </c>
      <c r="H1953" s="1" t="str">
        <f>VLOOKUP(F1953,Countries!$A$1:$B$161,2,0)</f>
        <v>Saudi Arabia</v>
      </c>
    </row>
    <row r="1954" spans="1:8" x14ac:dyDescent="0.3">
      <c r="A1954" s="3">
        <v>46257.028692129628</v>
      </c>
      <c r="B1954" s="1">
        <v>12.64</v>
      </c>
      <c r="C1954" s="1">
        <v>10.82</v>
      </c>
      <c r="D1954" s="1">
        <v>0.63</v>
      </c>
      <c r="E1954" s="1" t="s">
        <v>154</v>
      </c>
      <c r="F1954" s="1" t="s">
        <v>154</v>
      </c>
      <c r="G1954" s="1" t="s">
        <v>154</v>
      </c>
      <c r="H1954" s="1" t="str">
        <f>VLOOKUP(F1954,Countries!$A$1:$B$161,2,0)</f>
        <v>Belgium</v>
      </c>
    </row>
    <row r="1955" spans="1:8" x14ac:dyDescent="0.3">
      <c r="A1955" s="3">
        <v>46257.023090277777</v>
      </c>
      <c r="B1955" s="1">
        <v>7.48</v>
      </c>
      <c r="C1955" s="1">
        <v>6.4</v>
      </c>
      <c r="D1955" s="1">
        <v>0.48</v>
      </c>
      <c r="E1955" s="1" t="s">
        <v>123</v>
      </c>
      <c r="F1955" s="1" t="s">
        <v>123</v>
      </c>
      <c r="G1955" s="1" t="s">
        <v>123</v>
      </c>
      <c r="H1955" s="1" t="str">
        <f>VLOOKUP(F1955,Countries!$A$1:$B$161,2,0)</f>
        <v>France</v>
      </c>
    </row>
    <row r="1956" spans="1:8" x14ac:dyDescent="0.3">
      <c r="A1956" s="3">
        <v>46257.015740740739</v>
      </c>
      <c r="B1956" s="1">
        <v>10.85</v>
      </c>
      <c r="C1956" s="1">
        <v>9.2899999999999991</v>
      </c>
      <c r="D1956" s="1">
        <v>0.74</v>
      </c>
      <c r="E1956" s="1" t="s">
        <v>115</v>
      </c>
      <c r="F1956" s="1" t="s">
        <v>115</v>
      </c>
      <c r="G1956" s="1" t="s">
        <v>115</v>
      </c>
      <c r="H1956" s="1" t="str">
        <f>VLOOKUP(F1956,Countries!$A$1:$B$161,2,0)</f>
        <v>Switzerland</v>
      </c>
    </row>
    <row r="1957" spans="1:8" x14ac:dyDescent="0.3">
      <c r="A1957" s="3">
        <v>46257.015729166669</v>
      </c>
      <c r="B1957" s="1">
        <v>3.18</v>
      </c>
      <c r="C1957" s="1">
        <v>2.72</v>
      </c>
      <c r="D1957" s="1">
        <v>0.39</v>
      </c>
      <c r="E1957" s="1" t="s">
        <v>113</v>
      </c>
      <c r="F1957" s="1" t="s">
        <v>113</v>
      </c>
      <c r="G1957" s="1" t="s">
        <v>113</v>
      </c>
      <c r="H1957" s="1" t="str">
        <f>VLOOKUP(F1957,Countries!$A$1:$B$161,2,0)</f>
        <v>United States of America</v>
      </c>
    </row>
    <row r="1958" spans="1:8" x14ac:dyDescent="0.3">
      <c r="A1958" s="3">
        <v>46257.012233796297</v>
      </c>
      <c r="B1958" s="1">
        <v>3.99</v>
      </c>
      <c r="C1958" s="1">
        <v>3.42</v>
      </c>
      <c r="D1958" s="1">
        <v>0.37</v>
      </c>
      <c r="E1958" s="1" t="s">
        <v>137</v>
      </c>
      <c r="F1958" s="1" t="s">
        <v>137</v>
      </c>
      <c r="G1958" s="1" t="s">
        <v>137</v>
      </c>
      <c r="H1958" s="1" t="str">
        <f>VLOOKUP(F1958,Countries!$A$1:$B$161,2,0)</f>
        <v>Poland</v>
      </c>
    </row>
    <row r="1959" spans="1:8" x14ac:dyDescent="0.3">
      <c r="A1959" s="3">
        <v>46257.010613425933</v>
      </c>
      <c r="B1959" s="1">
        <v>10.85</v>
      </c>
      <c r="C1959" s="1">
        <v>9.2899999999999991</v>
      </c>
      <c r="D1959" s="1">
        <v>0.74</v>
      </c>
      <c r="E1959" s="1" t="s">
        <v>115</v>
      </c>
      <c r="F1959" s="1" t="s">
        <v>115</v>
      </c>
      <c r="G1959" s="1" t="s">
        <v>115</v>
      </c>
      <c r="H1959" s="1" t="str">
        <f>VLOOKUP(F1959,Countries!$A$1:$B$161,2,0)</f>
        <v>Switzerland</v>
      </c>
    </row>
    <row r="1960" spans="1:8" x14ac:dyDescent="0.3">
      <c r="A1960" s="3">
        <v>46257.00545138889</v>
      </c>
      <c r="B1960" s="1">
        <v>10.85</v>
      </c>
      <c r="C1960" s="1">
        <v>9.2899999999999991</v>
      </c>
      <c r="D1960" s="1">
        <v>0.74</v>
      </c>
      <c r="E1960" s="1" t="s">
        <v>115</v>
      </c>
      <c r="F1960" s="1" t="s">
        <v>115</v>
      </c>
      <c r="G1960" s="1" t="s">
        <v>115</v>
      </c>
      <c r="H1960" s="1" t="str">
        <f>VLOOKUP(F1960,Countries!$A$1:$B$161,2,0)</f>
        <v>Switzerland</v>
      </c>
    </row>
    <row r="1961" spans="1:8" x14ac:dyDescent="0.3">
      <c r="A1961" s="3">
        <v>46256.987187500003</v>
      </c>
      <c r="B1961" s="1">
        <v>10.85</v>
      </c>
      <c r="C1961" s="1">
        <v>9.2899999999999991</v>
      </c>
      <c r="D1961" s="1">
        <v>0.74</v>
      </c>
      <c r="E1961" s="1" t="s">
        <v>115</v>
      </c>
      <c r="F1961" s="1" t="s">
        <v>115</v>
      </c>
      <c r="G1961" s="1" t="s">
        <v>115</v>
      </c>
      <c r="H1961" s="1" t="str">
        <f>VLOOKUP(F1961,Countries!$A$1:$B$161,2,0)</f>
        <v>Switzerland</v>
      </c>
    </row>
    <row r="1962" spans="1:8" x14ac:dyDescent="0.3">
      <c r="A1962" s="3">
        <v>46256.98133101852</v>
      </c>
      <c r="B1962" s="1">
        <v>5.99</v>
      </c>
      <c r="C1962" s="1">
        <v>5.13</v>
      </c>
      <c r="D1962" s="1">
        <v>0.52</v>
      </c>
      <c r="E1962" s="1"/>
      <c r="F1962" s="1" t="s">
        <v>113</v>
      </c>
      <c r="G1962" s="1" t="s">
        <v>113</v>
      </c>
      <c r="H1962" s="1" t="str">
        <f>VLOOKUP(F1962,Countries!$A$1:$B$161,2,0)</f>
        <v>United States of America</v>
      </c>
    </row>
    <row r="1963" spans="1:8" x14ac:dyDescent="0.3">
      <c r="A1963" s="3">
        <v>46256.980023148149</v>
      </c>
      <c r="B1963" s="1">
        <v>3.51</v>
      </c>
      <c r="C1963" s="1">
        <v>3.01</v>
      </c>
      <c r="D1963" s="1">
        <v>0.41</v>
      </c>
      <c r="E1963" s="1" t="s">
        <v>160</v>
      </c>
      <c r="F1963" s="1" t="s">
        <v>160</v>
      </c>
      <c r="G1963" s="1" t="s">
        <v>160</v>
      </c>
      <c r="H1963" s="1" t="str">
        <f>VLOOKUP(F1963,Countries!$A$1:$B$161,2,0)</f>
        <v>New Zealand</v>
      </c>
    </row>
    <row r="1964" spans="1:8" x14ac:dyDescent="0.3">
      <c r="A1964" s="3">
        <v>46256.974942129629</v>
      </c>
      <c r="B1964" s="1">
        <v>6.37</v>
      </c>
      <c r="C1964" s="1">
        <v>5.45</v>
      </c>
      <c r="D1964" s="1">
        <v>0.54</v>
      </c>
      <c r="E1964" s="1" t="s">
        <v>113</v>
      </c>
      <c r="F1964" s="1" t="s">
        <v>113</v>
      </c>
      <c r="G1964" s="1" t="s">
        <v>113</v>
      </c>
      <c r="H1964" s="1" t="str">
        <f>VLOOKUP(F1964,Countries!$A$1:$B$161,2,0)</f>
        <v>United States of America</v>
      </c>
    </row>
    <row r="1965" spans="1:8" x14ac:dyDescent="0.3">
      <c r="A1965" s="3">
        <v>46256.972129629627</v>
      </c>
      <c r="B1965" s="1">
        <v>2.99</v>
      </c>
      <c r="C1965" s="1">
        <v>2.56</v>
      </c>
      <c r="D1965" s="1">
        <v>0.38</v>
      </c>
      <c r="E1965" s="1" t="s">
        <v>113</v>
      </c>
      <c r="F1965" s="1" t="s">
        <v>113</v>
      </c>
      <c r="G1965" s="1" t="s">
        <v>113</v>
      </c>
      <c r="H1965" s="1" t="str">
        <f>VLOOKUP(F1965,Countries!$A$1:$B$161,2,0)</f>
        <v>United States of America</v>
      </c>
    </row>
    <row r="1966" spans="1:8" x14ac:dyDescent="0.3">
      <c r="A1966" s="3">
        <v>46256.971458333333</v>
      </c>
      <c r="B1966" s="1">
        <v>17.36</v>
      </c>
      <c r="C1966" s="1">
        <v>14.86</v>
      </c>
      <c r="D1966" s="1">
        <v>0.77</v>
      </c>
      <c r="E1966" s="1" t="s">
        <v>123</v>
      </c>
      <c r="F1966" s="1" t="s">
        <v>123</v>
      </c>
      <c r="G1966" s="1" t="s">
        <v>123</v>
      </c>
      <c r="H1966" s="1" t="str">
        <f>VLOOKUP(F1966,Countries!$A$1:$B$161,2,0)</f>
        <v>France</v>
      </c>
    </row>
    <row r="1967" spans="1:8" x14ac:dyDescent="0.3">
      <c r="A1967" s="3">
        <v>46256.969386574077</v>
      </c>
      <c r="B1967" s="1">
        <v>10.85</v>
      </c>
      <c r="C1967" s="1">
        <v>9.2899999999999991</v>
      </c>
      <c r="D1967" s="1">
        <v>0.74</v>
      </c>
      <c r="E1967" s="1" t="s">
        <v>115</v>
      </c>
      <c r="F1967" s="1" t="s">
        <v>115</v>
      </c>
      <c r="G1967" s="1" t="s">
        <v>115</v>
      </c>
      <c r="H1967" s="1" t="str">
        <f>VLOOKUP(F1967,Countries!$A$1:$B$161,2,0)</f>
        <v>Switzerland</v>
      </c>
    </row>
    <row r="1968" spans="1:8" x14ac:dyDescent="0.3">
      <c r="A1968" s="3">
        <v>46256.968807870369</v>
      </c>
      <c r="B1968" s="1">
        <v>7.77</v>
      </c>
      <c r="C1968" s="1">
        <v>6.65</v>
      </c>
      <c r="D1968" s="1">
        <v>0.48</v>
      </c>
      <c r="E1968" s="1" t="s">
        <v>137</v>
      </c>
      <c r="F1968" s="1" t="s">
        <v>137</v>
      </c>
      <c r="G1968" s="1" t="s">
        <v>137</v>
      </c>
      <c r="H1968" s="1" t="str">
        <f>VLOOKUP(F1968,Countries!$A$1:$B$161,2,0)</f>
        <v>Poland</v>
      </c>
    </row>
    <row r="1969" spans="1:8" x14ac:dyDescent="0.3">
      <c r="A1969" s="3">
        <v>46256.967916666668</v>
      </c>
      <c r="B1969" s="1">
        <v>6.37</v>
      </c>
      <c r="C1969" s="1">
        <v>5.45</v>
      </c>
      <c r="D1969" s="1">
        <v>0.54</v>
      </c>
      <c r="E1969" s="1" t="s">
        <v>113</v>
      </c>
      <c r="F1969" s="1" t="s">
        <v>113</v>
      </c>
      <c r="G1969" s="1" t="s">
        <v>113</v>
      </c>
      <c r="H1969" s="1" t="str">
        <f>VLOOKUP(F1969,Countries!$A$1:$B$161,2,0)</f>
        <v>United States of America</v>
      </c>
    </row>
    <row r="1970" spans="1:8" x14ac:dyDescent="0.3">
      <c r="A1970" s="3">
        <v>46256.965277777781</v>
      </c>
      <c r="B1970" s="1">
        <v>2.99</v>
      </c>
      <c r="C1970" s="1">
        <v>2.56</v>
      </c>
      <c r="D1970" s="1">
        <v>0.38</v>
      </c>
      <c r="E1970" s="1" t="s">
        <v>200</v>
      </c>
      <c r="F1970" s="1" t="s">
        <v>200</v>
      </c>
      <c r="G1970" s="1" t="s">
        <v>200</v>
      </c>
      <c r="H1970" s="1" t="str">
        <f>VLOOKUP(F1970,Countries!$A$1:$B$161,2,0)</f>
        <v>Iraq</v>
      </c>
    </row>
    <row r="1971" spans="1:8" x14ac:dyDescent="0.3">
      <c r="A1971" s="3">
        <v>46256.964409722219</v>
      </c>
      <c r="B1971" s="1">
        <v>6.3</v>
      </c>
      <c r="C1971" s="1">
        <v>5.39</v>
      </c>
      <c r="D1971" s="1">
        <v>0.54</v>
      </c>
      <c r="E1971" s="1" t="s">
        <v>132</v>
      </c>
      <c r="F1971" s="1" t="s">
        <v>132</v>
      </c>
      <c r="G1971" s="1" t="s">
        <v>132</v>
      </c>
      <c r="H1971" s="1" t="str">
        <f>VLOOKUP(F1971,Countries!$A$1:$B$161,2,0)</f>
        <v>Canada</v>
      </c>
    </row>
    <row r="1972" spans="1:8" x14ac:dyDescent="0.3">
      <c r="A1972" s="3">
        <v>46256.959768518522</v>
      </c>
      <c r="B1972" s="1">
        <v>6.58</v>
      </c>
      <c r="C1972" s="1">
        <v>5.63</v>
      </c>
      <c r="D1972" s="1">
        <v>0.54</v>
      </c>
      <c r="E1972" s="1" t="s">
        <v>152</v>
      </c>
      <c r="F1972" s="1" t="s">
        <v>152</v>
      </c>
      <c r="G1972" s="1" t="s">
        <v>152</v>
      </c>
      <c r="H1972" s="1" t="str">
        <f>VLOOKUP(F1972,Countries!$A$1:$B$161,2,0)</f>
        <v>Singapore</v>
      </c>
    </row>
    <row r="1973" spans="1:8" x14ac:dyDescent="0.3">
      <c r="A1973" s="3">
        <v>46256.954837962963</v>
      </c>
      <c r="B1973" s="1">
        <v>6.37</v>
      </c>
      <c r="C1973" s="1">
        <v>5.45</v>
      </c>
      <c r="D1973" s="1">
        <v>0.54</v>
      </c>
      <c r="E1973" s="1" t="s">
        <v>113</v>
      </c>
      <c r="F1973" s="1" t="s">
        <v>113</v>
      </c>
      <c r="G1973" s="1" t="s">
        <v>113</v>
      </c>
      <c r="H1973" s="1" t="str">
        <f>VLOOKUP(F1973,Countries!$A$1:$B$161,2,0)</f>
        <v>United States of America</v>
      </c>
    </row>
    <row r="1974" spans="1:8" x14ac:dyDescent="0.3">
      <c r="A1974" s="3">
        <v>46256.953645833331</v>
      </c>
      <c r="B1974" s="1">
        <v>65.209999999999994</v>
      </c>
      <c r="C1974" s="1">
        <v>55.83</v>
      </c>
      <c r="D1974" s="1">
        <v>3.18</v>
      </c>
      <c r="E1974" s="1" t="s">
        <v>115</v>
      </c>
      <c r="F1974" s="1" t="s">
        <v>115</v>
      </c>
      <c r="G1974" s="1" t="s">
        <v>115</v>
      </c>
      <c r="H1974" s="1" t="str">
        <f>VLOOKUP(F1974,Countries!$A$1:$B$161,2,0)</f>
        <v>Switzerland</v>
      </c>
    </row>
    <row r="1975" spans="1:8" x14ac:dyDescent="0.3">
      <c r="A1975" s="3">
        <v>46256.950902777768</v>
      </c>
      <c r="B1975" s="1">
        <v>17.36</v>
      </c>
      <c r="C1975" s="1">
        <v>14.86</v>
      </c>
      <c r="D1975" s="1">
        <v>0.77</v>
      </c>
      <c r="E1975" s="1" t="s">
        <v>123</v>
      </c>
      <c r="F1975" s="1" t="s">
        <v>123</v>
      </c>
      <c r="G1975" s="1" t="s">
        <v>123</v>
      </c>
      <c r="H1975" s="1" t="str">
        <f>VLOOKUP(F1975,Countries!$A$1:$B$161,2,0)</f>
        <v>France</v>
      </c>
    </row>
    <row r="1976" spans="1:8" x14ac:dyDescent="0.3">
      <c r="A1976" s="3">
        <v>46256.950810185182</v>
      </c>
      <c r="B1976" s="1">
        <v>10.85</v>
      </c>
      <c r="C1976" s="1">
        <v>9.2899999999999991</v>
      </c>
      <c r="D1976" s="1">
        <v>0.74</v>
      </c>
      <c r="E1976" s="1" t="s">
        <v>115</v>
      </c>
      <c r="F1976" s="1" t="s">
        <v>115</v>
      </c>
      <c r="G1976" s="1" t="s">
        <v>115</v>
      </c>
      <c r="H1976" s="1" t="str">
        <f>VLOOKUP(F1976,Countries!$A$1:$B$161,2,0)</f>
        <v>Switzerland</v>
      </c>
    </row>
    <row r="1977" spans="1:8" x14ac:dyDescent="0.3">
      <c r="A1977" s="3">
        <v>46256.948865740742</v>
      </c>
      <c r="B1977" s="1">
        <v>48.91</v>
      </c>
      <c r="C1977" s="1">
        <v>41.88</v>
      </c>
      <c r="D1977" s="1">
        <v>2.4500000000000002</v>
      </c>
      <c r="E1977" s="1" t="s">
        <v>115</v>
      </c>
      <c r="F1977" s="1" t="s">
        <v>115</v>
      </c>
      <c r="G1977" s="1" t="s">
        <v>115</v>
      </c>
      <c r="H1977" s="1" t="str">
        <f>VLOOKUP(F1977,Countries!$A$1:$B$161,2,0)</f>
        <v>Switzerland</v>
      </c>
    </row>
    <row r="1978" spans="1:8" x14ac:dyDescent="0.3">
      <c r="A1978" s="3">
        <v>46256.9453125</v>
      </c>
      <c r="B1978" s="1">
        <v>10.62</v>
      </c>
      <c r="C1978" s="1">
        <v>9.09</v>
      </c>
      <c r="D1978" s="1">
        <v>0.73</v>
      </c>
      <c r="E1978" s="1" t="s">
        <v>113</v>
      </c>
      <c r="F1978" s="1" t="s">
        <v>113</v>
      </c>
      <c r="G1978" s="1" t="s">
        <v>113</v>
      </c>
      <c r="H1978" s="1" t="str">
        <f>VLOOKUP(F1978,Countries!$A$1:$B$161,2,0)</f>
        <v>United States of America</v>
      </c>
    </row>
    <row r="1979" spans="1:8" x14ac:dyDescent="0.3">
      <c r="A1979" s="3">
        <v>46256.944687499999</v>
      </c>
      <c r="B1979" s="1">
        <v>17.36</v>
      </c>
      <c r="C1979" s="1">
        <v>14.86</v>
      </c>
      <c r="D1979" s="1">
        <v>0.77</v>
      </c>
      <c r="E1979" s="1" t="s">
        <v>123</v>
      </c>
      <c r="F1979" s="1" t="s">
        <v>123</v>
      </c>
      <c r="G1979" s="1" t="s">
        <v>123</v>
      </c>
      <c r="H1979" s="1" t="str">
        <f>VLOOKUP(F1979,Countries!$A$1:$B$161,2,0)</f>
        <v>France</v>
      </c>
    </row>
    <row r="1980" spans="1:8" x14ac:dyDescent="0.3">
      <c r="A1980" s="3">
        <v>46256.94153935185</v>
      </c>
      <c r="B1980" s="1">
        <v>10.85</v>
      </c>
      <c r="C1980" s="1">
        <v>9.2899999999999991</v>
      </c>
      <c r="D1980" s="1">
        <v>0.74</v>
      </c>
      <c r="E1980" s="1" t="s">
        <v>115</v>
      </c>
      <c r="F1980" s="1" t="s">
        <v>115</v>
      </c>
      <c r="G1980" s="1" t="s">
        <v>115</v>
      </c>
      <c r="H1980" s="1" t="str">
        <f>VLOOKUP(F1980,Countries!$A$1:$B$161,2,0)</f>
        <v>Switzerland</v>
      </c>
    </row>
    <row r="1981" spans="1:8" x14ac:dyDescent="0.3">
      <c r="A1981" s="3">
        <v>46256.939722222232</v>
      </c>
      <c r="B1981" s="1">
        <v>10.85</v>
      </c>
      <c r="C1981" s="1">
        <v>9.2899999999999991</v>
      </c>
      <c r="D1981" s="1">
        <v>0.74</v>
      </c>
      <c r="E1981" s="1" t="s">
        <v>115</v>
      </c>
      <c r="F1981" s="1" t="s">
        <v>115</v>
      </c>
      <c r="G1981" s="1" t="s">
        <v>115</v>
      </c>
      <c r="H1981" s="1" t="str">
        <f>VLOOKUP(F1981,Countries!$A$1:$B$161,2,0)</f>
        <v>Switzerland</v>
      </c>
    </row>
    <row r="1982" spans="1:8" x14ac:dyDescent="0.3">
      <c r="A1982" s="3">
        <v>46256.9372337963</v>
      </c>
      <c r="B1982" s="1">
        <v>3.88</v>
      </c>
      <c r="C1982" s="1">
        <v>3.32</v>
      </c>
      <c r="D1982" s="1">
        <v>0.37</v>
      </c>
      <c r="E1982" s="1" t="s">
        <v>137</v>
      </c>
      <c r="F1982" s="1" t="s">
        <v>137</v>
      </c>
      <c r="G1982" s="1" t="s">
        <v>137</v>
      </c>
      <c r="H1982" s="1" t="str">
        <f>VLOOKUP(F1982,Countries!$A$1:$B$161,2,0)</f>
        <v>Poland</v>
      </c>
    </row>
    <row r="1983" spans="1:8" x14ac:dyDescent="0.3">
      <c r="A1983" s="3">
        <v>46256.935023148151</v>
      </c>
      <c r="B1983" s="1">
        <v>10.85</v>
      </c>
      <c r="C1983" s="1">
        <v>9.2899999999999991</v>
      </c>
      <c r="D1983" s="1">
        <v>0.74</v>
      </c>
      <c r="E1983" s="1" t="s">
        <v>115</v>
      </c>
      <c r="F1983" s="1" t="s">
        <v>115</v>
      </c>
      <c r="G1983" s="1" t="s">
        <v>115</v>
      </c>
      <c r="H1983" s="1" t="str">
        <f>VLOOKUP(F1983,Countries!$A$1:$B$161,2,0)</f>
        <v>Switzerland</v>
      </c>
    </row>
    <row r="1984" spans="1:8" x14ac:dyDescent="0.3">
      <c r="A1984" s="3">
        <v>46256.934108796297</v>
      </c>
      <c r="B1984" s="1">
        <v>96.11</v>
      </c>
      <c r="C1984" s="1">
        <v>82.29</v>
      </c>
      <c r="D1984" s="1">
        <v>4.57</v>
      </c>
      <c r="E1984" s="1" t="s">
        <v>113</v>
      </c>
      <c r="F1984" s="1" t="s">
        <v>113</v>
      </c>
      <c r="G1984" s="1" t="s">
        <v>113</v>
      </c>
      <c r="H1984" s="1" t="str">
        <f>VLOOKUP(F1984,Countries!$A$1:$B$161,2,0)</f>
        <v>United States of America</v>
      </c>
    </row>
    <row r="1985" spans="1:8" x14ac:dyDescent="0.3">
      <c r="A1985" s="3">
        <v>46256.932673611111</v>
      </c>
      <c r="B1985" s="1">
        <v>21.27</v>
      </c>
      <c r="C1985" s="1">
        <v>18.21</v>
      </c>
      <c r="D1985" s="1">
        <v>1.2</v>
      </c>
      <c r="E1985" s="1" t="s">
        <v>113</v>
      </c>
      <c r="F1985" s="1" t="s">
        <v>113</v>
      </c>
      <c r="G1985" s="1" t="s">
        <v>113</v>
      </c>
      <c r="H1985" s="1" t="str">
        <f>VLOOKUP(F1985,Countries!$A$1:$B$161,2,0)</f>
        <v>United States of America</v>
      </c>
    </row>
    <row r="1986" spans="1:8" x14ac:dyDescent="0.3">
      <c r="A1986" s="3">
        <v>46256.932500000003</v>
      </c>
      <c r="B1986" s="1">
        <v>10.62</v>
      </c>
      <c r="C1986" s="1">
        <v>9.09</v>
      </c>
      <c r="D1986" s="1">
        <v>0.73</v>
      </c>
      <c r="E1986" s="1" t="s">
        <v>113</v>
      </c>
      <c r="F1986" s="1" t="s">
        <v>113</v>
      </c>
      <c r="G1986" s="1" t="s">
        <v>113</v>
      </c>
      <c r="H1986" s="1" t="str">
        <f>VLOOKUP(F1986,Countries!$A$1:$B$161,2,0)</f>
        <v>United States of America</v>
      </c>
    </row>
    <row r="1987" spans="1:8" x14ac:dyDescent="0.3">
      <c r="A1987" s="3">
        <v>46256.930219907408</v>
      </c>
      <c r="B1987" s="1">
        <v>3.39</v>
      </c>
      <c r="C1987" s="1">
        <v>2.9</v>
      </c>
      <c r="D1987" s="1">
        <v>0.4</v>
      </c>
      <c r="E1987" s="1" t="s">
        <v>114</v>
      </c>
      <c r="F1987" s="1" t="s">
        <v>114</v>
      </c>
      <c r="G1987" s="1" t="s">
        <v>114</v>
      </c>
      <c r="H1987" s="1" t="str">
        <f>VLOOKUP(F1987,Countries!$A$1:$B$161,2,0)</f>
        <v>Philippines</v>
      </c>
    </row>
    <row r="1988" spans="1:8" x14ac:dyDescent="0.3">
      <c r="A1988" s="3">
        <v>46256.929398148153</v>
      </c>
      <c r="B1988" s="1">
        <v>17.36</v>
      </c>
      <c r="C1988" s="1">
        <v>14.86</v>
      </c>
      <c r="D1988" s="1">
        <v>0.77</v>
      </c>
      <c r="E1988" s="1" t="s">
        <v>123</v>
      </c>
      <c r="F1988" s="1" t="s">
        <v>123</v>
      </c>
      <c r="G1988" s="1" t="s">
        <v>123</v>
      </c>
      <c r="H1988" s="1" t="str">
        <f>VLOOKUP(F1988,Countries!$A$1:$B$161,2,0)</f>
        <v>France</v>
      </c>
    </row>
    <row r="1989" spans="1:8" x14ac:dyDescent="0.3">
      <c r="A1989" s="3">
        <v>46256.926249999997</v>
      </c>
      <c r="B1989" s="1">
        <v>6.37</v>
      </c>
      <c r="C1989" s="1">
        <v>5.45</v>
      </c>
      <c r="D1989" s="1">
        <v>0.54</v>
      </c>
      <c r="E1989" s="1" t="s">
        <v>113</v>
      </c>
      <c r="F1989" s="1" t="s">
        <v>113</v>
      </c>
      <c r="G1989" s="1" t="s">
        <v>113</v>
      </c>
      <c r="H1989" s="1" t="str">
        <f>VLOOKUP(F1989,Countries!$A$1:$B$161,2,0)</f>
        <v>United States of America</v>
      </c>
    </row>
    <row r="1990" spans="1:8" x14ac:dyDescent="0.3">
      <c r="A1990" s="3">
        <v>46256.924178240741</v>
      </c>
      <c r="B1990" s="1">
        <v>10.85</v>
      </c>
      <c r="C1990" s="1">
        <v>9.2899999999999991</v>
      </c>
      <c r="D1990" s="1">
        <v>0.74</v>
      </c>
      <c r="E1990" s="1" t="s">
        <v>115</v>
      </c>
      <c r="F1990" s="1" t="s">
        <v>115</v>
      </c>
      <c r="G1990" s="1" t="s">
        <v>115</v>
      </c>
      <c r="H1990" s="1" t="str">
        <f>VLOOKUP(F1990,Countries!$A$1:$B$161,2,0)</f>
        <v>Switzerland</v>
      </c>
    </row>
    <row r="1991" spans="1:8" x14ac:dyDescent="0.3">
      <c r="A1991" s="3">
        <v>46256.920104166667</v>
      </c>
      <c r="B1991" s="1">
        <v>10.85</v>
      </c>
      <c r="C1991" s="1">
        <v>9.2899999999999991</v>
      </c>
      <c r="D1991" s="1">
        <v>0.74</v>
      </c>
      <c r="E1991" s="1" t="s">
        <v>115</v>
      </c>
      <c r="F1991" s="1" t="s">
        <v>115</v>
      </c>
      <c r="G1991" s="1" t="s">
        <v>115</v>
      </c>
      <c r="H1991" s="1" t="str">
        <f>VLOOKUP(F1991,Countries!$A$1:$B$161,2,0)</f>
        <v>Switzerland</v>
      </c>
    </row>
    <row r="1992" spans="1:8" x14ac:dyDescent="0.3">
      <c r="A1992" s="3">
        <v>46256.916018518517</v>
      </c>
      <c r="B1992" s="1">
        <v>10.85</v>
      </c>
      <c r="C1992" s="1">
        <v>9.2899999999999991</v>
      </c>
      <c r="D1992" s="1">
        <v>0.74</v>
      </c>
      <c r="E1992" s="1" t="s">
        <v>115</v>
      </c>
      <c r="F1992" s="1" t="s">
        <v>115</v>
      </c>
      <c r="G1992" s="1" t="s">
        <v>115</v>
      </c>
      <c r="H1992" s="1" t="str">
        <f>VLOOKUP(F1992,Countries!$A$1:$B$161,2,0)</f>
        <v>Switzerland</v>
      </c>
    </row>
    <row r="1993" spans="1:8" x14ac:dyDescent="0.3">
      <c r="A1993" s="3">
        <v>46256.911898148152</v>
      </c>
      <c r="B1993" s="1">
        <v>10.85</v>
      </c>
      <c r="C1993" s="1">
        <v>9.2899999999999991</v>
      </c>
      <c r="D1993" s="1">
        <v>0.74</v>
      </c>
      <c r="E1993" s="1" t="s">
        <v>115</v>
      </c>
      <c r="F1993" s="1" t="s">
        <v>115</v>
      </c>
      <c r="G1993" s="1" t="s">
        <v>115</v>
      </c>
      <c r="H1993" s="1" t="str">
        <f>VLOOKUP(F1993,Countries!$A$1:$B$161,2,0)</f>
        <v>Switzerland</v>
      </c>
    </row>
    <row r="1994" spans="1:8" x14ac:dyDescent="0.3">
      <c r="A1994" s="3">
        <v>46256.908159722218</v>
      </c>
      <c r="B1994" s="1">
        <v>10.85</v>
      </c>
      <c r="C1994" s="1">
        <v>9.2899999999999991</v>
      </c>
      <c r="D1994" s="1">
        <v>0.74</v>
      </c>
      <c r="E1994" s="1" t="s">
        <v>115</v>
      </c>
      <c r="F1994" s="1" t="s">
        <v>115</v>
      </c>
      <c r="G1994" s="1" t="s">
        <v>115</v>
      </c>
      <c r="H1994" s="1" t="str">
        <f>VLOOKUP(F1994,Countries!$A$1:$B$161,2,0)</f>
        <v>Switzerland</v>
      </c>
    </row>
    <row r="1995" spans="1:8" x14ac:dyDescent="0.3">
      <c r="A1995" s="3">
        <v>46256.897939814808</v>
      </c>
      <c r="B1995" s="1">
        <v>6.37</v>
      </c>
      <c r="C1995" s="1">
        <v>5.45</v>
      </c>
      <c r="D1995" s="1">
        <v>0.54</v>
      </c>
      <c r="E1995" s="1" t="s">
        <v>113</v>
      </c>
      <c r="F1995" s="1" t="s">
        <v>113</v>
      </c>
      <c r="G1995" s="1" t="s">
        <v>113</v>
      </c>
      <c r="H1995" s="1" t="str">
        <f>VLOOKUP(F1995,Countries!$A$1:$B$161,2,0)</f>
        <v>United States of America</v>
      </c>
    </row>
    <row r="1996" spans="1:8" x14ac:dyDescent="0.3">
      <c r="A1996" s="3">
        <v>46256.894328703696</v>
      </c>
      <c r="B1996" s="1">
        <v>6.37</v>
      </c>
      <c r="C1996" s="1">
        <v>5.45</v>
      </c>
      <c r="D1996" s="1">
        <v>0.54</v>
      </c>
      <c r="E1996" s="1" t="s">
        <v>113</v>
      </c>
      <c r="F1996" s="1" t="s">
        <v>113</v>
      </c>
      <c r="G1996" s="1" t="s">
        <v>113</v>
      </c>
      <c r="H1996" s="1" t="str">
        <f>VLOOKUP(F1996,Countries!$A$1:$B$161,2,0)</f>
        <v>United States of America</v>
      </c>
    </row>
    <row r="1997" spans="1:8" x14ac:dyDescent="0.3">
      <c r="A1997" s="3">
        <v>46256.893148148149</v>
      </c>
      <c r="B1997" s="1">
        <v>6.65</v>
      </c>
      <c r="C1997" s="1">
        <v>5.69</v>
      </c>
      <c r="D1997" s="1">
        <v>0.54</v>
      </c>
      <c r="E1997" s="1" t="s">
        <v>130</v>
      </c>
      <c r="F1997" s="1" t="s">
        <v>130</v>
      </c>
      <c r="G1997" s="1" t="s">
        <v>130</v>
      </c>
      <c r="H1997" s="1" t="str">
        <f>VLOOKUP(F1997,Countries!$A$1:$B$161,2,0)</f>
        <v>Australia</v>
      </c>
    </row>
    <row r="1998" spans="1:8" x14ac:dyDescent="0.3">
      <c r="A1998" s="3">
        <v>46256.889282407406</v>
      </c>
      <c r="B1998" s="1">
        <v>6.37</v>
      </c>
      <c r="C1998" s="1">
        <v>5.45</v>
      </c>
      <c r="D1998" s="1">
        <v>0.54</v>
      </c>
      <c r="E1998" s="1" t="s">
        <v>113</v>
      </c>
      <c r="F1998" s="1" t="s">
        <v>113</v>
      </c>
      <c r="G1998" s="1" t="s">
        <v>113</v>
      </c>
      <c r="H1998" s="1" t="str">
        <f>VLOOKUP(F1998,Countries!$A$1:$B$161,2,0)</f>
        <v>United States of America</v>
      </c>
    </row>
    <row r="1999" spans="1:8" x14ac:dyDescent="0.3">
      <c r="A1999" s="3">
        <v>46256.887615740743</v>
      </c>
      <c r="B1999" s="1">
        <v>6.37</v>
      </c>
      <c r="C1999" s="1">
        <v>5.45</v>
      </c>
      <c r="D1999" s="1">
        <v>0.54</v>
      </c>
      <c r="E1999" s="1" t="s">
        <v>113</v>
      </c>
      <c r="F1999" s="1" t="s">
        <v>113</v>
      </c>
      <c r="G1999" s="1" t="s">
        <v>113</v>
      </c>
      <c r="H1999" s="1" t="str">
        <f>VLOOKUP(F1999,Countries!$A$1:$B$161,2,0)</f>
        <v>United States of America</v>
      </c>
    </row>
    <row r="2000" spans="1:8" x14ac:dyDescent="0.3">
      <c r="A2000" s="3">
        <v>46256.879224537042</v>
      </c>
      <c r="B2000" s="1">
        <v>2.11</v>
      </c>
      <c r="C2000" s="1">
        <v>1.81</v>
      </c>
      <c r="D2000" s="1">
        <v>0.35</v>
      </c>
      <c r="E2000" s="1" t="s">
        <v>113</v>
      </c>
      <c r="F2000" s="1" t="s">
        <v>113</v>
      </c>
      <c r="G2000" s="1" t="s">
        <v>113</v>
      </c>
      <c r="H2000" s="1" t="str">
        <f>VLOOKUP(F2000,Countries!$A$1:$B$161,2,0)</f>
        <v>United States of America</v>
      </c>
    </row>
    <row r="2001" spans="1:8" x14ac:dyDescent="0.3">
      <c r="A2001" s="3">
        <v>46256.877743055556</v>
      </c>
      <c r="B2001" s="1">
        <v>10.85</v>
      </c>
      <c r="C2001" s="1">
        <v>9.2899999999999991</v>
      </c>
      <c r="D2001" s="1">
        <v>0.74</v>
      </c>
      <c r="E2001" s="1" t="s">
        <v>115</v>
      </c>
      <c r="F2001" s="1" t="s">
        <v>115</v>
      </c>
      <c r="G2001" s="1" t="s">
        <v>115</v>
      </c>
      <c r="H2001" s="1" t="str">
        <f>VLOOKUP(F2001,Countries!$A$1:$B$161,2,0)</f>
        <v>Switzerland</v>
      </c>
    </row>
    <row r="2002" spans="1:8" x14ac:dyDescent="0.3">
      <c r="A2002" s="3">
        <v>46256.871828703697</v>
      </c>
      <c r="B2002" s="1">
        <v>10.62</v>
      </c>
      <c r="C2002" s="1">
        <v>9.09</v>
      </c>
      <c r="D2002" s="1">
        <v>0.73</v>
      </c>
      <c r="E2002" s="1" t="s">
        <v>113</v>
      </c>
      <c r="F2002" s="1" t="s">
        <v>113</v>
      </c>
      <c r="G2002" s="1" t="s">
        <v>113</v>
      </c>
      <c r="H2002" s="1" t="str">
        <f>VLOOKUP(F2002,Countries!$A$1:$B$161,2,0)</f>
        <v>United States of America</v>
      </c>
    </row>
    <row r="2003" spans="1:8" x14ac:dyDescent="0.3">
      <c r="A2003" s="3">
        <v>46256.856423611112</v>
      </c>
      <c r="B2003" s="1">
        <v>6.65</v>
      </c>
      <c r="C2003" s="1">
        <v>5.69</v>
      </c>
      <c r="D2003" s="1">
        <v>0.54</v>
      </c>
      <c r="E2003" s="1" t="s">
        <v>121</v>
      </c>
      <c r="F2003" s="1" t="s">
        <v>121</v>
      </c>
      <c r="G2003" s="1" t="s">
        <v>121</v>
      </c>
      <c r="H2003" s="1" t="str">
        <f>VLOOKUP(F2003,Countries!$A$1:$B$161,2,0)</f>
        <v>Japan</v>
      </c>
    </row>
    <row r="2004" spans="1:8" x14ac:dyDescent="0.3">
      <c r="A2004" s="3">
        <v>46256.844050925924</v>
      </c>
      <c r="B2004" s="1">
        <v>6.37</v>
      </c>
      <c r="C2004" s="1">
        <v>5.45</v>
      </c>
      <c r="D2004" s="1">
        <v>0.54</v>
      </c>
      <c r="E2004" s="1" t="s">
        <v>113</v>
      </c>
      <c r="F2004" s="1" t="s">
        <v>113</v>
      </c>
      <c r="G2004" s="1" t="s">
        <v>113</v>
      </c>
      <c r="H2004" s="1" t="str">
        <f>VLOOKUP(F2004,Countries!$A$1:$B$161,2,0)</f>
        <v>United States of America</v>
      </c>
    </row>
    <row r="2005" spans="1:8" x14ac:dyDescent="0.3">
      <c r="A2005" s="3">
        <v>46256.843275462961</v>
      </c>
      <c r="B2005" s="1">
        <v>7.99</v>
      </c>
      <c r="C2005" s="1">
        <v>6.84</v>
      </c>
      <c r="D2005" s="1">
        <v>0.61</v>
      </c>
      <c r="E2005" s="1" t="s">
        <v>113</v>
      </c>
      <c r="F2005" s="1" t="s">
        <v>113</v>
      </c>
      <c r="G2005" s="1" t="s">
        <v>113</v>
      </c>
      <c r="H2005" s="1" t="str">
        <f>VLOOKUP(F2005,Countries!$A$1:$B$161,2,0)</f>
        <v>United States of America</v>
      </c>
    </row>
    <row r="2006" spans="1:8" x14ac:dyDescent="0.3">
      <c r="A2006" s="3">
        <v>46256.841597222221</v>
      </c>
      <c r="B2006" s="1">
        <v>14.77</v>
      </c>
      <c r="C2006" s="1">
        <v>12.65</v>
      </c>
      <c r="D2006" s="1">
        <v>0.91</v>
      </c>
      <c r="E2006" s="1" t="s">
        <v>113</v>
      </c>
      <c r="F2006" s="1" t="s">
        <v>113</v>
      </c>
      <c r="G2006" s="1" t="s">
        <v>113</v>
      </c>
      <c r="H2006" s="1" t="str">
        <f>VLOOKUP(F2006,Countries!$A$1:$B$161,2,0)</f>
        <v>United States of America</v>
      </c>
    </row>
    <row r="2007" spans="1:8" x14ac:dyDescent="0.3">
      <c r="A2007" s="3">
        <v>46256.836782407408</v>
      </c>
      <c r="B2007" s="1">
        <v>17.04</v>
      </c>
      <c r="C2007" s="1">
        <v>14.59</v>
      </c>
      <c r="D2007" s="1">
        <v>1.01</v>
      </c>
      <c r="E2007" s="1" t="s">
        <v>114</v>
      </c>
      <c r="F2007" s="1" t="s">
        <v>114</v>
      </c>
      <c r="G2007" s="1" t="s">
        <v>114</v>
      </c>
      <c r="H2007" s="1" t="str">
        <f>VLOOKUP(F2007,Countries!$A$1:$B$161,2,0)</f>
        <v>Philippines</v>
      </c>
    </row>
    <row r="2008" spans="1:8" x14ac:dyDescent="0.3">
      <c r="A2008" s="3">
        <v>46256.835532407407</v>
      </c>
      <c r="B2008" s="1">
        <v>2.99</v>
      </c>
      <c r="C2008" s="1">
        <v>2.56</v>
      </c>
      <c r="D2008" s="1">
        <v>0.34</v>
      </c>
      <c r="E2008" s="1" t="s">
        <v>120</v>
      </c>
      <c r="F2008" s="1" t="s">
        <v>120</v>
      </c>
      <c r="G2008" s="1" t="s">
        <v>120</v>
      </c>
      <c r="H2008" s="1" t="str">
        <f>VLOOKUP(F2008,Countries!$A$1:$B$161,2,0)</f>
        <v>Czech Republic</v>
      </c>
    </row>
    <row r="2009" spans="1:8" x14ac:dyDescent="0.3">
      <c r="A2009" s="3">
        <v>46256.833969907413</v>
      </c>
      <c r="B2009" s="1">
        <v>6.65</v>
      </c>
      <c r="C2009" s="1">
        <v>5.69</v>
      </c>
      <c r="D2009" s="1">
        <v>0.54</v>
      </c>
      <c r="E2009" s="1" t="s">
        <v>121</v>
      </c>
      <c r="F2009" s="1" t="s">
        <v>121</v>
      </c>
      <c r="G2009" s="1" t="s">
        <v>121</v>
      </c>
      <c r="H2009" s="1" t="str">
        <f>VLOOKUP(F2009,Countries!$A$1:$B$161,2,0)</f>
        <v>Japan</v>
      </c>
    </row>
    <row r="2010" spans="1:8" x14ac:dyDescent="0.3">
      <c r="A2010" s="3">
        <v>46256.833749999998</v>
      </c>
      <c r="B2010" s="1">
        <v>3.39</v>
      </c>
      <c r="C2010" s="1">
        <v>2.9</v>
      </c>
      <c r="D2010" s="1">
        <v>0.4</v>
      </c>
      <c r="E2010" s="1" t="s">
        <v>114</v>
      </c>
      <c r="F2010" s="1" t="s">
        <v>114</v>
      </c>
      <c r="G2010" s="1" t="s">
        <v>114</v>
      </c>
      <c r="H2010" s="1" t="str">
        <f>VLOOKUP(F2010,Countries!$A$1:$B$161,2,0)</f>
        <v>Philippines</v>
      </c>
    </row>
    <row r="2011" spans="1:8" x14ac:dyDescent="0.3">
      <c r="A2011" s="3">
        <v>46256.833749999998</v>
      </c>
      <c r="B2011" s="1">
        <v>10.62</v>
      </c>
      <c r="C2011" s="1">
        <v>9.09</v>
      </c>
      <c r="D2011" s="1">
        <v>0.73</v>
      </c>
      <c r="E2011" s="1" t="s">
        <v>113</v>
      </c>
      <c r="F2011" s="1" t="s">
        <v>113</v>
      </c>
      <c r="G2011" s="1" t="s">
        <v>113</v>
      </c>
      <c r="H2011" s="1" t="str">
        <f>VLOOKUP(F2011,Countries!$A$1:$B$161,2,0)</f>
        <v>United States of America</v>
      </c>
    </row>
    <row r="2012" spans="1:8" x14ac:dyDescent="0.3">
      <c r="A2012" s="3">
        <v>46256.833298611113</v>
      </c>
      <c r="B2012" s="1">
        <v>3.18</v>
      </c>
      <c r="C2012" s="1">
        <v>2.72</v>
      </c>
      <c r="D2012" s="1">
        <v>0.39</v>
      </c>
      <c r="E2012" s="1" t="s">
        <v>113</v>
      </c>
      <c r="F2012" s="1" t="s">
        <v>113</v>
      </c>
      <c r="G2012" s="1" t="s">
        <v>113</v>
      </c>
      <c r="H2012" s="1" t="str">
        <f>VLOOKUP(F2012,Countries!$A$1:$B$161,2,0)</f>
        <v>United States of America</v>
      </c>
    </row>
    <row r="2013" spans="1:8" x14ac:dyDescent="0.3">
      <c r="A2013" s="3">
        <v>46256.832928240743</v>
      </c>
      <c r="B2013" s="1">
        <v>7.58</v>
      </c>
      <c r="C2013" s="1">
        <v>6.49</v>
      </c>
      <c r="D2013" s="1">
        <v>0.48</v>
      </c>
      <c r="E2013" s="1" t="s">
        <v>113</v>
      </c>
      <c r="F2013" s="1" t="s">
        <v>113</v>
      </c>
      <c r="G2013" s="1" t="s">
        <v>113</v>
      </c>
      <c r="H2013" s="1" t="str">
        <f>VLOOKUP(F2013,Countries!$A$1:$B$161,2,0)</f>
        <v>United States of America</v>
      </c>
    </row>
    <row r="2014" spans="1:8" x14ac:dyDescent="0.3">
      <c r="A2014" s="3">
        <v>46256.832303240742</v>
      </c>
      <c r="B2014" s="1">
        <v>2.48</v>
      </c>
      <c r="C2014" s="1">
        <v>2.12</v>
      </c>
      <c r="D2014" s="1">
        <v>0.34</v>
      </c>
      <c r="E2014" s="1" t="s">
        <v>119</v>
      </c>
      <c r="F2014" s="1" t="s">
        <v>119</v>
      </c>
      <c r="G2014" s="1" t="s">
        <v>119</v>
      </c>
      <c r="H2014" s="1" t="str">
        <f>VLOOKUP(F2014,Countries!$A$1:$B$161,2,0)</f>
        <v>Great Britain (United Kingdom)</v>
      </c>
    </row>
    <row r="2015" spans="1:8" x14ac:dyDescent="0.3">
      <c r="A2015" s="3">
        <v>46256.830891203703</v>
      </c>
      <c r="B2015" s="1">
        <v>3.83</v>
      </c>
      <c r="C2015" s="1">
        <v>3.28</v>
      </c>
      <c r="D2015" s="1">
        <v>0.37</v>
      </c>
      <c r="E2015" s="1" t="s">
        <v>124</v>
      </c>
      <c r="F2015" s="1" t="s">
        <v>124</v>
      </c>
      <c r="G2015" s="1" t="s">
        <v>124</v>
      </c>
      <c r="H2015" s="1" t="str">
        <f>VLOOKUP(F2015,Countries!$A$1:$B$161,2,0)</f>
        <v>Italy</v>
      </c>
    </row>
    <row r="2016" spans="1:8" x14ac:dyDescent="0.3">
      <c r="A2016" s="3">
        <v>46256.829618055563</v>
      </c>
      <c r="B2016" s="1">
        <v>4.09</v>
      </c>
      <c r="C2016" s="1">
        <v>3.5</v>
      </c>
      <c r="D2016" s="1">
        <v>0.37</v>
      </c>
      <c r="E2016" s="1" t="s">
        <v>177</v>
      </c>
      <c r="F2016" s="1" t="s">
        <v>177</v>
      </c>
      <c r="G2016" s="1" t="s">
        <v>177</v>
      </c>
      <c r="H2016" s="1" t="str">
        <f>VLOOKUP(F2016,Countries!$A$1:$B$161,2,0)</f>
        <v>Hungary</v>
      </c>
    </row>
    <row r="2017" spans="1:8" x14ac:dyDescent="0.3">
      <c r="A2017" s="3">
        <v>46256.822812500002</v>
      </c>
      <c r="B2017" s="1">
        <v>6.37</v>
      </c>
      <c r="C2017" s="1">
        <v>5.45</v>
      </c>
      <c r="D2017" s="1">
        <v>0.54</v>
      </c>
      <c r="E2017" s="1" t="s">
        <v>113</v>
      </c>
      <c r="F2017" s="1" t="s">
        <v>113</v>
      </c>
      <c r="G2017" s="1" t="s">
        <v>113</v>
      </c>
      <c r="H2017" s="1" t="str">
        <f>VLOOKUP(F2017,Countries!$A$1:$B$161,2,0)</f>
        <v>United States of America</v>
      </c>
    </row>
    <row r="2018" spans="1:8" x14ac:dyDescent="0.3">
      <c r="A2018" s="3">
        <v>46256.818715277783</v>
      </c>
      <c r="B2018" s="1">
        <v>1.99</v>
      </c>
      <c r="C2018" s="1">
        <v>1.7</v>
      </c>
      <c r="D2018" s="1">
        <v>0.34</v>
      </c>
      <c r="E2018" s="1" t="s">
        <v>113</v>
      </c>
      <c r="F2018" s="1" t="s">
        <v>113</v>
      </c>
      <c r="G2018" s="1" t="s">
        <v>113</v>
      </c>
      <c r="H2018" s="1" t="str">
        <f>VLOOKUP(F2018,Countries!$A$1:$B$161,2,0)</f>
        <v>United States of America</v>
      </c>
    </row>
    <row r="2019" spans="1:8" x14ac:dyDescent="0.3">
      <c r="A2019" s="3">
        <v>46256.818518518521</v>
      </c>
      <c r="B2019" s="1">
        <v>6.37</v>
      </c>
      <c r="C2019" s="1">
        <v>5.45</v>
      </c>
      <c r="D2019" s="1">
        <v>0.54</v>
      </c>
      <c r="E2019" s="1" t="s">
        <v>113</v>
      </c>
      <c r="F2019" s="1" t="s">
        <v>113</v>
      </c>
      <c r="G2019" s="1" t="s">
        <v>113</v>
      </c>
      <c r="H2019" s="1" t="str">
        <f>VLOOKUP(F2019,Countries!$A$1:$B$161,2,0)</f>
        <v>United States of America</v>
      </c>
    </row>
    <row r="2020" spans="1:8" x14ac:dyDescent="0.3">
      <c r="A2020" s="3">
        <v>46256.818078703713</v>
      </c>
      <c r="B2020" s="1">
        <v>15.78</v>
      </c>
      <c r="C2020" s="1">
        <v>13.51</v>
      </c>
      <c r="D2020" s="1">
        <v>0.96</v>
      </c>
      <c r="E2020" s="1" t="s">
        <v>196</v>
      </c>
      <c r="F2020" s="1" t="s">
        <v>196</v>
      </c>
      <c r="G2020" s="1" t="s">
        <v>196</v>
      </c>
      <c r="H2020" s="1" t="str">
        <f>VLOOKUP(F2020,Countries!$A$1:$B$161,2,0)</f>
        <v>Kazakhstan</v>
      </c>
    </row>
    <row r="2021" spans="1:8" x14ac:dyDescent="0.3">
      <c r="A2021" s="3">
        <v>46256.814849537041</v>
      </c>
      <c r="B2021" s="1">
        <v>10.85</v>
      </c>
      <c r="C2021" s="1">
        <v>9.2899999999999991</v>
      </c>
      <c r="D2021" s="1">
        <v>0.74</v>
      </c>
      <c r="E2021" s="1" t="s">
        <v>115</v>
      </c>
      <c r="F2021" s="1" t="s">
        <v>115</v>
      </c>
      <c r="G2021" s="1" t="s">
        <v>115</v>
      </c>
      <c r="H2021" s="1" t="str">
        <f>VLOOKUP(F2021,Countries!$A$1:$B$161,2,0)</f>
        <v>Switzerland</v>
      </c>
    </row>
    <row r="2022" spans="1:8" x14ac:dyDescent="0.3">
      <c r="A2022" s="3">
        <v>46256.805520833332</v>
      </c>
      <c r="B2022" s="1">
        <v>17.739999999999998</v>
      </c>
      <c r="C2022" s="1">
        <v>15.19</v>
      </c>
      <c r="D2022" s="1">
        <v>1.04</v>
      </c>
      <c r="E2022" s="1" t="s">
        <v>113</v>
      </c>
      <c r="F2022" s="1" t="s">
        <v>113</v>
      </c>
      <c r="G2022" s="1" t="s">
        <v>113</v>
      </c>
      <c r="H2022" s="1" t="str">
        <f>VLOOKUP(F2022,Countries!$A$1:$B$161,2,0)</f>
        <v>United States of America</v>
      </c>
    </row>
    <row r="2023" spans="1:8" x14ac:dyDescent="0.3">
      <c r="A2023" s="3">
        <v>46256.80537037037</v>
      </c>
      <c r="B2023" s="1">
        <v>15.78</v>
      </c>
      <c r="C2023" s="1">
        <v>13.51</v>
      </c>
      <c r="D2023" s="1">
        <v>0.96</v>
      </c>
      <c r="E2023" s="1" t="s">
        <v>196</v>
      </c>
      <c r="F2023" s="1" t="s">
        <v>196</v>
      </c>
      <c r="G2023" s="1" t="s">
        <v>196</v>
      </c>
      <c r="H2023" s="1" t="str">
        <f>VLOOKUP(F2023,Countries!$A$1:$B$161,2,0)</f>
        <v>Kazakhstan</v>
      </c>
    </row>
    <row r="2024" spans="1:8" x14ac:dyDescent="0.3">
      <c r="A2024" s="3">
        <v>46256.802604166667</v>
      </c>
      <c r="B2024" s="1">
        <v>15.78</v>
      </c>
      <c r="C2024" s="1">
        <v>13.51</v>
      </c>
      <c r="D2024" s="1">
        <v>0.96</v>
      </c>
      <c r="E2024" s="1" t="s">
        <v>196</v>
      </c>
      <c r="F2024" s="1" t="s">
        <v>196</v>
      </c>
      <c r="G2024" s="1" t="s">
        <v>196</v>
      </c>
      <c r="H2024" s="1" t="str">
        <f>VLOOKUP(F2024,Countries!$A$1:$B$161,2,0)</f>
        <v>Kazakhstan</v>
      </c>
    </row>
    <row r="2025" spans="1:8" x14ac:dyDescent="0.3">
      <c r="A2025" s="3">
        <v>46256.797986111109</v>
      </c>
      <c r="B2025" s="1">
        <v>15.78</v>
      </c>
      <c r="C2025" s="1">
        <v>13.51</v>
      </c>
      <c r="D2025" s="1">
        <v>0.96</v>
      </c>
      <c r="E2025" s="1" t="s">
        <v>196</v>
      </c>
      <c r="F2025" s="1" t="s">
        <v>196</v>
      </c>
      <c r="G2025" s="1" t="s">
        <v>196</v>
      </c>
      <c r="H2025" s="1" t="str">
        <f>VLOOKUP(F2025,Countries!$A$1:$B$161,2,0)</f>
        <v>Kazakhstan</v>
      </c>
    </row>
    <row r="2026" spans="1:8" x14ac:dyDescent="0.3">
      <c r="A2026" s="3">
        <v>46256.794606481482</v>
      </c>
      <c r="B2026" s="1">
        <v>15.78</v>
      </c>
      <c r="C2026" s="1">
        <v>13.51</v>
      </c>
      <c r="D2026" s="1">
        <v>0.96</v>
      </c>
      <c r="E2026" s="1" t="s">
        <v>196</v>
      </c>
      <c r="F2026" s="1" t="s">
        <v>196</v>
      </c>
      <c r="G2026" s="1" t="s">
        <v>196</v>
      </c>
      <c r="H2026" s="1" t="str">
        <f>VLOOKUP(F2026,Countries!$A$1:$B$161,2,0)</f>
        <v>Kazakhstan</v>
      </c>
    </row>
    <row r="2027" spans="1:8" x14ac:dyDescent="0.3">
      <c r="A2027" s="3">
        <v>46256.792280092603</v>
      </c>
      <c r="B2027" s="1">
        <v>10.85</v>
      </c>
      <c r="C2027" s="1">
        <v>9.2899999999999991</v>
      </c>
      <c r="D2027" s="1">
        <v>0.74</v>
      </c>
      <c r="E2027" s="1" t="s">
        <v>115</v>
      </c>
      <c r="F2027" s="1" t="s">
        <v>115</v>
      </c>
      <c r="G2027" s="1" t="s">
        <v>115</v>
      </c>
      <c r="H2027" s="1" t="str">
        <f>VLOOKUP(F2027,Countries!$A$1:$B$161,2,0)</f>
        <v>Switzerland</v>
      </c>
    </row>
    <row r="2028" spans="1:8" x14ac:dyDescent="0.3">
      <c r="A2028" s="3">
        <v>46256.79178240741</v>
      </c>
      <c r="B2028" s="1">
        <v>6.37</v>
      </c>
      <c r="C2028" s="1">
        <v>5.45</v>
      </c>
      <c r="D2028" s="1">
        <v>0.54</v>
      </c>
      <c r="E2028" s="1" t="s">
        <v>113</v>
      </c>
      <c r="F2028" s="1" t="s">
        <v>113</v>
      </c>
      <c r="G2028" s="1" t="s">
        <v>113</v>
      </c>
      <c r="H2028" s="1" t="str">
        <f>VLOOKUP(F2028,Countries!$A$1:$B$161,2,0)</f>
        <v>United States of America</v>
      </c>
    </row>
    <row r="2029" spans="1:8" x14ac:dyDescent="0.3">
      <c r="A2029" s="3">
        <v>46256.791678240741</v>
      </c>
      <c r="B2029" s="1">
        <v>15.78</v>
      </c>
      <c r="C2029" s="1">
        <v>13.51</v>
      </c>
      <c r="D2029" s="1">
        <v>0.96</v>
      </c>
      <c r="E2029" s="1" t="s">
        <v>196</v>
      </c>
      <c r="F2029" s="1" t="s">
        <v>196</v>
      </c>
      <c r="G2029" s="1" t="s">
        <v>196</v>
      </c>
      <c r="H2029" s="1" t="str">
        <f>VLOOKUP(F2029,Countries!$A$1:$B$161,2,0)</f>
        <v>Kazakhstan</v>
      </c>
    </row>
    <row r="2030" spans="1:8" x14ac:dyDescent="0.3">
      <c r="A2030" s="3">
        <v>46256.789201388892</v>
      </c>
      <c r="B2030" s="1">
        <v>15.78</v>
      </c>
      <c r="C2030" s="1">
        <v>13.51</v>
      </c>
      <c r="D2030" s="1">
        <v>0.96</v>
      </c>
      <c r="E2030" s="1" t="s">
        <v>196</v>
      </c>
      <c r="F2030" s="1" t="s">
        <v>196</v>
      </c>
      <c r="G2030" s="1" t="s">
        <v>196</v>
      </c>
      <c r="H2030" s="1" t="str">
        <f>VLOOKUP(F2030,Countries!$A$1:$B$161,2,0)</f>
        <v>Kazakhstan</v>
      </c>
    </row>
    <row r="2031" spans="1:8" x14ac:dyDescent="0.3">
      <c r="A2031" s="3">
        <v>46256.786377314813</v>
      </c>
      <c r="B2031" s="1">
        <v>2.99</v>
      </c>
      <c r="C2031" s="1">
        <v>2.56</v>
      </c>
      <c r="D2031" s="1">
        <v>0.38</v>
      </c>
      <c r="E2031" s="1" t="s">
        <v>142</v>
      </c>
      <c r="F2031" s="1" t="s">
        <v>142</v>
      </c>
      <c r="G2031" s="1" t="s">
        <v>142</v>
      </c>
      <c r="H2031" s="1" t="str">
        <f>VLOOKUP(F2031,Countries!$A$1:$B$161,2,0)</f>
        <v>India</v>
      </c>
    </row>
    <row r="2032" spans="1:8" x14ac:dyDescent="0.3">
      <c r="A2032" s="3">
        <v>46256.784791666672</v>
      </c>
      <c r="B2032" s="1">
        <v>15.78</v>
      </c>
      <c r="C2032" s="1">
        <v>13.51</v>
      </c>
      <c r="D2032" s="1">
        <v>0.96</v>
      </c>
      <c r="E2032" s="1" t="s">
        <v>196</v>
      </c>
      <c r="F2032" s="1" t="s">
        <v>196</v>
      </c>
      <c r="G2032" s="1" t="s">
        <v>196</v>
      </c>
      <c r="H2032" s="1" t="str">
        <f>VLOOKUP(F2032,Countries!$A$1:$B$161,2,0)</f>
        <v>Kazakhstan</v>
      </c>
    </row>
    <row r="2033" spans="1:8" x14ac:dyDescent="0.3">
      <c r="A2033" s="3">
        <v>46256.780532407407</v>
      </c>
      <c r="B2033" s="1">
        <v>10.85</v>
      </c>
      <c r="C2033" s="1">
        <v>9.2899999999999991</v>
      </c>
      <c r="D2033" s="1">
        <v>0.74</v>
      </c>
      <c r="E2033" s="1" t="s">
        <v>115</v>
      </c>
      <c r="F2033" s="1" t="s">
        <v>115</v>
      </c>
      <c r="G2033" s="1" t="s">
        <v>115</v>
      </c>
      <c r="H2033" s="1" t="str">
        <f>VLOOKUP(F2033,Countries!$A$1:$B$161,2,0)</f>
        <v>Switzerland</v>
      </c>
    </row>
    <row r="2034" spans="1:8" x14ac:dyDescent="0.3">
      <c r="A2034" s="3">
        <v>46256.780277777783</v>
      </c>
      <c r="B2034" s="1">
        <v>6.37</v>
      </c>
      <c r="C2034" s="1">
        <v>5.45</v>
      </c>
      <c r="D2034" s="1">
        <v>0.54</v>
      </c>
      <c r="E2034" s="1" t="s">
        <v>113</v>
      </c>
      <c r="F2034" s="1" t="s">
        <v>113</v>
      </c>
      <c r="G2034" s="1" t="s">
        <v>113</v>
      </c>
      <c r="H2034" s="1" t="str">
        <f>VLOOKUP(F2034,Countries!$A$1:$B$161,2,0)</f>
        <v>United States of America</v>
      </c>
    </row>
    <row r="2035" spans="1:8" x14ac:dyDescent="0.3">
      <c r="A2035" s="3">
        <v>46256.780138888891</v>
      </c>
      <c r="B2035" s="1">
        <v>14.77</v>
      </c>
      <c r="C2035" s="1">
        <v>12.65</v>
      </c>
      <c r="D2035" s="1">
        <v>0.91</v>
      </c>
      <c r="E2035" s="1" t="s">
        <v>113</v>
      </c>
      <c r="F2035" s="1" t="s">
        <v>113</v>
      </c>
      <c r="G2035" s="1" t="s">
        <v>113</v>
      </c>
      <c r="H2035" s="1" t="str">
        <f>VLOOKUP(F2035,Countries!$A$1:$B$161,2,0)</f>
        <v>United States of America</v>
      </c>
    </row>
    <row r="2036" spans="1:8" x14ac:dyDescent="0.3">
      <c r="A2036" s="3">
        <v>46256.780138888891</v>
      </c>
      <c r="B2036" s="1">
        <v>15.78</v>
      </c>
      <c r="C2036" s="1">
        <v>13.51</v>
      </c>
      <c r="D2036" s="1">
        <v>0.96</v>
      </c>
      <c r="E2036" s="1" t="s">
        <v>196</v>
      </c>
      <c r="F2036" s="1" t="s">
        <v>196</v>
      </c>
      <c r="G2036" s="1" t="s">
        <v>196</v>
      </c>
      <c r="H2036" s="1" t="str">
        <f>VLOOKUP(F2036,Countries!$A$1:$B$161,2,0)</f>
        <v>Kazakhstan</v>
      </c>
    </row>
    <row r="2037" spans="1:8" x14ac:dyDescent="0.3">
      <c r="A2037" s="3">
        <v>46256.773657407408</v>
      </c>
      <c r="B2037" s="1">
        <v>15.78</v>
      </c>
      <c r="C2037" s="1">
        <v>13.51</v>
      </c>
      <c r="D2037" s="1">
        <v>0.96</v>
      </c>
      <c r="E2037" s="1" t="s">
        <v>196</v>
      </c>
      <c r="F2037" s="1" t="s">
        <v>196</v>
      </c>
      <c r="G2037" s="1" t="s">
        <v>196</v>
      </c>
      <c r="H2037" s="1" t="str">
        <f>VLOOKUP(F2037,Countries!$A$1:$B$161,2,0)</f>
        <v>Kazakhstan</v>
      </c>
    </row>
    <row r="2038" spans="1:8" x14ac:dyDescent="0.3">
      <c r="A2038" s="3">
        <v>46256.770648148151</v>
      </c>
      <c r="B2038" s="1">
        <v>15.78</v>
      </c>
      <c r="C2038" s="1">
        <v>13.51</v>
      </c>
      <c r="D2038" s="1">
        <v>0.96</v>
      </c>
      <c r="E2038" s="1" t="s">
        <v>196</v>
      </c>
      <c r="F2038" s="1" t="s">
        <v>196</v>
      </c>
      <c r="G2038" s="1" t="s">
        <v>196</v>
      </c>
      <c r="H2038" s="1" t="str">
        <f>VLOOKUP(F2038,Countries!$A$1:$B$161,2,0)</f>
        <v>Kazakhstan</v>
      </c>
    </row>
    <row r="2039" spans="1:8" x14ac:dyDescent="0.3">
      <c r="A2039" s="3">
        <v>46256.767881944441</v>
      </c>
      <c r="B2039" s="1">
        <v>15.78</v>
      </c>
      <c r="C2039" s="1">
        <v>13.51</v>
      </c>
      <c r="D2039" s="1">
        <v>0.96</v>
      </c>
      <c r="E2039" s="1" t="s">
        <v>196</v>
      </c>
      <c r="F2039" s="1" t="s">
        <v>196</v>
      </c>
      <c r="G2039" s="1" t="s">
        <v>196</v>
      </c>
      <c r="H2039" s="1" t="str">
        <f>VLOOKUP(F2039,Countries!$A$1:$B$161,2,0)</f>
        <v>Kazakhstan</v>
      </c>
    </row>
    <row r="2040" spans="1:8" x14ac:dyDescent="0.3">
      <c r="A2040" s="3">
        <v>46256.76425925926</v>
      </c>
      <c r="B2040" s="1">
        <v>3.32</v>
      </c>
      <c r="C2040" s="1">
        <v>2.84</v>
      </c>
      <c r="D2040" s="1">
        <v>0.4</v>
      </c>
      <c r="E2040" s="1" t="s">
        <v>121</v>
      </c>
      <c r="F2040" s="1" t="s">
        <v>121</v>
      </c>
      <c r="G2040" s="1" t="s">
        <v>121</v>
      </c>
      <c r="H2040" s="1" t="str">
        <f>VLOOKUP(F2040,Countries!$A$1:$B$161,2,0)</f>
        <v>Japan</v>
      </c>
    </row>
    <row r="2041" spans="1:8" x14ac:dyDescent="0.3">
      <c r="A2041" s="3">
        <v>46256.763738425929</v>
      </c>
      <c r="B2041" s="1">
        <v>15.78</v>
      </c>
      <c r="C2041" s="1">
        <v>13.51</v>
      </c>
      <c r="D2041" s="1">
        <v>0.96</v>
      </c>
      <c r="E2041" s="1" t="s">
        <v>196</v>
      </c>
      <c r="F2041" s="1" t="s">
        <v>196</v>
      </c>
      <c r="G2041" s="1" t="s">
        <v>196</v>
      </c>
      <c r="H2041" s="1" t="str">
        <f>VLOOKUP(F2041,Countries!$A$1:$B$161,2,0)</f>
        <v>Kazakhstan</v>
      </c>
    </row>
    <row r="2042" spans="1:8" x14ac:dyDescent="0.3">
      <c r="A2042" s="3">
        <v>46256.760729166657</v>
      </c>
      <c r="B2042" s="1">
        <v>15.78</v>
      </c>
      <c r="C2042" s="1">
        <v>13.51</v>
      </c>
      <c r="D2042" s="1">
        <v>0.96</v>
      </c>
      <c r="E2042" s="1" t="s">
        <v>196</v>
      </c>
      <c r="F2042" s="1" t="s">
        <v>196</v>
      </c>
      <c r="G2042" s="1" t="s">
        <v>196</v>
      </c>
      <c r="H2042" s="1" t="str">
        <f>VLOOKUP(F2042,Countries!$A$1:$B$161,2,0)</f>
        <v>Kazakhstan</v>
      </c>
    </row>
    <row r="2043" spans="1:8" x14ac:dyDescent="0.3">
      <c r="A2043" s="3">
        <v>46256.760497685187</v>
      </c>
      <c r="B2043" s="1">
        <v>10.85</v>
      </c>
      <c r="C2043" s="1">
        <v>9.2899999999999991</v>
      </c>
      <c r="D2043" s="1">
        <v>0.74</v>
      </c>
      <c r="E2043" s="1" t="s">
        <v>115</v>
      </c>
      <c r="F2043" s="1" t="s">
        <v>115</v>
      </c>
      <c r="G2043" s="1" t="s">
        <v>115</v>
      </c>
      <c r="H2043" s="1" t="str">
        <f>VLOOKUP(F2043,Countries!$A$1:$B$161,2,0)</f>
        <v>Switzerland</v>
      </c>
    </row>
    <row r="2044" spans="1:8" x14ac:dyDescent="0.3">
      <c r="A2044" s="3">
        <v>46256.757523148153</v>
      </c>
      <c r="B2044" s="1">
        <v>15.78</v>
      </c>
      <c r="C2044" s="1">
        <v>13.51</v>
      </c>
      <c r="D2044" s="1">
        <v>0.96</v>
      </c>
      <c r="E2044" s="1" t="s">
        <v>196</v>
      </c>
      <c r="F2044" s="1" t="s">
        <v>196</v>
      </c>
      <c r="G2044" s="1" t="s">
        <v>196</v>
      </c>
      <c r="H2044" s="1" t="str">
        <f>VLOOKUP(F2044,Countries!$A$1:$B$161,2,0)</f>
        <v>Kazakhstan</v>
      </c>
    </row>
    <row r="2045" spans="1:8" x14ac:dyDescent="0.3">
      <c r="A2045" s="3">
        <v>46256.756064814806</v>
      </c>
      <c r="B2045" s="1">
        <v>1.99</v>
      </c>
      <c r="C2045" s="1">
        <v>1.7</v>
      </c>
      <c r="D2045" s="1">
        <v>0.34</v>
      </c>
      <c r="E2045" s="1" t="s">
        <v>156</v>
      </c>
      <c r="F2045" s="1" t="s">
        <v>156</v>
      </c>
      <c r="G2045" s="1" t="s">
        <v>156</v>
      </c>
      <c r="H2045" s="1" t="str">
        <f>VLOOKUP(F2045,Countries!$A$1:$B$161,2,0)</f>
        <v>Cote d'Ivoire</v>
      </c>
    </row>
    <row r="2046" spans="1:8" x14ac:dyDescent="0.3">
      <c r="A2046" s="3">
        <v>46256.753761574073</v>
      </c>
      <c r="B2046" s="1">
        <v>15.78</v>
      </c>
      <c r="C2046" s="1">
        <v>13.51</v>
      </c>
      <c r="D2046" s="1">
        <v>0.96</v>
      </c>
      <c r="E2046" s="1" t="s">
        <v>196</v>
      </c>
      <c r="F2046" s="1" t="s">
        <v>196</v>
      </c>
      <c r="G2046" s="1" t="s">
        <v>196</v>
      </c>
      <c r="H2046" s="1" t="str">
        <f>VLOOKUP(F2046,Countries!$A$1:$B$161,2,0)</f>
        <v>Kazakhstan</v>
      </c>
    </row>
    <row r="2047" spans="1:8" x14ac:dyDescent="0.3">
      <c r="A2047" s="3">
        <v>46256.750474537039</v>
      </c>
      <c r="B2047" s="1">
        <v>15.78</v>
      </c>
      <c r="C2047" s="1">
        <v>13.51</v>
      </c>
      <c r="D2047" s="1">
        <v>0.96</v>
      </c>
      <c r="E2047" s="1" t="s">
        <v>196</v>
      </c>
      <c r="F2047" s="1" t="s">
        <v>196</v>
      </c>
      <c r="G2047" s="1" t="s">
        <v>196</v>
      </c>
      <c r="H2047" s="1" t="str">
        <f>VLOOKUP(F2047,Countries!$A$1:$B$161,2,0)</f>
        <v>Kazakhstan</v>
      </c>
    </row>
    <row r="2048" spans="1:8" x14ac:dyDescent="0.3">
      <c r="A2048" s="3">
        <v>46256.750219907408</v>
      </c>
      <c r="B2048" s="1">
        <v>2.99</v>
      </c>
      <c r="C2048" s="1">
        <v>2.56</v>
      </c>
      <c r="D2048" s="1">
        <v>0.38</v>
      </c>
      <c r="E2048" s="1" t="s">
        <v>157</v>
      </c>
      <c r="F2048" s="1" t="s">
        <v>157</v>
      </c>
      <c r="G2048" s="1" t="s">
        <v>157</v>
      </c>
      <c r="H2048" s="1" t="str">
        <f>VLOOKUP(F2048,Countries!$A$1:$B$161,2,0)</f>
        <v>Costa Rica</v>
      </c>
    </row>
    <row r="2049" spans="1:8" x14ac:dyDescent="0.3">
      <c r="A2049" s="3">
        <v>46256.746064814812</v>
      </c>
      <c r="B2049" s="1">
        <v>15.21</v>
      </c>
      <c r="C2049" s="1">
        <v>13.02</v>
      </c>
      <c r="D2049" s="1">
        <v>0.93</v>
      </c>
      <c r="E2049" s="1" t="s">
        <v>115</v>
      </c>
      <c r="F2049" s="1" t="s">
        <v>115</v>
      </c>
      <c r="G2049" s="1" t="s">
        <v>115</v>
      </c>
      <c r="H2049" s="1" t="str">
        <f>VLOOKUP(F2049,Countries!$A$1:$B$161,2,0)</f>
        <v>Switzerland</v>
      </c>
    </row>
    <row r="2050" spans="1:8" x14ac:dyDescent="0.3">
      <c r="A2050" s="3">
        <v>46256.74386574074</v>
      </c>
      <c r="B2050" s="1">
        <v>6.37</v>
      </c>
      <c r="C2050" s="1">
        <v>5.45</v>
      </c>
      <c r="D2050" s="1">
        <v>0.54</v>
      </c>
      <c r="E2050" s="1" t="s">
        <v>113</v>
      </c>
      <c r="F2050" s="1" t="s">
        <v>113</v>
      </c>
      <c r="G2050" s="1" t="s">
        <v>113</v>
      </c>
      <c r="H2050" s="1" t="str">
        <f>VLOOKUP(F2050,Countries!$A$1:$B$161,2,0)</f>
        <v>United States of America</v>
      </c>
    </row>
    <row r="2051" spans="1:8" x14ac:dyDescent="0.3">
      <c r="A2051" s="3">
        <v>46256.743645833332</v>
      </c>
      <c r="B2051" s="1">
        <v>6.65</v>
      </c>
      <c r="C2051" s="1">
        <v>5.69</v>
      </c>
      <c r="D2051" s="1">
        <v>0.54</v>
      </c>
      <c r="E2051" s="1" t="s">
        <v>130</v>
      </c>
      <c r="F2051" s="1" t="s">
        <v>130</v>
      </c>
      <c r="G2051" s="1" t="s">
        <v>130</v>
      </c>
      <c r="H2051" s="1" t="str">
        <f>VLOOKUP(F2051,Countries!$A$1:$B$161,2,0)</f>
        <v>Australia</v>
      </c>
    </row>
    <row r="2052" spans="1:8" x14ac:dyDescent="0.3">
      <c r="A2052" s="3">
        <v>46256.741319444453</v>
      </c>
      <c r="B2052" s="1">
        <v>10.62</v>
      </c>
      <c r="C2052" s="1">
        <v>9.09</v>
      </c>
      <c r="D2052" s="1">
        <v>0.73</v>
      </c>
      <c r="E2052" s="1" t="s">
        <v>113</v>
      </c>
      <c r="F2052" s="1" t="s">
        <v>113</v>
      </c>
      <c r="G2052" s="1" t="s">
        <v>113</v>
      </c>
      <c r="H2052" s="1" t="str">
        <f>VLOOKUP(F2052,Countries!$A$1:$B$161,2,0)</f>
        <v>United States of America</v>
      </c>
    </row>
    <row r="2053" spans="1:8" x14ac:dyDescent="0.3">
      <c r="A2053" s="3">
        <v>46256.741203703707</v>
      </c>
      <c r="B2053" s="1">
        <v>6.37</v>
      </c>
      <c r="C2053" s="1">
        <v>5.45</v>
      </c>
      <c r="D2053" s="1">
        <v>0.54</v>
      </c>
      <c r="E2053" s="1" t="s">
        <v>113</v>
      </c>
      <c r="F2053" s="1" t="s">
        <v>113</v>
      </c>
      <c r="G2053" s="1" t="s">
        <v>113</v>
      </c>
      <c r="H2053" s="1" t="str">
        <f>VLOOKUP(F2053,Countries!$A$1:$B$161,2,0)</f>
        <v>United States of America</v>
      </c>
    </row>
    <row r="2054" spans="1:8" x14ac:dyDescent="0.3">
      <c r="A2054" s="3">
        <v>46256.738888888889</v>
      </c>
      <c r="B2054" s="1">
        <v>12.64</v>
      </c>
      <c r="C2054" s="1">
        <v>10.82</v>
      </c>
      <c r="D2054" s="1">
        <v>0.63</v>
      </c>
      <c r="E2054" s="1" t="s">
        <v>154</v>
      </c>
      <c r="F2054" s="1" t="s">
        <v>154</v>
      </c>
      <c r="G2054" s="1" t="s">
        <v>154</v>
      </c>
      <c r="H2054" s="1" t="str">
        <f>VLOOKUP(F2054,Countries!$A$1:$B$161,2,0)</f>
        <v>Belgium</v>
      </c>
    </row>
    <row r="2055" spans="1:8" x14ac:dyDescent="0.3">
      <c r="A2055" s="3">
        <v>46256.738541666673</v>
      </c>
      <c r="B2055" s="1">
        <v>6.37</v>
      </c>
      <c r="C2055" s="1">
        <v>5.45</v>
      </c>
      <c r="D2055" s="1">
        <v>0.54</v>
      </c>
      <c r="E2055" s="1" t="s">
        <v>113</v>
      </c>
      <c r="F2055" s="1" t="s">
        <v>113</v>
      </c>
      <c r="G2055" s="1" t="s">
        <v>113</v>
      </c>
      <c r="H2055" s="1" t="str">
        <f>VLOOKUP(F2055,Countries!$A$1:$B$161,2,0)</f>
        <v>United States of America</v>
      </c>
    </row>
    <row r="2056" spans="1:8" x14ac:dyDescent="0.3">
      <c r="A2056" s="3">
        <v>46256.736145833333</v>
      </c>
      <c r="B2056" s="1">
        <v>16.3</v>
      </c>
      <c r="C2056" s="1">
        <v>13.96</v>
      </c>
      <c r="D2056" s="1">
        <v>0.98</v>
      </c>
      <c r="E2056" s="1" t="s">
        <v>115</v>
      </c>
      <c r="F2056" s="1" t="s">
        <v>115</v>
      </c>
      <c r="G2056" s="1" t="s">
        <v>115</v>
      </c>
      <c r="H2056" s="1" t="str">
        <f>VLOOKUP(F2056,Countries!$A$1:$B$161,2,0)</f>
        <v>Switzerland</v>
      </c>
    </row>
    <row r="2057" spans="1:8" x14ac:dyDescent="0.3">
      <c r="A2057" s="3">
        <v>46256.734166666669</v>
      </c>
      <c r="B2057" s="1">
        <v>17.010000000000002</v>
      </c>
      <c r="C2057" s="1">
        <v>14.56</v>
      </c>
      <c r="D2057" s="1">
        <v>1.01</v>
      </c>
      <c r="E2057" s="1" t="s">
        <v>113</v>
      </c>
      <c r="F2057" s="1" t="s">
        <v>113</v>
      </c>
      <c r="G2057" s="1" t="s">
        <v>113</v>
      </c>
      <c r="H2057" s="1" t="str">
        <f>VLOOKUP(F2057,Countries!$A$1:$B$161,2,0)</f>
        <v>United States of America</v>
      </c>
    </row>
    <row r="2058" spans="1:8" x14ac:dyDescent="0.3">
      <c r="A2058" s="3">
        <v>46256.732534722221</v>
      </c>
      <c r="B2058" s="1">
        <v>6.37</v>
      </c>
      <c r="C2058" s="1">
        <v>5.45</v>
      </c>
      <c r="D2058" s="1">
        <v>0.54</v>
      </c>
      <c r="E2058" s="1" t="s">
        <v>113</v>
      </c>
      <c r="F2058" s="1" t="s">
        <v>113</v>
      </c>
      <c r="G2058" s="1" t="s">
        <v>113</v>
      </c>
      <c r="H2058" s="1" t="str">
        <f>VLOOKUP(F2058,Countries!$A$1:$B$161,2,0)</f>
        <v>United States of America</v>
      </c>
    </row>
    <row r="2059" spans="1:8" x14ac:dyDescent="0.3">
      <c r="A2059" s="3">
        <v>46256.729814814818</v>
      </c>
      <c r="B2059" s="1">
        <v>3.93</v>
      </c>
      <c r="C2059" s="1">
        <v>3.36</v>
      </c>
      <c r="D2059" s="1">
        <v>0.37</v>
      </c>
      <c r="E2059" s="1" t="s">
        <v>201</v>
      </c>
      <c r="F2059" s="1" t="s">
        <v>201</v>
      </c>
      <c r="G2059" s="1" t="s">
        <v>201</v>
      </c>
      <c r="H2059" s="1" t="str">
        <f>VLOOKUP(F2059,Countries!$A$1:$B$161,2,0)</f>
        <v>Greece</v>
      </c>
    </row>
    <row r="2060" spans="1:8" x14ac:dyDescent="0.3">
      <c r="A2060" s="3">
        <v>46256.723749999997</v>
      </c>
      <c r="B2060" s="1">
        <v>63.05</v>
      </c>
      <c r="C2060" s="1">
        <v>53.98</v>
      </c>
      <c r="D2060" s="1">
        <v>3.08</v>
      </c>
      <c r="E2060" s="1" t="s">
        <v>196</v>
      </c>
      <c r="F2060" s="1" t="s">
        <v>196</v>
      </c>
      <c r="G2060" s="1" t="s">
        <v>196</v>
      </c>
      <c r="H2060" s="1" t="str">
        <f>VLOOKUP(F2060,Countries!$A$1:$B$161,2,0)</f>
        <v>Kazakhstan</v>
      </c>
    </row>
    <row r="2061" spans="1:8" x14ac:dyDescent="0.3">
      <c r="A2061" s="3">
        <v>46256.716064814813</v>
      </c>
      <c r="B2061" s="1">
        <v>15.78</v>
      </c>
      <c r="C2061" s="1">
        <v>13.51</v>
      </c>
      <c r="D2061" s="1">
        <v>0.96</v>
      </c>
      <c r="E2061" s="1" t="s">
        <v>196</v>
      </c>
      <c r="F2061" s="1" t="s">
        <v>196</v>
      </c>
      <c r="G2061" s="1" t="s">
        <v>196</v>
      </c>
      <c r="H2061" s="1" t="str">
        <f>VLOOKUP(F2061,Countries!$A$1:$B$161,2,0)</f>
        <v>Kazakhstan</v>
      </c>
    </row>
    <row r="2062" spans="1:8" x14ac:dyDescent="0.3">
      <c r="A2062" s="3">
        <v>46256.714675925927</v>
      </c>
      <c r="B2062" s="1">
        <v>6.37</v>
      </c>
      <c r="C2062" s="1">
        <v>5.45</v>
      </c>
      <c r="D2062" s="1">
        <v>0.54</v>
      </c>
      <c r="E2062" s="1" t="s">
        <v>113</v>
      </c>
      <c r="F2062" s="1" t="s">
        <v>113</v>
      </c>
      <c r="G2062" s="1" t="s">
        <v>113</v>
      </c>
      <c r="H2062" s="1" t="str">
        <f>VLOOKUP(F2062,Countries!$A$1:$B$161,2,0)</f>
        <v>United States of America</v>
      </c>
    </row>
    <row r="2063" spans="1:8" x14ac:dyDescent="0.3">
      <c r="A2063" s="3">
        <v>46256.709351851852</v>
      </c>
      <c r="B2063" s="1">
        <v>15.78</v>
      </c>
      <c r="C2063" s="1">
        <v>13.51</v>
      </c>
      <c r="D2063" s="1">
        <v>0.96</v>
      </c>
      <c r="E2063" s="1" t="s">
        <v>196</v>
      </c>
      <c r="F2063" s="1" t="s">
        <v>196</v>
      </c>
      <c r="G2063" s="1" t="s">
        <v>196</v>
      </c>
      <c r="H2063" s="1" t="str">
        <f>VLOOKUP(F2063,Countries!$A$1:$B$161,2,0)</f>
        <v>Kazakhstan</v>
      </c>
    </row>
    <row r="2064" spans="1:8" x14ac:dyDescent="0.3">
      <c r="A2064" s="3">
        <v>46256.70789351852</v>
      </c>
      <c r="B2064" s="1">
        <v>14.77</v>
      </c>
      <c r="C2064" s="1">
        <v>12.65</v>
      </c>
      <c r="D2064" s="1">
        <v>0.91</v>
      </c>
      <c r="E2064" s="1" t="s">
        <v>113</v>
      </c>
      <c r="F2064" s="1" t="s">
        <v>113</v>
      </c>
      <c r="G2064" s="1" t="s">
        <v>113</v>
      </c>
      <c r="H2064" s="1" t="str">
        <f>VLOOKUP(F2064,Countries!$A$1:$B$161,2,0)</f>
        <v>United States of America</v>
      </c>
    </row>
    <row r="2065" spans="1:8" x14ac:dyDescent="0.3">
      <c r="A2065" s="3">
        <v>46256.705000000002</v>
      </c>
      <c r="B2065" s="1">
        <v>15.78</v>
      </c>
      <c r="C2065" s="1">
        <v>13.51</v>
      </c>
      <c r="D2065" s="1">
        <v>0.96</v>
      </c>
      <c r="E2065" s="1" t="s">
        <v>196</v>
      </c>
      <c r="F2065" s="1" t="s">
        <v>196</v>
      </c>
      <c r="G2065" s="1" t="s">
        <v>196</v>
      </c>
      <c r="H2065" s="1" t="str">
        <f>VLOOKUP(F2065,Countries!$A$1:$B$161,2,0)</f>
        <v>Kazakhstan</v>
      </c>
    </row>
    <row r="2066" spans="1:8" x14ac:dyDescent="0.3">
      <c r="A2066" s="3">
        <v>46256.702465277784</v>
      </c>
      <c r="B2066" s="1">
        <v>1.99</v>
      </c>
      <c r="C2066" s="1">
        <v>1.7</v>
      </c>
      <c r="D2066" s="1">
        <v>0.31</v>
      </c>
      <c r="E2066" s="1" t="s">
        <v>159</v>
      </c>
      <c r="F2066" s="1" t="s">
        <v>159</v>
      </c>
      <c r="G2066" s="1" t="s">
        <v>159</v>
      </c>
      <c r="H2066" s="1" t="str">
        <f>VLOOKUP(F2066,Countries!$A$1:$B$161,2,0)</f>
        <v>Romania</v>
      </c>
    </row>
    <row r="2067" spans="1:8" x14ac:dyDescent="0.3">
      <c r="A2067" s="3">
        <v>46256.700995370367</v>
      </c>
      <c r="B2067" s="1">
        <v>17.010000000000002</v>
      </c>
      <c r="C2067" s="1">
        <v>14.56</v>
      </c>
      <c r="D2067" s="1">
        <v>1.01</v>
      </c>
      <c r="E2067" s="1" t="s">
        <v>113</v>
      </c>
      <c r="F2067" s="1" t="s">
        <v>113</v>
      </c>
      <c r="G2067" s="1" t="s">
        <v>113</v>
      </c>
      <c r="H2067" s="1" t="str">
        <f>VLOOKUP(F2067,Countries!$A$1:$B$161,2,0)</f>
        <v>United States of America</v>
      </c>
    </row>
    <row r="2068" spans="1:8" x14ac:dyDescent="0.3">
      <c r="A2068" s="3">
        <v>46256.699537037042</v>
      </c>
      <c r="B2068" s="1">
        <v>6.37</v>
      </c>
      <c r="C2068" s="1">
        <v>5.45</v>
      </c>
      <c r="D2068" s="1">
        <v>0.54</v>
      </c>
      <c r="E2068" s="1" t="s">
        <v>113</v>
      </c>
      <c r="F2068" s="1" t="s">
        <v>113</v>
      </c>
      <c r="G2068" s="1" t="s">
        <v>113</v>
      </c>
      <c r="H2068" s="1" t="str">
        <f>VLOOKUP(F2068,Countries!$A$1:$B$161,2,0)</f>
        <v>United States of America</v>
      </c>
    </row>
    <row r="2069" spans="1:8" x14ac:dyDescent="0.3">
      <c r="A2069" s="3">
        <v>46256.694930555554</v>
      </c>
      <c r="B2069" s="1">
        <v>15.78</v>
      </c>
      <c r="C2069" s="1">
        <v>13.51</v>
      </c>
      <c r="D2069" s="1">
        <v>0.96</v>
      </c>
      <c r="E2069" s="1" t="s">
        <v>196</v>
      </c>
      <c r="F2069" s="1" t="s">
        <v>196</v>
      </c>
      <c r="G2069" s="1" t="s">
        <v>196</v>
      </c>
      <c r="H2069" s="1" t="str">
        <f>VLOOKUP(F2069,Countries!$A$1:$B$161,2,0)</f>
        <v>Kazakhstan</v>
      </c>
    </row>
    <row r="2070" spans="1:8" x14ac:dyDescent="0.3">
      <c r="A2070" s="3">
        <v>46256.687928240739</v>
      </c>
      <c r="B2070" s="1">
        <v>6.37</v>
      </c>
      <c r="C2070" s="1">
        <v>5.45</v>
      </c>
      <c r="D2070" s="1">
        <v>0.54</v>
      </c>
      <c r="E2070" s="1" t="s">
        <v>113</v>
      </c>
      <c r="F2070" s="1" t="s">
        <v>113</v>
      </c>
      <c r="G2070" s="1" t="s">
        <v>113</v>
      </c>
      <c r="H2070" s="1" t="str">
        <f>VLOOKUP(F2070,Countries!$A$1:$B$161,2,0)</f>
        <v>United States of America</v>
      </c>
    </row>
    <row r="2071" spans="1:8" x14ac:dyDescent="0.3">
      <c r="A2071" s="3">
        <v>46256.683819444443</v>
      </c>
      <c r="B2071" s="1">
        <v>14.77</v>
      </c>
      <c r="C2071" s="1">
        <v>12.65</v>
      </c>
      <c r="D2071" s="1">
        <v>0.91</v>
      </c>
      <c r="E2071" s="1" t="s">
        <v>113</v>
      </c>
      <c r="F2071" s="1" t="s">
        <v>113</v>
      </c>
      <c r="G2071" s="1" t="s">
        <v>113</v>
      </c>
      <c r="H2071" s="1" t="str">
        <f>VLOOKUP(F2071,Countries!$A$1:$B$161,2,0)</f>
        <v>United States of America</v>
      </c>
    </row>
    <row r="2072" spans="1:8" x14ac:dyDescent="0.3">
      <c r="A2072" s="3">
        <v>46256.68273148148</v>
      </c>
      <c r="B2072" s="1">
        <v>22.18</v>
      </c>
      <c r="C2072" s="1">
        <v>18.989999999999998</v>
      </c>
      <c r="D2072" s="1">
        <v>1.25</v>
      </c>
      <c r="E2072" s="1" t="s">
        <v>113</v>
      </c>
      <c r="F2072" s="1" t="s">
        <v>113</v>
      </c>
      <c r="G2072" s="1" t="s">
        <v>113</v>
      </c>
      <c r="H2072" s="1" t="str">
        <f>VLOOKUP(F2072,Countries!$A$1:$B$161,2,0)</f>
        <v>United States of America</v>
      </c>
    </row>
    <row r="2073" spans="1:8" x14ac:dyDescent="0.3">
      <c r="A2073" s="3">
        <v>46256.680231481478</v>
      </c>
      <c r="B2073" s="1">
        <v>22.18</v>
      </c>
      <c r="C2073" s="1">
        <v>18.989999999999998</v>
      </c>
      <c r="D2073" s="1">
        <v>1.25</v>
      </c>
      <c r="E2073" s="1" t="s">
        <v>113</v>
      </c>
      <c r="F2073" s="1" t="s">
        <v>113</v>
      </c>
      <c r="G2073" s="1" t="s">
        <v>113</v>
      </c>
      <c r="H2073" s="1" t="str">
        <f>VLOOKUP(F2073,Countries!$A$1:$B$161,2,0)</f>
        <v>United States of America</v>
      </c>
    </row>
    <row r="2074" spans="1:8" x14ac:dyDescent="0.3">
      <c r="A2074" s="3">
        <v>46256.677430555559</v>
      </c>
      <c r="B2074" s="1">
        <v>14.77</v>
      </c>
      <c r="C2074" s="1">
        <v>12.65</v>
      </c>
      <c r="D2074" s="1">
        <v>0.91</v>
      </c>
      <c r="E2074" s="1" t="s">
        <v>113</v>
      </c>
      <c r="F2074" s="1" t="s">
        <v>113</v>
      </c>
      <c r="G2074" s="1" t="s">
        <v>113</v>
      </c>
      <c r="H2074" s="1" t="str">
        <f>VLOOKUP(F2074,Countries!$A$1:$B$161,2,0)</f>
        <v>United States of America</v>
      </c>
    </row>
    <row r="2075" spans="1:8" x14ac:dyDescent="0.3">
      <c r="A2075" s="3">
        <v>46256.675625000003</v>
      </c>
      <c r="B2075" s="1">
        <v>7.98</v>
      </c>
      <c r="C2075" s="1">
        <v>6.83</v>
      </c>
      <c r="D2075" s="1">
        <v>0.49</v>
      </c>
      <c r="E2075" s="1" t="s">
        <v>178</v>
      </c>
      <c r="F2075" s="1" t="s">
        <v>178</v>
      </c>
      <c r="G2075" s="1" t="s">
        <v>178</v>
      </c>
      <c r="H2075" s="1" t="str">
        <f>VLOOKUP(F2075,Countries!$A$1:$B$161,2,0)</f>
        <v>Sweden</v>
      </c>
    </row>
    <row r="2076" spans="1:8" x14ac:dyDescent="0.3">
      <c r="A2076" s="3">
        <v>46256.674386574072</v>
      </c>
      <c r="B2076" s="1">
        <v>15.99</v>
      </c>
      <c r="C2076" s="1">
        <v>13.69</v>
      </c>
      <c r="D2076" s="1">
        <v>0.96</v>
      </c>
      <c r="E2076" s="1" t="s">
        <v>113</v>
      </c>
      <c r="F2076" s="1" t="s">
        <v>113</v>
      </c>
      <c r="G2076" s="1" t="s">
        <v>113</v>
      </c>
      <c r="H2076" s="1" t="str">
        <f>VLOOKUP(F2076,Countries!$A$1:$B$161,2,0)</f>
        <v>United States of America</v>
      </c>
    </row>
    <row r="2077" spans="1:8" x14ac:dyDescent="0.3">
      <c r="A2077" s="3">
        <v>46256.662037037036</v>
      </c>
      <c r="B2077" s="1">
        <v>29.57</v>
      </c>
      <c r="C2077" s="1">
        <v>25.32</v>
      </c>
      <c r="D2077" s="1">
        <v>1.58</v>
      </c>
      <c r="E2077" s="1" t="s">
        <v>113</v>
      </c>
      <c r="F2077" s="1" t="s">
        <v>113</v>
      </c>
      <c r="G2077" s="1" t="s">
        <v>113</v>
      </c>
      <c r="H2077" s="1" t="str">
        <f>VLOOKUP(F2077,Countries!$A$1:$B$161,2,0)</f>
        <v>United States of America</v>
      </c>
    </row>
    <row r="2078" spans="1:8" x14ac:dyDescent="0.3">
      <c r="A2078" s="3">
        <v>46256.661539351851</v>
      </c>
      <c r="B2078" s="1">
        <v>17.010000000000002</v>
      </c>
      <c r="C2078" s="1">
        <v>14.56</v>
      </c>
      <c r="D2078" s="1">
        <v>1.01</v>
      </c>
      <c r="E2078" s="1" t="s">
        <v>113</v>
      </c>
      <c r="F2078" s="1" t="s">
        <v>113</v>
      </c>
      <c r="G2078" s="1" t="s">
        <v>113</v>
      </c>
      <c r="H2078" s="1" t="str">
        <f>VLOOKUP(F2078,Countries!$A$1:$B$161,2,0)</f>
        <v>United States of America</v>
      </c>
    </row>
    <row r="2079" spans="1:8" x14ac:dyDescent="0.3">
      <c r="A2079" s="3">
        <v>46256.658900462957</v>
      </c>
      <c r="B2079" s="1">
        <v>6.37</v>
      </c>
      <c r="C2079" s="1">
        <v>5.45</v>
      </c>
      <c r="D2079" s="1">
        <v>0.54</v>
      </c>
      <c r="E2079" s="1" t="s">
        <v>200</v>
      </c>
      <c r="F2079" s="1" t="s">
        <v>200</v>
      </c>
      <c r="G2079" s="1" t="s">
        <v>200</v>
      </c>
      <c r="H2079" s="1" t="str">
        <f>VLOOKUP(F2079,Countries!$A$1:$B$161,2,0)</f>
        <v>Iraq</v>
      </c>
    </row>
    <row r="2080" spans="1:8" x14ac:dyDescent="0.3">
      <c r="A2080" s="3">
        <v>46256.653263888889</v>
      </c>
      <c r="B2080" s="1">
        <v>10.85</v>
      </c>
      <c r="C2080" s="1">
        <v>9.2899999999999991</v>
      </c>
      <c r="D2080" s="1">
        <v>0.74</v>
      </c>
      <c r="E2080" s="1" t="s">
        <v>115</v>
      </c>
      <c r="F2080" s="1" t="s">
        <v>115</v>
      </c>
      <c r="G2080" s="1" t="s">
        <v>115</v>
      </c>
      <c r="H2080" s="1" t="str">
        <f>VLOOKUP(F2080,Countries!$A$1:$B$161,2,0)</f>
        <v>Switzerland</v>
      </c>
    </row>
    <row r="2081" spans="1:8" x14ac:dyDescent="0.3">
      <c r="A2081" s="3">
        <v>46256.651956018519</v>
      </c>
      <c r="B2081" s="1">
        <v>6.37</v>
      </c>
      <c r="C2081" s="1">
        <v>5.45</v>
      </c>
      <c r="D2081" s="1">
        <v>0.54</v>
      </c>
      <c r="E2081" s="1" t="s">
        <v>113</v>
      </c>
      <c r="F2081" s="1" t="s">
        <v>113</v>
      </c>
      <c r="G2081" s="1" t="s">
        <v>113</v>
      </c>
      <c r="H2081" s="1" t="str">
        <f>VLOOKUP(F2081,Countries!$A$1:$B$161,2,0)</f>
        <v>United States of America</v>
      </c>
    </row>
    <row r="2082" spans="1:8" x14ac:dyDescent="0.3">
      <c r="A2082" s="3">
        <v>46256.651736111111</v>
      </c>
      <c r="B2082" s="1">
        <v>19.559999999999999</v>
      </c>
      <c r="C2082" s="1">
        <v>16.75</v>
      </c>
      <c r="D2082" s="1">
        <v>1.1299999999999999</v>
      </c>
      <c r="E2082" s="1" t="s">
        <v>115</v>
      </c>
      <c r="F2082" s="1" t="s">
        <v>115</v>
      </c>
      <c r="G2082" s="1" t="s">
        <v>115</v>
      </c>
      <c r="H2082" s="1" t="str">
        <f>VLOOKUP(F2082,Countries!$A$1:$B$161,2,0)</f>
        <v>Switzerland</v>
      </c>
    </row>
    <row r="2083" spans="1:8" x14ac:dyDescent="0.3">
      <c r="A2083" s="3">
        <v>46256.651724537027</v>
      </c>
      <c r="B2083" s="1">
        <v>2.09</v>
      </c>
      <c r="C2083" s="1">
        <v>1.79</v>
      </c>
      <c r="D2083" s="1">
        <v>0.35</v>
      </c>
      <c r="E2083" s="1" t="s">
        <v>132</v>
      </c>
      <c r="F2083" s="1" t="s">
        <v>132</v>
      </c>
      <c r="G2083" s="1" t="s">
        <v>132</v>
      </c>
      <c r="H2083" s="1" t="str">
        <f>VLOOKUP(F2083,Countries!$A$1:$B$161,2,0)</f>
        <v>Canada</v>
      </c>
    </row>
    <row r="2084" spans="1:8" x14ac:dyDescent="0.3">
      <c r="A2084" s="3">
        <v>46256.64744212963</v>
      </c>
      <c r="B2084" s="1">
        <v>6.37</v>
      </c>
      <c r="C2084" s="1">
        <v>5.45</v>
      </c>
      <c r="D2084" s="1">
        <v>0.54</v>
      </c>
      <c r="E2084" s="1" t="s">
        <v>113</v>
      </c>
      <c r="F2084" s="1" t="s">
        <v>113</v>
      </c>
      <c r="G2084" s="1" t="s">
        <v>113</v>
      </c>
      <c r="H2084" s="1" t="str">
        <f>VLOOKUP(F2084,Countries!$A$1:$B$161,2,0)</f>
        <v>United States of America</v>
      </c>
    </row>
    <row r="2085" spans="1:8" x14ac:dyDescent="0.3">
      <c r="A2085" s="3">
        <v>46256.64539351852</v>
      </c>
      <c r="B2085" s="1">
        <v>2.11</v>
      </c>
      <c r="C2085" s="1">
        <v>1.81</v>
      </c>
      <c r="D2085" s="1">
        <v>0.35</v>
      </c>
      <c r="E2085" s="1" t="s">
        <v>113</v>
      </c>
      <c r="F2085" s="1" t="s">
        <v>113</v>
      </c>
      <c r="G2085" s="1" t="s">
        <v>113</v>
      </c>
      <c r="H2085" s="1" t="str">
        <f>VLOOKUP(F2085,Countries!$A$1:$B$161,2,0)</f>
        <v>United States of America</v>
      </c>
    </row>
    <row r="2086" spans="1:8" x14ac:dyDescent="0.3">
      <c r="A2086" s="3">
        <v>46256.643460648149</v>
      </c>
      <c r="B2086" s="1">
        <v>15.99</v>
      </c>
      <c r="C2086" s="1">
        <v>13.69</v>
      </c>
      <c r="D2086" s="1">
        <v>0.96</v>
      </c>
      <c r="E2086" s="1" t="s">
        <v>113</v>
      </c>
      <c r="F2086" s="1" t="s">
        <v>113</v>
      </c>
      <c r="G2086" s="1" t="s">
        <v>113</v>
      </c>
      <c r="H2086" s="1" t="str">
        <f>VLOOKUP(F2086,Countries!$A$1:$B$161,2,0)</f>
        <v>United States of America</v>
      </c>
    </row>
    <row r="2087" spans="1:8" x14ac:dyDescent="0.3">
      <c r="A2087" s="3">
        <v>46256.6403125</v>
      </c>
      <c r="B2087" s="1">
        <v>2.11</v>
      </c>
      <c r="C2087" s="1">
        <v>1.81</v>
      </c>
      <c r="D2087" s="1">
        <v>0.35</v>
      </c>
      <c r="E2087" s="1" t="s">
        <v>113</v>
      </c>
      <c r="F2087" s="1" t="s">
        <v>113</v>
      </c>
      <c r="G2087" s="1" t="s">
        <v>113</v>
      </c>
      <c r="H2087" s="1" t="str">
        <f>VLOOKUP(F2087,Countries!$A$1:$B$161,2,0)</f>
        <v>United States of America</v>
      </c>
    </row>
    <row r="2088" spans="1:8" x14ac:dyDescent="0.3">
      <c r="A2088" s="3">
        <v>46256.633715277778</v>
      </c>
      <c r="B2088" s="1">
        <v>6.3</v>
      </c>
      <c r="C2088" s="1">
        <v>5.39</v>
      </c>
      <c r="D2088" s="1">
        <v>0.54</v>
      </c>
      <c r="E2088" s="1" t="s">
        <v>132</v>
      </c>
      <c r="F2088" s="1" t="s">
        <v>132</v>
      </c>
      <c r="G2088" s="1" t="s">
        <v>132</v>
      </c>
      <c r="H2088" s="1" t="str">
        <f>VLOOKUP(F2088,Countries!$A$1:$B$161,2,0)</f>
        <v>Canada</v>
      </c>
    </row>
    <row r="2089" spans="1:8" x14ac:dyDescent="0.3">
      <c r="A2089" s="3">
        <v>46256.632673611108</v>
      </c>
      <c r="B2089" s="1">
        <v>1.05</v>
      </c>
      <c r="C2089" s="1">
        <v>0.9</v>
      </c>
      <c r="D2089" s="1">
        <v>0.3</v>
      </c>
      <c r="E2089" s="1" t="s">
        <v>113</v>
      </c>
      <c r="F2089" s="1" t="s">
        <v>113</v>
      </c>
      <c r="G2089" s="1" t="s">
        <v>113</v>
      </c>
      <c r="H2089" s="1" t="str">
        <f>VLOOKUP(F2089,Countries!$A$1:$B$161,2,0)</f>
        <v>United States of America</v>
      </c>
    </row>
    <row r="2090" spans="1:8" x14ac:dyDescent="0.3">
      <c r="A2090" s="3">
        <v>46256.632164351853</v>
      </c>
      <c r="B2090" s="1">
        <v>1.05</v>
      </c>
      <c r="C2090" s="1">
        <v>0.9</v>
      </c>
      <c r="D2090" s="1">
        <v>0.3</v>
      </c>
      <c r="E2090" s="1" t="s">
        <v>113</v>
      </c>
      <c r="F2090" s="1" t="s">
        <v>113</v>
      </c>
      <c r="G2090" s="1" t="s">
        <v>113</v>
      </c>
      <c r="H2090" s="1" t="str">
        <f>VLOOKUP(F2090,Countries!$A$1:$B$161,2,0)</f>
        <v>United States of America</v>
      </c>
    </row>
    <row r="2091" spans="1:8" x14ac:dyDescent="0.3">
      <c r="A2091" s="3">
        <v>46256.616261574083</v>
      </c>
      <c r="B2091" s="1">
        <v>6.37</v>
      </c>
      <c r="C2091" s="1">
        <v>5.45</v>
      </c>
      <c r="D2091" s="1">
        <v>0.54</v>
      </c>
      <c r="E2091" s="1" t="s">
        <v>113</v>
      </c>
      <c r="F2091" s="1" t="s">
        <v>113</v>
      </c>
      <c r="G2091" s="1" t="s">
        <v>113</v>
      </c>
      <c r="H2091" s="1" t="str">
        <f>VLOOKUP(F2091,Countries!$A$1:$B$161,2,0)</f>
        <v>United States of America</v>
      </c>
    </row>
    <row r="2092" spans="1:8" x14ac:dyDescent="0.3">
      <c r="A2092" s="3">
        <v>46256.60765046296</v>
      </c>
      <c r="B2092" s="1">
        <v>80.19</v>
      </c>
      <c r="C2092" s="1">
        <v>68.66</v>
      </c>
      <c r="D2092" s="1">
        <v>2.65</v>
      </c>
      <c r="E2092" s="1" t="s">
        <v>113</v>
      </c>
      <c r="F2092" s="1" t="s">
        <v>113</v>
      </c>
      <c r="G2092" s="1" t="s">
        <v>113</v>
      </c>
      <c r="H2092" s="1" t="str">
        <f>VLOOKUP(F2092,Countries!$A$1:$B$161,2,0)</f>
        <v>United States of America</v>
      </c>
    </row>
    <row r="2093" spans="1:8" x14ac:dyDescent="0.3">
      <c r="A2093" s="3">
        <v>46256.605590277781</v>
      </c>
      <c r="B2093" s="1">
        <v>17.8</v>
      </c>
      <c r="C2093" s="1">
        <v>15.24</v>
      </c>
      <c r="D2093" s="1">
        <v>0.78</v>
      </c>
      <c r="E2093" s="1" t="s">
        <v>113</v>
      </c>
      <c r="F2093" s="1" t="s">
        <v>113</v>
      </c>
      <c r="G2093" s="1" t="s">
        <v>113</v>
      </c>
      <c r="H2093" s="1" t="str">
        <f>VLOOKUP(F2093,Countries!$A$1:$B$161,2,0)</f>
        <v>United States of America</v>
      </c>
    </row>
    <row r="2094" spans="1:8" x14ac:dyDescent="0.3">
      <c r="A2094" s="3">
        <v>46256.591863425929</v>
      </c>
      <c r="B2094" s="1">
        <v>44.55</v>
      </c>
      <c r="C2094" s="1">
        <v>38.14</v>
      </c>
      <c r="D2094" s="1">
        <v>1.58</v>
      </c>
      <c r="E2094" s="1" t="s">
        <v>113</v>
      </c>
      <c r="F2094" s="1" t="s">
        <v>113</v>
      </c>
      <c r="G2094" s="1" t="s">
        <v>113</v>
      </c>
      <c r="H2094" s="1" t="str">
        <f>VLOOKUP(F2094,Countries!$A$1:$B$161,2,0)</f>
        <v>United States of America</v>
      </c>
    </row>
    <row r="2095" spans="1:8" x14ac:dyDescent="0.3">
      <c r="A2095" s="3">
        <v>46256.583437499998</v>
      </c>
      <c r="B2095" s="1">
        <v>7.67</v>
      </c>
      <c r="C2095" s="1">
        <v>6.57</v>
      </c>
      <c r="D2095" s="1">
        <v>0.48</v>
      </c>
      <c r="E2095" s="1" t="s">
        <v>113</v>
      </c>
      <c r="F2095" s="1" t="s">
        <v>113</v>
      </c>
      <c r="G2095" s="1" t="s">
        <v>113</v>
      </c>
      <c r="H2095" s="1" t="str">
        <f>VLOOKUP(F2095,Countries!$A$1:$B$161,2,0)</f>
        <v>United States of America</v>
      </c>
    </row>
    <row r="2096" spans="1:8" x14ac:dyDescent="0.3">
      <c r="A2096" s="3">
        <v>46256.581400462957</v>
      </c>
      <c r="B2096" s="1">
        <v>14.77</v>
      </c>
      <c r="C2096" s="1">
        <v>12.65</v>
      </c>
      <c r="D2096" s="1">
        <v>0.91</v>
      </c>
      <c r="E2096" s="1" t="s">
        <v>113</v>
      </c>
      <c r="F2096" s="1" t="s">
        <v>113</v>
      </c>
      <c r="G2096" s="1" t="s">
        <v>113</v>
      </c>
      <c r="H2096" s="1" t="str">
        <f>VLOOKUP(F2096,Countries!$A$1:$B$161,2,0)</f>
        <v>United States of America</v>
      </c>
    </row>
    <row r="2097" spans="1:8" x14ac:dyDescent="0.3">
      <c r="A2097" s="3">
        <v>46256.576655092591</v>
      </c>
      <c r="B2097" s="1">
        <v>6.37</v>
      </c>
      <c r="C2097" s="1">
        <v>5.45</v>
      </c>
      <c r="D2097" s="1">
        <v>0.54</v>
      </c>
      <c r="E2097" s="1" t="s">
        <v>113</v>
      </c>
      <c r="F2097" s="1" t="s">
        <v>113</v>
      </c>
      <c r="G2097" s="1" t="s">
        <v>113</v>
      </c>
      <c r="H2097" s="1" t="str">
        <f>VLOOKUP(F2097,Countries!$A$1:$B$161,2,0)</f>
        <v>United States of America</v>
      </c>
    </row>
    <row r="2098" spans="1:8" x14ac:dyDescent="0.3">
      <c r="A2098" s="3">
        <v>46256.575057870366</v>
      </c>
      <c r="B2098" s="1">
        <v>12.64</v>
      </c>
      <c r="C2098" s="1">
        <v>10.82</v>
      </c>
      <c r="D2098" s="1">
        <v>0.63</v>
      </c>
      <c r="E2098" s="1" t="s">
        <v>154</v>
      </c>
      <c r="F2098" s="1" t="s">
        <v>154</v>
      </c>
      <c r="G2098" s="1" t="s">
        <v>154</v>
      </c>
      <c r="H2098" s="1" t="str">
        <f>VLOOKUP(F2098,Countries!$A$1:$B$161,2,0)</f>
        <v>Belgium</v>
      </c>
    </row>
    <row r="2099" spans="1:8" x14ac:dyDescent="0.3">
      <c r="A2099" s="3">
        <v>46256.567488425928</v>
      </c>
      <c r="B2099" s="1">
        <v>12.64</v>
      </c>
      <c r="C2099" s="1">
        <v>10.82</v>
      </c>
      <c r="D2099" s="1">
        <v>0.63</v>
      </c>
      <c r="E2099" s="1" t="s">
        <v>154</v>
      </c>
      <c r="F2099" s="1" t="s">
        <v>154</v>
      </c>
      <c r="G2099" s="1" t="s">
        <v>154</v>
      </c>
      <c r="H2099" s="1" t="str">
        <f>VLOOKUP(F2099,Countries!$A$1:$B$161,2,0)</f>
        <v>Belgium</v>
      </c>
    </row>
    <row r="2100" spans="1:8" x14ac:dyDescent="0.3">
      <c r="A2100" s="3">
        <v>46256.566030092603</v>
      </c>
      <c r="B2100" s="1">
        <v>20.76</v>
      </c>
      <c r="C2100" s="1">
        <v>17.78</v>
      </c>
      <c r="D2100" s="1">
        <v>0.88</v>
      </c>
      <c r="E2100" s="1" t="s">
        <v>137</v>
      </c>
      <c r="F2100" s="1" t="s">
        <v>137</v>
      </c>
      <c r="G2100" s="1" t="s">
        <v>137</v>
      </c>
      <c r="H2100" s="1" t="str">
        <f>VLOOKUP(F2100,Countries!$A$1:$B$161,2,0)</f>
        <v>Poland</v>
      </c>
    </row>
    <row r="2101" spans="1:8" x14ac:dyDescent="0.3">
      <c r="A2101" s="3">
        <v>46256.564664351848</v>
      </c>
      <c r="B2101" s="1">
        <v>7.99</v>
      </c>
      <c r="C2101" s="1">
        <v>6.84</v>
      </c>
      <c r="D2101" s="1">
        <v>0.49</v>
      </c>
      <c r="E2101" s="1" t="s">
        <v>125</v>
      </c>
      <c r="F2101" s="1" t="s">
        <v>125</v>
      </c>
      <c r="G2101" s="1" t="s">
        <v>125</v>
      </c>
      <c r="H2101" s="1" t="str">
        <f>VLOOKUP(F2101,Countries!$A$1:$B$161,2,0)</f>
        <v>Norway</v>
      </c>
    </row>
    <row r="2102" spans="1:8" x14ac:dyDescent="0.3">
      <c r="A2102" s="3">
        <v>46256.561944444453</v>
      </c>
      <c r="B2102" s="1">
        <v>12.64</v>
      </c>
      <c r="C2102" s="1">
        <v>10.82</v>
      </c>
      <c r="D2102" s="1">
        <v>0.63</v>
      </c>
      <c r="E2102" s="1" t="s">
        <v>154</v>
      </c>
      <c r="F2102" s="1" t="s">
        <v>154</v>
      </c>
      <c r="G2102" s="1" t="s">
        <v>154</v>
      </c>
      <c r="H2102" s="1" t="str">
        <f>VLOOKUP(F2102,Countries!$A$1:$B$161,2,0)</f>
        <v>Belgium</v>
      </c>
    </row>
    <row r="2103" spans="1:8" x14ac:dyDescent="0.3">
      <c r="A2103" s="3">
        <v>46256.552534722221</v>
      </c>
      <c r="B2103" s="1">
        <v>6.37</v>
      </c>
      <c r="C2103" s="1">
        <v>5.45</v>
      </c>
      <c r="D2103" s="1">
        <v>0.54</v>
      </c>
      <c r="E2103" s="1" t="s">
        <v>113</v>
      </c>
      <c r="F2103" s="1" t="s">
        <v>113</v>
      </c>
      <c r="G2103" s="1" t="s">
        <v>113</v>
      </c>
      <c r="H2103" s="1" t="str">
        <f>VLOOKUP(F2103,Countries!$A$1:$B$161,2,0)</f>
        <v>United States of America</v>
      </c>
    </row>
    <row r="2104" spans="1:8" x14ac:dyDescent="0.3">
      <c r="A2104" s="3">
        <v>46256.550162037027</v>
      </c>
      <c r="B2104" s="1">
        <v>6.65</v>
      </c>
      <c r="C2104" s="1">
        <v>5.69</v>
      </c>
      <c r="D2104" s="1">
        <v>0.54</v>
      </c>
      <c r="E2104" s="1" t="s">
        <v>121</v>
      </c>
      <c r="F2104" s="1" t="s">
        <v>121</v>
      </c>
      <c r="G2104" s="1" t="s">
        <v>121</v>
      </c>
      <c r="H2104" s="1" t="str">
        <f>VLOOKUP(F2104,Countries!$A$1:$B$161,2,0)</f>
        <v>Japan</v>
      </c>
    </row>
    <row r="2105" spans="1:8" x14ac:dyDescent="0.3">
      <c r="A2105" s="3">
        <v>46256.536782407413</v>
      </c>
      <c r="B2105" s="1">
        <v>2.99</v>
      </c>
      <c r="C2105" s="1">
        <v>2.56</v>
      </c>
      <c r="D2105" s="1">
        <v>0.38</v>
      </c>
      <c r="E2105" s="1" t="s">
        <v>150</v>
      </c>
      <c r="F2105" s="1" t="s">
        <v>150</v>
      </c>
      <c r="G2105" s="1" t="s">
        <v>150</v>
      </c>
      <c r="H2105" s="1" t="str">
        <f>VLOOKUP(F2105,Countries!$A$1:$B$161,2,0)</f>
        <v>El Salvador</v>
      </c>
    </row>
    <row r="2106" spans="1:8" x14ac:dyDescent="0.3">
      <c r="A2106" s="3">
        <v>46256.53361111111</v>
      </c>
      <c r="B2106" s="1">
        <v>7.48</v>
      </c>
      <c r="C2106" s="1">
        <v>6.4</v>
      </c>
      <c r="D2106" s="1">
        <v>0.54</v>
      </c>
      <c r="E2106" s="1" t="s">
        <v>119</v>
      </c>
      <c r="F2106" s="1" t="s">
        <v>119</v>
      </c>
      <c r="G2106" s="1" t="s">
        <v>119</v>
      </c>
      <c r="H2106" s="1" t="str">
        <f>VLOOKUP(F2106,Countries!$A$1:$B$161,2,0)</f>
        <v>Great Britain (United Kingdom)</v>
      </c>
    </row>
    <row r="2107" spans="1:8" x14ac:dyDescent="0.3">
      <c r="A2107" s="3">
        <v>46256.521770833337</v>
      </c>
      <c r="B2107" s="1">
        <v>6.37</v>
      </c>
      <c r="C2107" s="1">
        <v>5.45</v>
      </c>
      <c r="D2107" s="1">
        <v>0.54</v>
      </c>
      <c r="E2107" s="1" t="s">
        <v>113</v>
      </c>
      <c r="F2107" s="1" t="s">
        <v>113</v>
      </c>
      <c r="G2107" s="1" t="s">
        <v>113</v>
      </c>
      <c r="H2107" s="1" t="str">
        <f>VLOOKUP(F2107,Countries!$A$1:$B$161,2,0)</f>
        <v>United States of America</v>
      </c>
    </row>
    <row r="2108" spans="1:8" x14ac:dyDescent="0.3">
      <c r="A2108" s="3">
        <v>46256.518680555557</v>
      </c>
      <c r="B2108" s="1">
        <v>3.39</v>
      </c>
      <c r="C2108" s="1">
        <v>2.9</v>
      </c>
      <c r="D2108" s="1">
        <v>0.4</v>
      </c>
      <c r="E2108" s="1" t="s">
        <v>114</v>
      </c>
      <c r="F2108" s="1" t="s">
        <v>114</v>
      </c>
      <c r="G2108" s="1" t="s">
        <v>114</v>
      </c>
      <c r="H2108" s="1" t="str">
        <f>VLOOKUP(F2108,Countries!$A$1:$B$161,2,0)</f>
        <v>Philippines</v>
      </c>
    </row>
    <row r="2109" spans="1:8" x14ac:dyDescent="0.3">
      <c r="A2109" s="3">
        <v>46256.515162037038</v>
      </c>
      <c r="B2109" s="1">
        <v>59.03</v>
      </c>
      <c r="C2109" s="1">
        <v>50.54</v>
      </c>
      <c r="D2109" s="1">
        <v>2.9</v>
      </c>
      <c r="E2109" s="1" t="s">
        <v>113</v>
      </c>
      <c r="F2109" s="1" t="s">
        <v>113</v>
      </c>
      <c r="G2109" s="1" t="s">
        <v>113</v>
      </c>
      <c r="H2109" s="1" t="str">
        <f>VLOOKUP(F2109,Countries!$A$1:$B$161,2,0)</f>
        <v>United States of America</v>
      </c>
    </row>
    <row r="2110" spans="1:8" x14ac:dyDescent="0.3">
      <c r="A2110" s="3">
        <v>46256.512106481481</v>
      </c>
      <c r="B2110" s="1">
        <v>10.62</v>
      </c>
      <c r="C2110" s="1">
        <v>9.09</v>
      </c>
      <c r="D2110" s="1">
        <v>0.73</v>
      </c>
      <c r="E2110" s="1" t="s">
        <v>113</v>
      </c>
      <c r="F2110" s="1" t="s">
        <v>113</v>
      </c>
      <c r="G2110" s="1" t="s">
        <v>113</v>
      </c>
      <c r="H2110" s="1" t="str">
        <f>VLOOKUP(F2110,Countries!$A$1:$B$161,2,0)</f>
        <v>United States of America</v>
      </c>
    </row>
    <row r="2111" spans="1:8" x14ac:dyDescent="0.3">
      <c r="A2111" s="3">
        <v>46256.507743055547</v>
      </c>
      <c r="B2111" s="1">
        <v>10.62</v>
      </c>
      <c r="C2111" s="1">
        <v>9.09</v>
      </c>
      <c r="D2111" s="1">
        <v>0.73</v>
      </c>
      <c r="E2111" s="1" t="s">
        <v>113</v>
      </c>
      <c r="F2111" s="1" t="s">
        <v>113</v>
      </c>
      <c r="G2111" s="1" t="s">
        <v>113</v>
      </c>
      <c r="H2111" s="1" t="str">
        <f>VLOOKUP(F2111,Countries!$A$1:$B$161,2,0)</f>
        <v>United States of America</v>
      </c>
    </row>
    <row r="2112" spans="1:8" x14ac:dyDescent="0.3">
      <c r="A2112" s="3">
        <v>46256.500891203701</v>
      </c>
      <c r="B2112" s="1">
        <v>7.48</v>
      </c>
      <c r="C2112" s="1">
        <v>6.4</v>
      </c>
      <c r="D2112" s="1">
        <v>0.54</v>
      </c>
      <c r="E2112" s="1" t="s">
        <v>119</v>
      </c>
      <c r="F2112" s="1" t="s">
        <v>119</v>
      </c>
      <c r="G2112" s="1" t="s">
        <v>119</v>
      </c>
      <c r="H2112" s="1" t="str">
        <f>VLOOKUP(F2112,Countries!$A$1:$B$161,2,0)</f>
        <v>Great Britain (United Kingdom)</v>
      </c>
    </row>
    <row r="2113" spans="1:8" x14ac:dyDescent="0.3">
      <c r="A2113" s="3">
        <v>46256.500671296293</v>
      </c>
      <c r="B2113" s="1">
        <v>15.43</v>
      </c>
      <c r="C2113" s="1">
        <v>13.21</v>
      </c>
      <c r="D2113" s="1">
        <v>0.94</v>
      </c>
      <c r="E2113" s="1" t="s">
        <v>130</v>
      </c>
      <c r="F2113" s="1" t="s">
        <v>130</v>
      </c>
      <c r="G2113" s="1" t="s">
        <v>130</v>
      </c>
      <c r="H2113" s="1" t="str">
        <f>VLOOKUP(F2113,Countries!$A$1:$B$161,2,0)</f>
        <v>Australia</v>
      </c>
    </row>
    <row r="2114" spans="1:8" x14ac:dyDescent="0.3">
      <c r="A2114" s="3">
        <v>46256.49486111111</v>
      </c>
      <c r="B2114" s="1">
        <v>38.61</v>
      </c>
      <c r="C2114" s="1">
        <v>33.06</v>
      </c>
      <c r="D2114" s="1">
        <v>1.98</v>
      </c>
      <c r="E2114" s="1" t="s">
        <v>130</v>
      </c>
      <c r="F2114" s="1" t="s">
        <v>130</v>
      </c>
      <c r="G2114" s="1" t="s">
        <v>130</v>
      </c>
      <c r="H2114" s="1" t="str">
        <f>VLOOKUP(F2114,Countries!$A$1:$B$161,2,0)</f>
        <v>Australia</v>
      </c>
    </row>
    <row r="2115" spans="1:8" x14ac:dyDescent="0.3">
      <c r="A2115" s="3">
        <v>46256.494398148148</v>
      </c>
      <c r="B2115" s="1">
        <v>4.24</v>
      </c>
      <c r="C2115" s="1">
        <v>3.63</v>
      </c>
      <c r="D2115" s="1">
        <v>0.44</v>
      </c>
      <c r="E2115" s="1" t="s">
        <v>113</v>
      </c>
      <c r="F2115" s="1" t="s">
        <v>113</v>
      </c>
      <c r="G2115" s="1" t="s">
        <v>113</v>
      </c>
      <c r="H2115" s="1" t="str">
        <f>VLOOKUP(F2115,Countries!$A$1:$B$161,2,0)</f>
        <v>United States of America</v>
      </c>
    </row>
    <row r="2116" spans="1:8" x14ac:dyDescent="0.3">
      <c r="A2116" s="3">
        <v>46256.4919212963</v>
      </c>
      <c r="B2116" s="1">
        <v>6.65</v>
      </c>
      <c r="C2116" s="1">
        <v>5.69</v>
      </c>
      <c r="D2116" s="1">
        <v>0.54</v>
      </c>
      <c r="E2116" s="1" t="s">
        <v>130</v>
      </c>
      <c r="F2116" s="1" t="s">
        <v>130</v>
      </c>
      <c r="G2116" s="1" t="s">
        <v>130</v>
      </c>
      <c r="H2116" s="1" t="str">
        <f>VLOOKUP(F2116,Countries!$A$1:$B$161,2,0)</f>
        <v>Australia</v>
      </c>
    </row>
    <row r="2117" spans="1:8" x14ac:dyDescent="0.3">
      <c r="A2117" s="3">
        <v>46256.490833333337</v>
      </c>
      <c r="B2117" s="1">
        <v>20.85</v>
      </c>
      <c r="C2117" s="1">
        <v>17.850000000000001</v>
      </c>
      <c r="D2117" s="1">
        <v>1.06</v>
      </c>
      <c r="E2117" s="1" t="s">
        <v>119</v>
      </c>
      <c r="F2117" s="1" t="s">
        <v>119</v>
      </c>
      <c r="G2117" s="1" t="s">
        <v>119</v>
      </c>
      <c r="H2117" s="1" t="str">
        <f>VLOOKUP(F2117,Countries!$A$1:$B$161,2,0)</f>
        <v>Great Britain (United Kingdom)</v>
      </c>
    </row>
    <row r="2118" spans="1:8" x14ac:dyDescent="0.3">
      <c r="A2118" s="3">
        <v>46256.49019675926</v>
      </c>
      <c r="B2118" s="1">
        <v>7.48</v>
      </c>
      <c r="C2118" s="1">
        <v>6.4</v>
      </c>
      <c r="D2118" s="1">
        <v>0.54</v>
      </c>
      <c r="E2118" s="1" t="s">
        <v>119</v>
      </c>
      <c r="F2118" s="1" t="s">
        <v>119</v>
      </c>
      <c r="G2118" s="1" t="s">
        <v>119</v>
      </c>
      <c r="H2118" s="1" t="str">
        <f>VLOOKUP(F2118,Countries!$A$1:$B$161,2,0)</f>
        <v>Great Britain (United Kingdom)</v>
      </c>
    </row>
    <row r="2119" spans="1:8" x14ac:dyDescent="0.3">
      <c r="A2119" s="3">
        <v>46256.487337962957</v>
      </c>
      <c r="B2119" s="1">
        <v>5.99</v>
      </c>
      <c r="C2119" s="1">
        <v>5.13</v>
      </c>
      <c r="D2119" s="1">
        <v>0.52</v>
      </c>
      <c r="E2119" s="1" t="s">
        <v>129</v>
      </c>
      <c r="F2119" s="1" t="s">
        <v>129</v>
      </c>
      <c r="G2119" s="1" t="s">
        <v>129</v>
      </c>
      <c r="H2119" s="1" t="str">
        <f>VLOOKUP(F2119,Countries!$A$1:$B$161,2,0)</f>
        <v>Qatar</v>
      </c>
    </row>
    <row r="2120" spans="1:8" x14ac:dyDescent="0.3">
      <c r="A2120" s="3">
        <v>46256.485185185193</v>
      </c>
      <c r="B2120" s="1">
        <v>20.85</v>
      </c>
      <c r="C2120" s="1">
        <v>17.850000000000001</v>
      </c>
      <c r="D2120" s="1">
        <v>1.06</v>
      </c>
      <c r="E2120" s="1" t="s">
        <v>119</v>
      </c>
      <c r="F2120" s="1" t="s">
        <v>119</v>
      </c>
      <c r="G2120" s="1" t="s">
        <v>119</v>
      </c>
      <c r="H2120" s="1" t="str">
        <f>VLOOKUP(F2120,Countries!$A$1:$B$161,2,0)</f>
        <v>Great Britain (United Kingdom)</v>
      </c>
    </row>
    <row r="2121" spans="1:8" x14ac:dyDescent="0.3">
      <c r="A2121" s="3">
        <v>46256.468136574083</v>
      </c>
      <c r="B2121" s="1">
        <v>3.88</v>
      </c>
      <c r="C2121" s="1">
        <v>3.32</v>
      </c>
      <c r="D2121" s="1">
        <v>0.37</v>
      </c>
      <c r="E2121" s="1" t="s">
        <v>137</v>
      </c>
      <c r="F2121" s="1" t="s">
        <v>137</v>
      </c>
      <c r="G2121" s="1" t="s">
        <v>137</v>
      </c>
      <c r="H2121" s="1" t="str">
        <f>VLOOKUP(F2121,Countries!$A$1:$B$161,2,0)</f>
        <v>Poland</v>
      </c>
    </row>
    <row r="2122" spans="1:8" x14ac:dyDescent="0.3">
      <c r="A2122" s="3">
        <v>46256.459097222221</v>
      </c>
      <c r="B2122" s="1">
        <v>1.99</v>
      </c>
      <c r="C2122" s="1">
        <v>1.7</v>
      </c>
      <c r="D2122" s="1">
        <v>0.34</v>
      </c>
      <c r="E2122" s="1" t="s">
        <v>113</v>
      </c>
      <c r="F2122" s="1" t="s">
        <v>113</v>
      </c>
      <c r="G2122" s="1" t="s">
        <v>113</v>
      </c>
      <c r="H2122" s="1" t="str">
        <f>VLOOKUP(F2122,Countries!$A$1:$B$161,2,0)</f>
        <v>United States of America</v>
      </c>
    </row>
    <row r="2123" spans="1:8" x14ac:dyDescent="0.3">
      <c r="A2123" s="3">
        <v>46256.442708333343</v>
      </c>
      <c r="B2123" s="1">
        <v>17.010000000000002</v>
      </c>
      <c r="C2123" s="1">
        <v>14.56</v>
      </c>
      <c r="D2123" s="1">
        <v>1.01</v>
      </c>
      <c r="E2123" s="1" t="s">
        <v>113</v>
      </c>
      <c r="F2123" s="1" t="s">
        <v>113</v>
      </c>
      <c r="G2123" s="1" t="s">
        <v>113</v>
      </c>
      <c r="H2123" s="1" t="str">
        <f>VLOOKUP(F2123,Countries!$A$1:$B$161,2,0)</f>
        <v>United States of America</v>
      </c>
    </row>
    <row r="2124" spans="1:8" x14ac:dyDescent="0.3">
      <c r="A2124" s="3">
        <v>46256.438831018517</v>
      </c>
      <c r="B2124" s="1">
        <v>3.69</v>
      </c>
      <c r="C2124" s="1">
        <v>3.16</v>
      </c>
      <c r="D2124" s="1">
        <v>0.36</v>
      </c>
      <c r="E2124" s="1" t="s">
        <v>159</v>
      </c>
      <c r="F2124" s="1" t="s">
        <v>159</v>
      </c>
      <c r="G2124" s="1" t="s">
        <v>159</v>
      </c>
      <c r="H2124" s="1" t="str">
        <f>VLOOKUP(F2124,Countries!$A$1:$B$161,2,0)</f>
        <v>Romania</v>
      </c>
    </row>
    <row r="2125" spans="1:8" x14ac:dyDescent="0.3">
      <c r="A2125" s="3">
        <v>46256.435231481482</v>
      </c>
      <c r="B2125" s="1">
        <v>6.37</v>
      </c>
      <c r="C2125" s="1">
        <v>5.45</v>
      </c>
      <c r="D2125" s="1">
        <v>0.54</v>
      </c>
      <c r="E2125" s="1" t="s">
        <v>113</v>
      </c>
      <c r="F2125" s="1" t="s">
        <v>113</v>
      </c>
      <c r="G2125" s="1" t="s">
        <v>113</v>
      </c>
      <c r="H2125" s="1" t="str">
        <f>VLOOKUP(F2125,Countries!$A$1:$B$161,2,0)</f>
        <v>United States of America</v>
      </c>
    </row>
    <row r="2126" spans="1:8" x14ac:dyDescent="0.3">
      <c r="A2126" s="3">
        <v>46256.425543981481</v>
      </c>
      <c r="B2126" s="1">
        <v>6.37</v>
      </c>
      <c r="C2126" s="1">
        <v>5.45</v>
      </c>
      <c r="D2126" s="1">
        <v>0.54</v>
      </c>
      <c r="E2126" s="1" t="s">
        <v>113</v>
      </c>
      <c r="F2126" s="1" t="s">
        <v>113</v>
      </c>
      <c r="G2126" s="1" t="s">
        <v>113</v>
      </c>
      <c r="H2126" s="1" t="str">
        <f>VLOOKUP(F2126,Countries!$A$1:$B$161,2,0)</f>
        <v>United States of America</v>
      </c>
    </row>
    <row r="2127" spans="1:8" x14ac:dyDescent="0.3">
      <c r="A2127" s="3">
        <v>46256.416458333333</v>
      </c>
      <c r="B2127" s="1">
        <v>3.73</v>
      </c>
      <c r="C2127" s="1">
        <v>3.19</v>
      </c>
      <c r="D2127" s="1">
        <v>0.39</v>
      </c>
      <c r="E2127" s="1" t="s">
        <v>119</v>
      </c>
      <c r="F2127" s="1" t="s">
        <v>119</v>
      </c>
      <c r="G2127" s="1" t="s">
        <v>119</v>
      </c>
      <c r="H2127" s="1" t="str">
        <f>VLOOKUP(F2127,Countries!$A$1:$B$161,2,0)</f>
        <v>Great Britain (United Kingdom)</v>
      </c>
    </row>
    <row r="2128" spans="1:8" x14ac:dyDescent="0.3">
      <c r="A2128" s="3">
        <v>46256.411157407398</v>
      </c>
      <c r="B2128" s="1">
        <v>6.37</v>
      </c>
      <c r="C2128" s="1">
        <v>5.45</v>
      </c>
      <c r="D2128" s="1">
        <v>0.54</v>
      </c>
      <c r="E2128" s="1" t="s">
        <v>113</v>
      </c>
      <c r="F2128" s="1" t="s">
        <v>113</v>
      </c>
      <c r="G2128" s="1" t="s">
        <v>113</v>
      </c>
      <c r="H2128" s="1" t="str">
        <f>VLOOKUP(F2128,Countries!$A$1:$B$161,2,0)</f>
        <v>United States of America</v>
      </c>
    </row>
    <row r="2129" spans="1:8" x14ac:dyDescent="0.3">
      <c r="A2129" s="3">
        <v>46256.410393518519</v>
      </c>
      <c r="B2129" s="1">
        <v>6.37</v>
      </c>
      <c r="C2129" s="1">
        <v>5.45</v>
      </c>
      <c r="D2129" s="1">
        <v>0.54</v>
      </c>
      <c r="E2129" s="1" t="s">
        <v>113</v>
      </c>
      <c r="F2129" s="1" t="s">
        <v>113</v>
      </c>
      <c r="G2129" s="1" t="s">
        <v>113</v>
      </c>
      <c r="H2129" s="1" t="str">
        <f>VLOOKUP(F2129,Countries!$A$1:$B$161,2,0)</f>
        <v>United States of America</v>
      </c>
    </row>
    <row r="2130" spans="1:8" x14ac:dyDescent="0.3">
      <c r="A2130" s="3">
        <v>46256.408078703702</v>
      </c>
      <c r="B2130" s="1">
        <v>6.37</v>
      </c>
      <c r="C2130" s="1">
        <v>5.45</v>
      </c>
      <c r="D2130" s="1">
        <v>0.54</v>
      </c>
      <c r="E2130" s="1" t="s">
        <v>113</v>
      </c>
      <c r="F2130" s="1" t="s">
        <v>113</v>
      </c>
      <c r="G2130" s="1" t="s">
        <v>113</v>
      </c>
      <c r="H2130" s="1" t="str">
        <f>VLOOKUP(F2130,Countries!$A$1:$B$161,2,0)</f>
        <v>United States of America</v>
      </c>
    </row>
    <row r="2131" spans="1:8" x14ac:dyDescent="0.3">
      <c r="A2131" s="3">
        <v>46256.40761574074</v>
      </c>
      <c r="B2131" s="1">
        <v>6.37</v>
      </c>
      <c r="C2131" s="1">
        <v>5.45</v>
      </c>
      <c r="D2131" s="1">
        <v>0.54</v>
      </c>
      <c r="E2131" s="1" t="s">
        <v>113</v>
      </c>
      <c r="F2131" s="1" t="s">
        <v>113</v>
      </c>
      <c r="G2131" s="1" t="s">
        <v>113</v>
      </c>
      <c r="H2131" s="1" t="str">
        <f>VLOOKUP(F2131,Countries!$A$1:$B$161,2,0)</f>
        <v>United States of America</v>
      </c>
    </row>
    <row r="2132" spans="1:8" x14ac:dyDescent="0.3">
      <c r="A2132" s="3">
        <v>46256.404733796298</v>
      </c>
      <c r="B2132" s="1">
        <v>2.99</v>
      </c>
      <c r="C2132" s="1">
        <v>2.56</v>
      </c>
      <c r="D2132" s="1">
        <v>0.38</v>
      </c>
      <c r="E2132" s="1" t="s">
        <v>113</v>
      </c>
      <c r="F2132" s="1" t="s">
        <v>113</v>
      </c>
      <c r="G2132" s="1" t="s">
        <v>113</v>
      </c>
      <c r="H2132" s="1" t="str">
        <f>VLOOKUP(F2132,Countries!$A$1:$B$161,2,0)</f>
        <v>United States of America</v>
      </c>
    </row>
    <row r="2133" spans="1:8" x14ac:dyDescent="0.3">
      <c r="A2133" s="3">
        <v>46256.40425925926</v>
      </c>
      <c r="B2133" s="1">
        <v>42.54</v>
      </c>
      <c r="C2133" s="1">
        <v>36.42</v>
      </c>
      <c r="D2133" s="1">
        <v>2.16</v>
      </c>
      <c r="E2133" s="1" t="s">
        <v>113</v>
      </c>
      <c r="F2133" s="1" t="s">
        <v>113</v>
      </c>
      <c r="G2133" s="1" t="s">
        <v>113</v>
      </c>
      <c r="H2133" s="1" t="str">
        <f>VLOOKUP(F2133,Countries!$A$1:$B$161,2,0)</f>
        <v>United States of America</v>
      </c>
    </row>
    <row r="2134" spans="1:8" x14ac:dyDescent="0.3">
      <c r="A2134" s="3">
        <v>46256.390173611107</v>
      </c>
      <c r="B2134" s="1">
        <v>2.11</v>
      </c>
      <c r="C2134" s="1">
        <v>1.81</v>
      </c>
      <c r="D2134" s="1">
        <v>0.35</v>
      </c>
      <c r="E2134" s="1" t="s">
        <v>113</v>
      </c>
      <c r="F2134" s="1" t="s">
        <v>113</v>
      </c>
      <c r="G2134" s="1" t="s">
        <v>113</v>
      </c>
      <c r="H2134" s="1" t="str">
        <f>VLOOKUP(F2134,Countries!$A$1:$B$161,2,0)</f>
        <v>United States of America</v>
      </c>
    </row>
    <row r="2135" spans="1:8" x14ac:dyDescent="0.3">
      <c r="A2135" s="3">
        <v>46256.389479166668</v>
      </c>
      <c r="B2135" s="1">
        <v>85.09</v>
      </c>
      <c r="C2135" s="1">
        <v>72.86</v>
      </c>
      <c r="D2135" s="1">
        <v>4.08</v>
      </c>
      <c r="E2135" s="1" t="s">
        <v>113</v>
      </c>
      <c r="F2135" s="1" t="s">
        <v>113</v>
      </c>
      <c r="G2135" s="1" t="s">
        <v>113</v>
      </c>
      <c r="H2135" s="1" t="str">
        <f>VLOOKUP(F2135,Countries!$A$1:$B$161,2,0)</f>
        <v>United States of America</v>
      </c>
    </row>
    <row r="2136" spans="1:8" x14ac:dyDescent="0.3">
      <c r="A2136" s="3">
        <v>46256.378009259257</v>
      </c>
      <c r="B2136" s="1">
        <v>7.77</v>
      </c>
      <c r="C2136" s="1">
        <v>6.65</v>
      </c>
      <c r="D2136" s="1">
        <v>0.48</v>
      </c>
      <c r="E2136" s="1" t="s">
        <v>137</v>
      </c>
      <c r="F2136" s="1" t="s">
        <v>137</v>
      </c>
      <c r="G2136" s="1" t="s">
        <v>137</v>
      </c>
      <c r="H2136" s="1" t="str">
        <f>VLOOKUP(F2136,Countries!$A$1:$B$161,2,0)</f>
        <v>Poland</v>
      </c>
    </row>
    <row r="2137" spans="1:8" x14ac:dyDescent="0.3">
      <c r="A2137" s="3">
        <v>46256.375856481478</v>
      </c>
      <c r="B2137" s="1">
        <v>2.11</v>
      </c>
      <c r="C2137" s="1">
        <v>1.81</v>
      </c>
      <c r="D2137" s="1">
        <v>0.35</v>
      </c>
      <c r="E2137" s="1" t="s">
        <v>113</v>
      </c>
      <c r="F2137" s="1" t="s">
        <v>113</v>
      </c>
      <c r="G2137" s="1" t="s">
        <v>113</v>
      </c>
      <c r="H2137" s="1" t="str">
        <f>VLOOKUP(F2137,Countries!$A$1:$B$161,2,0)</f>
        <v>United States of America</v>
      </c>
    </row>
    <row r="2138" spans="1:8" x14ac:dyDescent="0.3">
      <c r="A2138" s="3">
        <v>46256.370312500003</v>
      </c>
      <c r="B2138" s="1">
        <v>19.739999999999998</v>
      </c>
      <c r="C2138" s="1">
        <v>16.899999999999999</v>
      </c>
      <c r="D2138" s="1">
        <v>0.84</v>
      </c>
      <c r="E2138" s="1" t="s">
        <v>147</v>
      </c>
      <c r="F2138" s="1" t="s">
        <v>147</v>
      </c>
      <c r="G2138" s="1" t="s">
        <v>147</v>
      </c>
      <c r="H2138" s="1" t="str">
        <f>VLOOKUP(F2138,Countries!$A$1:$B$161,2,0)</f>
        <v>Germany</v>
      </c>
    </row>
    <row r="2139" spans="1:8" x14ac:dyDescent="0.3">
      <c r="A2139" s="3">
        <v>46256.369629629633</v>
      </c>
      <c r="B2139" s="1">
        <v>2.11</v>
      </c>
      <c r="C2139" s="1">
        <v>1.81</v>
      </c>
      <c r="D2139" s="1">
        <v>0.35</v>
      </c>
      <c r="E2139" s="1" t="s">
        <v>113</v>
      </c>
      <c r="F2139" s="1" t="s">
        <v>113</v>
      </c>
      <c r="G2139" s="1" t="s">
        <v>113</v>
      </c>
      <c r="H2139" s="1" t="str">
        <f>VLOOKUP(F2139,Countries!$A$1:$B$161,2,0)</f>
        <v>United States of America</v>
      </c>
    </row>
    <row r="2140" spans="1:8" x14ac:dyDescent="0.3">
      <c r="A2140" s="3">
        <v>46256.364131944443</v>
      </c>
      <c r="B2140" s="1">
        <v>42.54</v>
      </c>
      <c r="C2140" s="1">
        <v>36.42</v>
      </c>
      <c r="D2140" s="1">
        <v>2.16</v>
      </c>
      <c r="E2140" s="1" t="s">
        <v>113</v>
      </c>
      <c r="F2140" s="1" t="s">
        <v>113</v>
      </c>
      <c r="G2140" s="1" t="s">
        <v>113</v>
      </c>
      <c r="H2140" s="1" t="str">
        <f>VLOOKUP(F2140,Countries!$A$1:$B$161,2,0)</f>
        <v>United States of America</v>
      </c>
    </row>
    <row r="2141" spans="1:8" x14ac:dyDescent="0.3">
      <c r="A2141" s="3">
        <v>46256.363541666673</v>
      </c>
      <c r="B2141" s="1">
        <v>7.48</v>
      </c>
      <c r="C2141" s="1">
        <v>6.4</v>
      </c>
      <c r="D2141" s="1">
        <v>0.48</v>
      </c>
      <c r="E2141" s="1" t="s">
        <v>123</v>
      </c>
      <c r="F2141" s="1" t="s">
        <v>123</v>
      </c>
      <c r="G2141" s="1" t="s">
        <v>123</v>
      </c>
      <c r="H2141" s="1" t="str">
        <f>VLOOKUP(F2141,Countries!$A$1:$B$161,2,0)</f>
        <v>France</v>
      </c>
    </row>
    <row r="2142" spans="1:8" x14ac:dyDescent="0.3">
      <c r="A2142" s="3">
        <v>46256.360173611109</v>
      </c>
      <c r="B2142" s="1">
        <v>10.85</v>
      </c>
      <c r="C2142" s="1">
        <v>9.2899999999999991</v>
      </c>
      <c r="D2142" s="1">
        <v>0.74</v>
      </c>
      <c r="E2142" s="1" t="s">
        <v>115</v>
      </c>
      <c r="F2142" s="1" t="s">
        <v>115</v>
      </c>
      <c r="G2142" s="1" t="s">
        <v>115</v>
      </c>
      <c r="H2142" s="1" t="str">
        <f>VLOOKUP(F2142,Countries!$A$1:$B$161,2,0)</f>
        <v>Switzerland</v>
      </c>
    </row>
    <row r="2143" spans="1:8" x14ac:dyDescent="0.3">
      <c r="A2143" s="3">
        <v>46256.354074074072</v>
      </c>
      <c r="B2143" s="1">
        <v>4.24</v>
      </c>
      <c r="C2143" s="1">
        <v>3.63</v>
      </c>
      <c r="D2143" s="1">
        <v>0.44</v>
      </c>
      <c r="E2143" s="1" t="s">
        <v>113</v>
      </c>
      <c r="F2143" s="1" t="s">
        <v>113</v>
      </c>
      <c r="G2143" s="1" t="s">
        <v>113</v>
      </c>
      <c r="H2143" s="1" t="str">
        <f>VLOOKUP(F2143,Countries!$A$1:$B$161,2,0)</f>
        <v>United States of America</v>
      </c>
    </row>
    <row r="2144" spans="1:8" x14ac:dyDescent="0.3">
      <c r="A2144" s="3">
        <v>46256.351666666669</v>
      </c>
      <c r="B2144" s="1">
        <v>7.48</v>
      </c>
      <c r="C2144" s="1">
        <v>6.4</v>
      </c>
      <c r="D2144" s="1">
        <v>0.54</v>
      </c>
      <c r="E2144" s="1" t="s">
        <v>119</v>
      </c>
      <c r="F2144" s="1" t="s">
        <v>119</v>
      </c>
      <c r="G2144" s="1" t="s">
        <v>119</v>
      </c>
      <c r="H2144" s="1" t="str">
        <f>VLOOKUP(F2144,Countries!$A$1:$B$161,2,0)</f>
        <v>Great Britain (United Kingdom)</v>
      </c>
    </row>
    <row r="2145" spans="1:8" x14ac:dyDescent="0.3">
      <c r="A2145" s="3">
        <v>46256.324502314812</v>
      </c>
      <c r="B2145" s="1">
        <v>6.37</v>
      </c>
      <c r="C2145" s="1">
        <v>5.45</v>
      </c>
      <c r="D2145" s="1">
        <v>0.54</v>
      </c>
      <c r="E2145" s="1" t="s">
        <v>113</v>
      </c>
      <c r="F2145" s="1" t="s">
        <v>113</v>
      </c>
      <c r="G2145" s="1" t="s">
        <v>113</v>
      </c>
      <c r="H2145" s="1" t="str">
        <f>VLOOKUP(F2145,Countries!$A$1:$B$161,2,0)</f>
        <v>United States of America</v>
      </c>
    </row>
    <row r="2146" spans="1:8" x14ac:dyDescent="0.3">
      <c r="A2146" s="3">
        <v>46256.316736111112</v>
      </c>
      <c r="B2146" s="1">
        <v>10.85</v>
      </c>
      <c r="C2146" s="1">
        <v>9.2899999999999991</v>
      </c>
      <c r="D2146" s="1">
        <v>0.74</v>
      </c>
      <c r="E2146" s="1" t="s">
        <v>115</v>
      </c>
      <c r="F2146" s="1" t="s">
        <v>115</v>
      </c>
      <c r="G2146" s="1" t="s">
        <v>115</v>
      </c>
      <c r="H2146" s="1" t="str">
        <f>VLOOKUP(F2146,Countries!$A$1:$B$161,2,0)</f>
        <v>Switzerland</v>
      </c>
    </row>
    <row r="2147" spans="1:8" x14ac:dyDescent="0.3">
      <c r="A2147" s="3">
        <v>46256.316018518519</v>
      </c>
      <c r="B2147" s="1">
        <v>1.99</v>
      </c>
      <c r="C2147" s="1">
        <v>1.7</v>
      </c>
      <c r="D2147" s="1">
        <v>0.34</v>
      </c>
      <c r="E2147" s="1" t="s">
        <v>164</v>
      </c>
      <c r="F2147" s="1" t="s">
        <v>164</v>
      </c>
      <c r="G2147" s="1" t="s">
        <v>164</v>
      </c>
      <c r="H2147" s="1" t="str">
        <f>VLOOKUP(F2147,Countries!$A$1:$B$161,2,0)</f>
        <v>Guyana</v>
      </c>
    </row>
    <row r="2148" spans="1:8" x14ac:dyDescent="0.3">
      <c r="A2148" s="3">
        <v>46256.310104166667</v>
      </c>
      <c r="B2148" s="1">
        <v>3.73</v>
      </c>
      <c r="C2148" s="1">
        <v>3.19</v>
      </c>
      <c r="D2148" s="1">
        <v>0.39</v>
      </c>
      <c r="E2148" s="1" t="s">
        <v>159</v>
      </c>
      <c r="F2148" s="1" t="s">
        <v>119</v>
      </c>
      <c r="G2148" s="1" t="s">
        <v>119</v>
      </c>
      <c r="H2148" s="1" t="str">
        <f>VLOOKUP(F2148,Countries!$A$1:$B$161,2,0)</f>
        <v>Great Britain (United Kingdom)</v>
      </c>
    </row>
    <row r="2149" spans="1:8" x14ac:dyDescent="0.3">
      <c r="A2149" s="3">
        <v>46256.295787037037</v>
      </c>
      <c r="B2149" s="1">
        <v>10.62</v>
      </c>
      <c r="C2149" s="1">
        <v>9.09</v>
      </c>
      <c r="D2149" s="1">
        <v>0.73</v>
      </c>
      <c r="E2149" s="1" t="s">
        <v>113</v>
      </c>
      <c r="F2149" s="1" t="s">
        <v>113</v>
      </c>
      <c r="G2149" s="1" t="s">
        <v>113</v>
      </c>
      <c r="H2149" s="1" t="str">
        <f>VLOOKUP(F2149,Countries!$A$1:$B$161,2,0)</f>
        <v>United States of America</v>
      </c>
    </row>
    <row r="2150" spans="1:8" x14ac:dyDescent="0.3">
      <c r="A2150" s="3">
        <v>46256.288506944453</v>
      </c>
      <c r="B2150" s="1">
        <v>21.27</v>
      </c>
      <c r="C2150" s="1">
        <v>18.21</v>
      </c>
      <c r="D2150" s="1">
        <v>1.2</v>
      </c>
      <c r="E2150" s="1" t="s">
        <v>113</v>
      </c>
      <c r="F2150" s="1" t="s">
        <v>113</v>
      </c>
      <c r="G2150" s="1" t="s">
        <v>113</v>
      </c>
      <c r="H2150" s="1" t="str">
        <f>VLOOKUP(F2150,Countries!$A$1:$B$161,2,0)</f>
        <v>United States of America</v>
      </c>
    </row>
    <row r="2151" spans="1:8" x14ac:dyDescent="0.3">
      <c r="A2151" s="3">
        <v>46256.285532407397</v>
      </c>
      <c r="B2151" s="1">
        <v>6.3</v>
      </c>
      <c r="C2151" s="1">
        <v>5.39</v>
      </c>
      <c r="D2151" s="1">
        <v>0.54</v>
      </c>
      <c r="E2151" s="1" t="s">
        <v>132</v>
      </c>
      <c r="F2151" s="1" t="s">
        <v>132</v>
      </c>
      <c r="G2151" s="1" t="s">
        <v>132</v>
      </c>
      <c r="H2151" s="1" t="str">
        <f>VLOOKUP(F2151,Countries!$A$1:$B$161,2,0)</f>
        <v>Canada</v>
      </c>
    </row>
    <row r="2152" spans="1:8" x14ac:dyDescent="0.3">
      <c r="A2152" s="3">
        <v>46256.284120370372</v>
      </c>
      <c r="B2152" s="1">
        <v>10.62</v>
      </c>
      <c r="C2152" s="1">
        <v>9.09</v>
      </c>
      <c r="D2152" s="1">
        <v>0.73</v>
      </c>
      <c r="E2152" s="1" t="s">
        <v>113</v>
      </c>
      <c r="F2152" s="1" t="s">
        <v>113</v>
      </c>
      <c r="G2152" s="1" t="s">
        <v>113</v>
      </c>
      <c r="H2152" s="1" t="str">
        <f>VLOOKUP(F2152,Countries!$A$1:$B$161,2,0)</f>
        <v>United States of America</v>
      </c>
    </row>
    <row r="2153" spans="1:8" x14ac:dyDescent="0.3">
      <c r="A2153" s="3">
        <v>46256.279502314806</v>
      </c>
      <c r="B2153" s="1">
        <v>21.27</v>
      </c>
      <c r="C2153" s="1">
        <v>18.21</v>
      </c>
      <c r="D2153" s="1">
        <v>1.2</v>
      </c>
      <c r="E2153" s="1" t="s">
        <v>113</v>
      </c>
      <c r="F2153" s="1" t="s">
        <v>113</v>
      </c>
      <c r="G2153" s="1" t="s">
        <v>113</v>
      </c>
      <c r="H2153" s="1" t="str">
        <f>VLOOKUP(F2153,Countries!$A$1:$B$161,2,0)</f>
        <v>United States of America</v>
      </c>
    </row>
    <row r="2154" spans="1:8" x14ac:dyDescent="0.3">
      <c r="A2154" s="3">
        <v>46256.279328703713</v>
      </c>
      <c r="B2154" s="1">
        <v>10.62</v>
      </c>
      <c r="C2154" s="1">
        <v>9.09</v>
      </c>
      <c r="D2154" s="1">
        <v>0.73</v>
      </c>
      <c r="E2154" s="1" t="s">
        <v>113</v>
      </c>
      <c r="F2154" s="1" t="s">
        <v>113</v>
      </c>
      <c r="G2154" s="1" t="s">
        <v>113</v>
      </c>
      <c r="H2154" s="1" t="str">
        <f>VLOOKUP(F2154,Countries!$A$1:$B$161,2,0)</f>
        <v>United States of America</v>
      </c>
    </row>
    <row r="2155" spans="1:8" x14ac:dyDescent="0.3">
      <c r="A2155" s="3">
        <v>46256.278819444437</v>
      </c>
      <c r="B2155" s="1">
        <v>6.37</v>
      </c>
      <c r="C2155" s="1">
        <v>5.45</v>
      </c>
      <c r="D2155" s="1">
        <v>0.54</v>
      </c>
      <c r="E2155" s="1" t="s">
        <v>113</v>
      </c>
      <c r="F2155" s="1" t="s">
        <v>113</v>
      </c>
      <c r="G2155" s="1" t="s">
        <v>113</v>
      </c>
      <c r="H2155" s="1" t="str">
        <f>VLOOKUP(F2155,Countries!$A$1:$B$161,2,0)</f>
        <v>United States of America</v>
      </c>
    </row>
    <row r="2156" spans="1:8" x14ac:dyDescent="0.3">
      <c r="A2156" s="3">
        <v>46256.277361111112</v>
      </c>
      <c r="B2156" s="1">
        <v>6.37</v>
      </c>
      <c r="C2156" s="1">
        <v>5.45</v>
      </c>
      <c r="D2156" s="1">
        <v>0.54</v>
      </c>
      <c r="E2156" s="1" t="s">
        <v>113</v>
      </c>
      <c r="F2156" s="1" t="s">
        <v>113</v>
      </c>
      <c r="G2156" s="1" t="s">
        <v>113</v>
      </c>
      <c r="H2156" s="1" t="str">
        <f>VLOOKUP(F2156,Countries!$A$1:$B$161,2,0)</f>
        <v>United States of America</v>
      </c>
    </row>
    <row r="2157" spans="1:8" x14ac:dyDescent="0.3">
      <c r="A2157" s="3">
        <v>46256.268252314818</v>
      </c>
      <c r="B2157" s="1">
        <v>6.37</v>
      </c>
      <c r="C2157" s="1">
        <v>5.45</v>
      </c>
      <c r="D2157" s="1">
        <v>0.54</v>
      </c>
      <c r="E2157" s="1" t="s">
        <v>113</v>
      </c>
      <c r="F2157" s="1" t="s">
        <v>113</v>
      </c>
      <c r="G2157" s="1" t="s">
        <v>113</v>
      </c>
      <c r="H2157" s="1" t="str">
        <f>VLOOKUP(F2157,Countries!$A$1:$B$161,2,0)</f>
        <v>United States of America</v>
      </c>
    </row>
    <row r="2158" spans="1:8" x14ac:dyDescent="0.3">
      <c r="A2158" s="3">
        <v>46256.266087962962</v>
      </c>
      <c r="B2158" s="1">
        <v>6.37</v>
      </c>
      <c r="C2158" s="1">
        <v>5.45</v>
      </c>
      <c r="D2158" s="1">
        <v>0.54</v>
      </c>
      <c r="E2158" s="1" t="s">
        <v>113</v>
      </c>
      <c r="F2158" s="1" t="s">
        <v>113</v>
      </c>
      <c r="G2158" s="1" t="s">
        <v>113</v>
      </c>
      <c r="H2158" s="1" t="str">
        <f>VLOOKUP(F2158,Countries!$A$1:$B$161,2,0)</f>
        <v>United States of America</v>
      </c>
    </row>
    <row r="2159" spans="1:8" x14ac:dyDescent="0.3">
      <c r="A2159" s="3">
        <v>46256.263715277782</v>
      </c>
      <c r="B2159" s="1">
        <v>6.37</v>
      </c>
      <c r="C2159" s="1">
        <v>5.45</v>
      </c>
      <c r="D2159" s="1">
        <v>0.54</v>
      </c>
      <c r="E2159" s="1" t="s">
        <v>113</v>
      </c>
      <c r="F2159" s="1" t="s">
        <v>113</v>
      </c>
      <c r="G2159" s="1" t="s">
        <v>113</v>
      </c>
      <c r="H2159" s="1" t="str">
        <f>VLOOKUP(F2159,Countries!$A$1:$B$161,2,0)</f>
        <v>United States of America</v>
      </c>
    </row>
    <row r="2160" spans="1:8" x14ac:dyDescent="0.3">
      <c r="A2160" s="3">
        <v>46256.258611111109</v>
      </c>
      <c r="B2160" s="1">
        <v>2.11</v>
      </c>
      <c r="C2160" s="1">
        <v>1.81</v>
      </c>
      <c r="D2160" s="1">
        <v>0.35</v>
      </c>
      <c r="E2160" s="1" t="s">
        <v>113</v>
      </c>
      <c r="F2160" s="1" t="s">
        <v>113</v>
      </c>
      <c r="G2160" s="1" t="s">
        <v>113</v>
      </c>
      <c r="H2160" s="1" t="str">
        <f>VLOOKUP(F2160,Countries!$A$1:$B$161,2,0)</f>
        <v>United States of America</v>
      </c>
    </row>
    <row r="2161" spans="1:8" x14ac:dyDescent="0.3">
      <c r="A2161" s="3">
        <v>46256.249826388892</v>
      </c>
      <c r="B2161" s="1">
        <v>5.99</v>
      </c>
      <c r="C2161" s="1">
        <v>5.13</v>
      </c>
      <c r="D2161" s="1">
        <v>0.48</v>
      </c>
      <c r="E2161" s="1" t="s">
        <v>119</v>
      </c>
      <c r="F2161" s="1" t="s">
        <v>119</v>
      </c>
      <c r="G2161" s="1" t="s">
        <v>119</v>
      </c>
      <c r="H2161" s="1" t="str">
        <f>VLOOKUP(F2161,Countries!$A$1:$B$161,2,0)</f>
        <v>Great Britain (United Kingdom)</v>
      </c>
    </row>
    <row r="2162" spans="1:8" x14ac:dyDescent="0.3">
      <c r="A2162" s="3">
        <v>46256.235856481479</v>
      </c>
      <c r="B2162" s="1">
        <v>3.35</v>
      </c>
      <c r="C2162" s="1">
        <v>2.87</v>
      </c>
      <c r="D2162" s="1">
        <v>0.4</v>
      </c>
      <c r="E2162" s="1" t="s">
        <v>149</v>
      </c>
      <c r="F2162" s="1" t="s">
        <v>149</v>
      </c>
      <c r="G2162" s="1" t="s">
        <v>149</v>
      </c>
      <c r="H2162" s="1" t="str">
        <f>VLOOKUP(F2162,Countries!$A$1:$B$161,2,0)</f>
        <v>Indonesia</v>
      </c>
    </row>
    <row r="2163" spans="1:8" x14ac:dyDescent="0.3">
      <c r="A2163" s="3">
        <v>46256.234212962961</v>
      </c>
      <c r="B2163" s="1">
        <v>6.37</v>
      </c>
      <c r="C2163" s="1">
        <v>5.45</v>
      </c>
      <c r="D2163" s="1">
        <v>0.54</v>
      </c>
      <c r="E2163" s="1" t="s">
        <v>113</v>
      </c>
      <c r="F2163" s="1" t="s">
        <v>113</v>
      </c>
      <c r="G2163" s="1" t="s">
        <v>113</v>
      </c>
      <c r="H2163" s="1" t="str">
        <f>VLOOKUP(F2163,Countries!$A$1:$B$161,2,0)</f>
        <v>United States of America</v>
      </c>
    </row>
    <row r="2164" spans="1:8" x14ac:dyDescent="0.3">
      <c r="A2164" s="3">
        <v>46256.219085648147</v>
      </c>
      <c r="B2164" s="1">
        <v>14.77</v>
      </c>
      <c r="C2164" s="1">
        <v>12.65</v>
      </c>
      <c r="D2164" s="1">
        <v>0.91</v>
      </c>
      <c r="E2164" s="1" t="s">
        <v>113</v>
      </c>
      <c r="F2164" s="1" t="s">
        <v>113</v>
      </c>
      <c r="G2164" s="1" t="s">
        <v>113</v>
      </c>
      <c r="H2164" s="1" t="str">
        <f>VLOOKUP(F2164,Countries!$A$1:$B$161,2,0)</f>
        <v>United States of America</v>
      </c>
    </row>
    <row r="2165" spans="1:8" x14ac:dyDescent="0.3">
      <c r="A2165" s="3">
        <v>46256.214189814818</v>
      </c>
      <c r="B2165" s="1">
        <v>7.21</v>
      </c>
      <c r="C2165" s="1">
        <v>6.17</v>
      </c>
      <c r="D2165" s="1">
        <v>0.56999999999999995</v>
      </c>
      <c r="E2165" s="1" t="s">
        <v>165</v>
      </c>
      <c r="F2165" s="1" t="s">
        <v>165</v>
      </c>
      <c r="G2165" s="1" t="s">
        <v>165</v>
      </c>
      <c r="H2165" s="1" t="str">
        <f>VLOOKUP(F2165,Countries!$A$1:$B$161,2,0)</f>
        <v>Israel</v>
      </c>
    </row>
    <row r="2166" spans="1:8" x14ac:dyDescent="0.3">
      <c r="A2166" s="3">
        <v>46256.203379629631</v>
      </c>
      <c r="B2166" s="1">
        <v>7.39</v>
      </c>
      <c r="C2166" s="1">
        <v>6.33</v>
      </c>
      <c r="D2166" s="1">
        <v>0.47</v>
      </c>
      <c r="E2166" s="1" t="s">
        <v>159</v>
      </c>
      <c r="F2166" s="1" t="s">
        <v>159</v>
      </c>
      <c r="G2166" s="1" t="s">
        <v>159</v>
      </c>
      <c r="H2166" s="1" t="str">
        <f>VLOOKUP(F2166,Countries!$A$1:$B$161,2,0)</f>
        <v>Romania</v>
      </c>
    </row>
    <row r="2167" spans="1:8" x14ac:dyDescent="0.3">
      <c r="A2167" s="3">
        <v>46256.20034722222</v>
      </c>
      <c r="B2167" s="1">
        <v>6.37</v>
      </c>
      <c r="C2167" s="1">
        <v>5.45</v>
      </c>
      <c r="D2167" s="1">
        <v>0.54</v>
      </c>
      <c r="E2167" s="1" t="s">
        <v>113</v>
      </c>
      <c r="F2167" s="1" t="s">
        <v>113</v>
      </c>
      <c r="G2167" s="1" t="s">
        <v>113</v>
      </c>
      <c r="H2167" s="1" t="str">
        <f>VLOOKUP(F2167,Countries!$A$1:$B$161,2,0)</f>
        <v>United States of America</v>
      </c>
    </row>
    <row r="2168" spans="1:8" x14ac:dyDescent="0.3">
      <c r="A2168" s="3">
        <v>46256.198287037027</v>
      </c>
      <c r="B2168" s="1">
        <v>6.37</v>
      </c>
      <c r="C2168" s="1">
        <v>5.45</v>
      </c>
      <c r="D2168" s="1">
        <v>0.54</v>
      </c>
      <c r="E2168" s="1" t="s">
        <v>113</v>
      </c>
      <c r="F2168" s="1" t="s">
        <v>113</v>
      </c>
      <c r="G2168" s="1" t="s">
        <v>113</v>
      </c>
      <c r="H2168" s="1" t="str">
        <f>VLOOKUP(F2168,Countries!$A$1:$B$161,2,0)</f>
        <v>United States of America</v>
      </c>
    </row>
    <row r="2169" spans="1:8" x14ac:dyDescent="0.3">
      <c r="A2169" s="3">
        <v>46256.192754629628</v>
      </c>
      <c r="B2169" s="1">
        <v>2.11</v>
      </c>
      <c r="C2169" s="1">
        <v>1.81</v>
      </c>
      <c r="D2169" s="1">
        <v>0.35</v>
      </c>
      <c r="E2169" s="1" t="s">
        <v>113</v>
      </c>
      <c r="F2169" s="1" t="s">
        <v>113</v>
      </c>
      <c r="G2169" s="1" t="s">
        <v>113</v>
      </c>
      <c r="H2169" s="1" t="str">
        <f>VLOOKUP(F2169,Countries!$A$1:$B$161,2,0)</f>
        <v>United States of America</v>
      </c>
    </row>
    <row r="2170" spans="1:8" x14ac:dyDescent="0.3">
      <c r="A2170" s="3">
        <v>46256.172118055547</v>
      </c>
      <c r="B2170" s="1">
        <v>2.09</v>
      </c>
      <c r="C2170" s="1">
        <v>1.79</v>
      </c>
      <c r="D2170" s="1">
        <v>0.35</v>
      </c>
      <c r="E2170" s="1" t="s">
        <v>166</v>
      </c>
      <c r="F2170" s="1" t="s">
        <v>143</v>
      </c>
      <c r="G2170" s="1" t="s">
        <v>143</v>
      </c>
      <c r="H2170" s="1" t="str">
        <f>VLOOKUP(F2170,Countries!$A$1:$B$161,2,0)</f>
        <v>United Arab Emirates</v>
      </c>
    </row>
    <row r="2171" spans="1:8" x14ac:dyDescent="0.3">
      <c r="A2171" s="3">
        <v>46256.168171296304</v>
      </c>
      <c r="B2171" s="1">
        <v>6.37</v>
      </c>
      <c r="C2171" s="1">
        <v>5.45</v>
      </c>
      <c r="D2171" s="1">
        <v>0.54</v>
      </c>
      <c r="E2171" s="1" t="s">
        <v>113</v>
      </c>
      <c r="F2171" s="1" t="s">
        <v>113</v>
      </c>
      <c r="G2171" s="1" t="s">
        <v>113</v>
      </c>
      <c r="H2171" s="1" t="str">
        <f>VLOOKUP(F2171,Countries!$A$1:$B$161,2,0)</f>
        <v>United States of America</v>
      </c>
    </row>
    <row r="2172" spans="1:8" x14ac:dyDescent="0.3">
      <c r="A2172" s="3">
        <v>46256.166342592587</v>
      </c>
      <c r="B2172" s="1">
        <v>22.18</v>
      </c>
      <c r="C2172" s="1">
        <v>18.989999999999998</v>
      </c>
      <c r="D2172" s="1">
        <v>1.25</v>
      </c>
      <c r="E2172" s="1" t="s">
        <v>113</v>
      </c>
      <c r="F2172" s="1" t="s">
        <v>113</v>
      </c>
      <c r="G2172" s="1" t="s">
        <v>113</v>
      </c>
      <c r="H2172" s="1" t="str">
        <f>VLOOKUP(F2172,Countries!$A$1:$B$161,2,0)</f>
        <v>United States of America</v>
      </c>
    </row>
    <row r="2173" spans="1:8" x14ac:dyDescent="0.3">
      <c r="A2173" s="3">
        <v>46256.164780092593</v>
      </c>
      <c r="B2173" s="1">
        <v>14.77</v>
      </c>
      <c r="C2173" s="1">
        <v>12.65</v>
      </c>
      <c r="D2173" s="1">
        <v>0.91</v>
      </c>
      <c r="E2173" s="1" t="s">
        <v>113</v>
      </c>
      <c r="F2173" s="1" t="s">
        <v>113</v>
      </c>
      <c r="G2173" s="1" t="s">
        <v>113</v>
      </c>
      <c r="H2173" s="1" t="str">
        <f>VLOOKUP(F2173,Countries!$A$1:$B$161,2,0)</f>
        <v>United States of America</v>
      </c>
    </row>
    <row r="2174" spans="1:8" x14ac:dyDescent="0.3">
      <c r="A2174" s="3">
        <v>46256.160752314812</v>
      </c>
      <c r="B2174" s="1">
        <v>1.99</v>
      </c>
      <c r="C2174" s="1">
        <v>1.7</v>
      </c>
      <c r="D2174" s="1">
        <v>0.34</v>
      </c>
      <c r="E2174" s="1" t="s">
        <v>113</v>
      </c>
      <c r="F2174" s="1" t="s">
        <v>113</v>
      </c>
      <c r="G2174" s="1" t="s">
        <v>113</v>
      </c>
      <c r="H2174" s="1" t="str">
        <f>VLOOKUP(F2174,Countries!$A$1:$B$161,2,0)</f>
        <v>United States of America</v>
      </c>
    </row>
    <row r="2175" spans="1:8" x14ac:dyDescent="0.3">
      <c r="A2175" s="3">
        <v>46256.153287037043</v>
      </c>
      <c r="B2175" s="1">
        <v>10.62</v>
      </c>
      <c r="C2175" s="1">
        <v>9.09</v>
      </c>
      <c r="D2175" s="1">
        <v>0.73</v>
      </c>
      <c r="E2175" s="1" t="s">
        <v>113</v>
      </c>
      <c r="F2175" s="1" t="s">
        <v>113</v>
      </c>
      <c r="G2175" s="1" t="s">
        <v>113</v>
      </c>
      <c r="H2175" s="1" t="str">
        <f>VLOOKUP(F2175,Countries!$A$1:$B$161,2,0)</f>
        <v>United States of America</v>
      </c>
    </row>
    <row r="2176" spans="1:8" x14ac:dyDescent="0.3">
      <c r="A2176" s="3">
        <v>46256.139490740738</v>
      </c>
      <c r="B2176" s="1">
        <v>2.11</v>
      </c>
      <c r="C2176" s="1">
        <v>1.81</v>
      </c>
      <c r="D2176" s="1">
        <v>0.35</v>
      </c>
      <c r="E2176" s="1" t="s">
        <v>130</v>
      </c>
      <c r="F2176" s="1" t="s">
        <v>130</v>
      </c>
      <c r="G2176" s="1" t="s">
        <v>130</v>
      </c>
      <c r="H2176" s="1" t="str">
        <f>VLOOKUP(F2176,Countries!$A$1:$B$161,2,0)</f>
        <v>Australia</v>
      </c>
    </row>
    <row r="2177" spans="1:8" x14ac:dyDescent="0.3">
      <c r="A2177" s="3">
        <v>46256.137604166674</v>
      </c>
      <c r="B2177" s="1">
        <v>3.14</v>
      </c>
      <c r="C2177" s="1">
        <v>2.69</v>
      </c>
      <c r="D2177" s="1">
        <v>0.39</v>
      </c>
      <c r="E2177" s="1" t="s">
        <v>143</v>
      </c>
      <c r="F2177" s="1" t="s">
        <v>143</v>
      </c>
      <c r="G2177" s="1" t="s">
        <v>143</v>
      </c>
      <c r="H2177" s="1" t="str">
        <f>VLOOKUP(F2177,Countries!$A$1:$B$161,2,0)</f>
        <v>United Arab Emirates</v>
      </c>
    </row>
    <row r="2178" spans="1:8" x14ac:dyDescent="0.3">
      <c r="A2178" s="3">
        <v>46256.135335648149</v>
      </c>
      <c r="B2178" s="1">
        <v>6.37</v>
      </c>
      <c r="C2178" s="1">
        <v>5.45</v>
      </c>
      <c r="D2178" s="1">
        <v>0.54</v>
      </c>
      <c r="E2178" s="1" t="s">
        <v>113</v>
      </c>
      <c r="F2178" s="1" t="s">
        <v>113</v>
      </c>
      <c r="G2178" s="1" t="s">
        <v>113</v>
      </c>
      <c r="H2178" s="1" t="str">
        <f>VLOOKUP(F2178,Countries!$A$1:$B$161,2,0)</f>
        <v>United States of America</v>
      </c>
    </row>
    <row r="2179" spans="1:8" x14ac:dyDescent="0.3">
      <c r="A2179" s="3">
        <v>46256.13480324074</v>
      </c>
      <c r="B2179" s="1">
        <v>2.99</v>
      </c>
      <c r="C2179" s="1">
        <v>2.56</v>
      </c>
      <c r="D2179" s="1">
        <v>0.38</v>
      </c>
      <c r="E2179" s="1" t="s">
        <v>113</v>
      </c>
      <c r="F2179" s="1" t="s">
        <v>113</v>
      </c>
      <c r="G2179" s="1" t="s">
        <v>113</v>
      </c>
      <c r="H2179" s="1" t="str">
        <f>VLOOKUP(F2179,Countries!$A$1:$B$161,2,0)</f>
        <v>United States of America</v>
      </c>
    </row>
    <row r="2180" spans="1:8" x14ac:dyDescent="0.3">
      <c r="A2180" s="3">
        <v>46256.134189814817</v>
      </c>
      <c r="B2180" s="1">
        <v>6.58</v>
      </c>
      <c r="C2180" s="1">
        <v>5.63</v>
      </c>
      <c r="D2180" s="1">
        <v>0.54</v>
      </c>
      <c r="E2180" s="1" t="s">
        <v>167</v>
      </c>
      <c r="F2180" s="1" t="s">
        <v>152</v>
      </c>
      <c r="G2180" s="1" t="s">
        <v>152</v>
      </c>
      <c r="H2180" s="1" t="str">
        <f>VLOOKUP(F2180,Countries!$A$1:$B$161,2,0)</f>
        <v>Singapore</v>
      </c>
    </row>
    <row r="2181" spans="1:8" x14ac:dyDescent="0.3">
      <c r="A2181" s="3">
        <v>46256.132002314807</v>
      </c>
      <c r="B2181" s="1">
        <v>6.37</v>
      </c>
      <c r="C2181" s="1">
        <v>5.45</v>
      </c>
      <c r="D2181" s="1">
        <v>0.44</v>
      </c>
      <c r="E2181" s="1" t="s">
        <v>113</v>
      </c>
      <c r="F2181" s="1" t="s">
        <v>113</v>
      </c>
      <c r="G2181" s="1" t="s">
        <v>113</v>
      </c>
      <c r="H2181" s="1" t="str">
        <f>VLOOKUP(F2181,Countries!$A$1:$B$161,2,0)</f>
        <v>United States of America</v>
      </c>
    </row>
    <row r="2182" spans="1:8" x14ac:dyDescent="0.3">
      <c r="A2182" s="3">
        <v>46256.126458333332</v>
      </c>
      <c r="B2182" s="1">
        <v>4.24</v>
      </c>
      <c r="C2182" s="1">
        <v>3.63</v>
      </c>
      <c r="D2182" s="1">
        <v>0.44</v>
      </c>
      <c r="E2182" s="1"/>
      <c r="F2182" s="1" t="s">
        <v>113</v>
      </c>
      <c r="G2182" s="1" t="s">
        <v>113</v>
      </c>
      <c r="H2182" s="1" t="str">
        <f>VLOOKUP(F2182,Countries!$A$1:$B$161,2,0)</f>
        <v>United States of America</v>
      </c>
    </row>
    <row r="2183" spans="1:8" x14ac:dyDescent="0.3">
      <c r="A2183" s="3">
        <v>46256.120023148149</v>
      </c>
      <c r="B2183" s="1">
        <v>6.65</v>
      </c>
      <c r="C2183" s="1">
        <v>5.69</v>
      </c>
      <c r="D2183" s="1">
        <v>0.54</v>
      </c>
      <c r="E2183" s="1" t="s">
        <v>130</v>
      </c>
      <c r="F2183" s="1" t="s">
        <v>130</v>
      </c>
      <c r="G2183" s="1" t="s">
        <v>130</v>
      </c>
      <c r="H2183" s="1" t="str">
        <f>VLOOKUP(F2183,Countries!$A$1:$B$161,2,0)</f>
        <v>Australia</v>
      </c>
    </row>
    <row r="2184" spans="1:8" x14ac:dyDescent="0.3">
      <c r="A2184" s="3">
        <v>46256.115104166667</v>
      </c>
      <c r="B2184" s="1">
        <v>5.99</v>
      </c>
      <c r="C2184" s="1">
        <v>5.13</v>
      </c>
      <c r="D2184" s="1">
        <v>0.52</v>
      </c>
      <c r="E2184" s="1" t="s">
        <v>129</v>
      </c>
      <c r="F2184" s="1" t="s">
        <v>129</v>
      </c>
      <c r="G2184" s="1" t="s">
        <v>129</v>
      </c>
      <c r="H2184" s="1" t="str">
        <f>VLOOKUP(F2184,Countries!$A$1:$B$161,2,0)</f>
        <v>Qatar</v>
      </c>
    </row>
    <row r="2185" spans="1:8" x14ac:dyDescent="0.3">
      <c r="A2185" s="3">
        <v>46256.10193287037</v>
      </c>
      <c r="B2185" s="1">
        <v>3.18</v>
      </c>
      <c r="C2185" s="1">
        <v>2.72</v>
      </c>
      <c r="D2185" s="1">
        <v>0.39</v>
      </c>
      <c r="E2185" s="1" t="s">
        <v>113</v>
      </c>
      <c r="F2185" s="1" t="s">
        <v>113</v>
      </c>
      <c r="G2185" s="1" t="s">
        <v>113</v>
      </c>
      <c r="H2185" s="1" t="str">
        <f>VLOOKUP(F2185,Countries!$A$1:$B$161,2,0)</f>
        <v>United States of America</v>
      </c>
    </row>
    <row r="2186" spans="1:8" x14ac:dyDescent="0.3">
      <c r="A2186" s="3">
        <v>46256.094328703701</v>
      </c>
      <c r="B2186" s="1">
        <v>3.18</v>
      </c>
      <c r="C2186" s="1">
        <v>2.72</v>
      </c>
      <c r="D2186" s="1">
        <v>0.39</v>
      </c>
      <c r="E2186" s="1" t="s">
        <v>113</v>
      </c>
      <c r="F2186" s="1" t="s">
        <v>113</v>
      </c>
      <c r="G2186" s="1" t="s">
        <v>113</v>
      </c>
      <c r="H2186" s="1" t="str">
        <f>VLOOKUP(F2186,Countries!$A$1:$B$161,2,0)</f>
        <v>United States of America</v>
      </c>
    </row>
    <row r="2187" spans="1:8" x14ac:dyDescent="0.3">
      <c r="A2187" s="3">
        <v>46256.082499999997</v>
      </c>
      <c r="B2187" s="1">
        <v>1.99</v>
      </c>
      <c r="C2187" s="1">
        <v>1.7</v>
      </c>
      <c r="D2187" s="1">
        <v>0.34</v>
      </c>
      <c r="E2187" s="1" t="s">
        <v>202</v>
      </c>
      <c r="F2187" s="1" t="s">
        <v>202</v>
      </c>
      <c r="G2187" s="1" t="s">
        <v>202</v>
      </c>
      <c r="H2187" s="1" t="str">
        <f>VLOOKUP(F2187,Countries!$A$1:$B$161,2,0)</f>
        <v>Lebanon</v>
      </c>
    </row>
    <row r="2188" spans="1:8" x14ac:dyDescent="0.3">
      <c r="A2188" s="3">
        <v>46256.06082175926</v>
      </c>
      <c r="B2188" s="1">
        <v>1.99</v>
      </c>
      <c r="C2188" s="1">
        <v>1.7</v>
      </c>
      <c r="D2188" s="1">
        <v>0.34</v>
      </c>
      <c r="E2188" s="1" t="s">
        <v>191</v>
      </c>
      <c r="F2188" s="1" t="s">
        <v>191</v>
      </c>
      <c r="G2188" s="1" t="s">
        <v>191</v>
      </c>
      <c r="H2188" s="1" t="str">
        <f>VLOOKUP(F2188,Countries!$A$1:$B$161,2,0)</f>
        <v>Uganda</v>
      </c>
    </row>
    <row r="2189" spans="1:8" x14ac:dyDescent="0.3">
      <c r="A2189" s="3">
        <v>46256.057789351849</v>
      </c>
      <c r="B2189" s="1">
        <v>34.75</v>
      </c>
      <c r="C2189" s="1">
        <v>29.75</v>
      </c>
      <c r="D2189" s="1">
        <v>1.3</v>
      </c>
      <c r="E2189" s="1" t="s">
        <v>123</v>
      </c>
      <c r="F2189" s="1" t="s">
        <v>123</v>
      </c>
      <c r="G2189" s="1" t="s">
        <v>123</v>
      </c>
      <c r="H2189" s="1" t="str">
        <f>VLOOKUP(F2189,Countries!$A$1:$B$161,2,0)</f>
        <v>France</v>
      </c>
    </row>
    <row r="2190" spans="1:8" x14ac:dyDescent="0.3">
      <c r="A2190" s="3">
        <v>46256.042083333326</v>
      </c>
      <c r="B2190" s="1">
        <v>7.99</v>
      </c>
      <c r="C2190" s="1">
        <v>6.84</v>
      </c>
      <c r="D2190" s="1">
        <v>0.61</v>
      </c>
      <c r="E2190" s="1" t="s">
        <v>130</v>
      </c>
      <c r="F2190" s="1" t="s">
        <v>130</v>
      </c>
      <c r="G2190" s="1" t="s">
        <v>130</v>
      </c>
      <c r="H2190" s="1" t="str">
        <f>VLOOKUP(F2190,Countries!$A$1:$B$161,2,0)</f>
        <v>Australia</v>
      </c>
    </row>
    <row r="2191" spans="1:8" x14ac:dyDescent="0.3">
      <c r="A2191" s="3">
        <v>46256.039166666669</v>
      </c>
      <c r="B2191" s="1">
        <v>6.37</v>
      </c>
      <c r="C2191" s="1">
        <v>5.45</v>
      </c>
      <c r="D2191" s="1">
        <v>0.54</v>
      </c>
      <c r="E2191" s="1" t="s">
        <v>113</v>
      </c>
      <c r="F2191" s="1" t="s">
        <v>113</v>
      </c>
      <c r="G2191" s="1" t="s">
        <v>113</v>
      </c>
      <c r="H2191" s="1" t="str">
        <f>VLOOKUP(F2191,Countries!$A$1:$B$161,2,0)</f>
        <v>United States of America</v>
      </c>
    </row>
    <row r="2192" spans="1:8" x14ac:dyDescent="0.3">
      <c r="A2192" s="3">
        <v>46256.037986111107</v>
      </c>
      <c r="B2192" s="1">
        <v>7.67</v>
      </c>
      <c r="C2192" s="1">
        <v>6.57</v>
      </c>
      <c r="D2192" s="1">
        <v>0.48</v>
      </c>
      <c r="E2192" s="1" t="s">
        <v>203</v>
      </c>
      <c r="F2192" s="1" t="s">
        <v>203</v>
      </c>
      <c r="G2192" s="1" t="s">
        <v>203</v>
      </c>
      <c r="H2192" s="1" t="str">
        <f>VLOOKUP(F2192,Countries!$A$1:$B$161,2,0)</f>
        <v>Slovenia</v>
      </c>
    </row>
    <row r="2193" spans="1:8" x14ac:dyDescent="0.3">
      <c r="A2193" s="3">
        <v>46256.030162037037</v>
      </c>
      <c r="B2193" s="1">
        <v>14.77</v>
      </c>
      <c r="C2193" s="1">
        <v>12.65</v>
      </c>
      <c r="D2193" s="1">
        <v>0.91</v>
      </c>
      <c r="E2193" s="1" t="s">
        <v>113</v>
      </c>
      <c r="F2193" s="1" t="s">
        <v>113</v>
      </c>
      <c r="G2193" s="1" t="s">
        <v>113</v>
      </c>
      <c r="H2193" s="1" t="str">
        <f>VLOOKUP(F2193,Countries!$A$1:$B$161,2,0)</f>
        <v>United States of America</v>
      </c>
    </row>
    <row r="2194" spans="1:8" x14ac:dyDescent="0.3">
      <c r="A2194" s="3">
        <v>46256.028981481482</v>
      </c>
      <c r="B2194" s="1">
        <v>6.65</v>
      </c>
      <c r="C2194" s="1">
        <v>5.69</v>
      </c>
      <c r="D2194" s="1">
        <v>0.54</v>
      </c>
      <c r="E2194" s="1" t="s">
        <v>130</v>
      </c>
      <c r="F2194" s="1" t="s">
        <v>130</v>
      </c>
      <c r="G2194" s="1" t="s">
        <v>130</v>
      </c>
      <c r="H2194" s="1" t="str">
        <f>VLOOKUP(F2194,Countries!$A$1:$B$161,2,0)</f>
        <v>Australia</v>
      </c>
    </row>
    <row r="2195" spans="1:8" x14ac:dyDescent="0.3">
      <c r="A2195" s="3">
        <v>46256.014050925929</v>
      </c>
      <c r="B2195" s="1">
        <v>17.010000000000002</v>
      </c>
      <c r="C2195" s="1">
        <v>14.56</v>
      </c>
      <c r="D2195" s="1">
        <v>1.01</v>
      </c>
      <c r="E2195" s="1" t="s">
        <v>113</v>
      </c>
      <c r="F2195" s="1" t="s">
        <v>113</v>
      </c>
      <c r="G2195" s="1" t="s">
        <v>113</v>
      </c>
      <c r="H2195" s="1" t="str">
        <f>VLOOKUP(F2195,Countries!$A$1:$B$161,2,0)</f>
        <v>United States of America</v>
      </c>
    </row>
    <row r="2196" spans="1:8" x14ac:dyDescent="0.3">
      <c r="A2196" s="3">
        <v>46256.013055555559</v>
      </c>
      <c r="B2196" s="1">
        <v>5.99</v>
      </c>
      <c r="C2196" s="1">
        <v>5.13</v>
      </c>
      <c r="D2196" s="1">
        <v>0.52</v>
      </c>
      <c r="E2196" s="1" t="s">
        <v>143</v>
      </c>
      <c r="F2196" s="1" t="s">
        <v>143</v>
      </c>
      <c r="G2196" s="1" t="s">
        <v>143</v>
      </c>
      <c r="H2196" s="1" t="str">
        <f>VLOOKUP(F2196,Countries!$A$1:$B$161,2,0)</f>
        <v>United Arab Emirates</v>
      </c>
    </row>
    <row r="2197" spans="1:8" x14ac:dyDescent="0.3">
      <c r="A2197" s="3">
        <v>46256.008819444447</v>
      </c>
      <c r="B2197" s="1">
        <v>6.37</v>
      </c>
      <c r="C2197" s="1">
        <v>5.45</v>
      </c>
      <c r="D2197" s="1">
        <v>0.54</v>
      </c>
      <c r="E2197" s="1" t="s">
        <v>113</v>
      </c>
      <c r="F2197" s="1" t="s">
        <v>113</v>
      </c>
      <c r="G2197" s="1" t="s">
        <v>113</v>
      </c>
      <c r="H2197" s="1" t="str">
        <f>VLOOKUP(F2197,Countries!$A$1:$B$161,2,0)</f>
        <v>United States of America</v>
      </c>
    </row>
    <row r="2198" spans="1:8" x14ac:dyDescent="0.3">
      <c r="A2198" s="3">
        <v>46256.004502314812</v>
      </c>
      <c r="B2198" s="1">
        <v>2.99</v>
      </c>
      <c r="C2198" s="1">
        <v>2.56</v>
      </c>
      <c r="D2198" s="1">
        <v>0.38</v>
      </c>
      <c r="E2198" s="1" t="s">
        <v>149</v>
      </c>
      <c r="F2198" s="1" t="s">
        <v>149</v>
      </c>
      <c r="G2198" s="1" t="s">
        <v>149</v>
      </c>
      <c r="H2198" s="1" t="str">
        <f>VLOOKUP(F2198,Countries!$A$1:$B$161,2,0)</f>
        <v>Indonesia</v>
      </c>
    </row>
    <row r="2199" spans="1:8" x14ac:dyDescent="0.3">
      <c r="A2199" s="3">
        <v>46255.987800925926</v>
      </c>
      <c r="B2199" s="1">
        <v>10.85</v>
      </c>
      <c r="C2199" s="1">
        <v>9.2899999999999991</v>
      </c>
      <c r="D2199" s="1">
        <v>0.74</v>
      </c>
      <c r="E2199" s="1" t="s">
        <v>115</v>
      </c>
      <c r="F2199" s="1" t="s">
        <v>115</v>
      </c>
      <c r="G2199" s="1" t="s">
        <v>115</v>
      </c>
      <c r="H2199" s="1" t="str">
        <f>VLOOKUP(F2199,Countries!$A$1:$B$161,2,0)</f>
        <v>Switzerland</v>
      </c>
    </row>
    <row r="2200" spans="1:8" x14ac:dyDescent="0.3">
      <c r="A2200" s="3">
        <v>46255.982546296298</v>
      </c>
      <c r="B2200" s="1">
        <v>46.33</v>
      </c>
      <c r="C2200" s="1">
        <v>39.67</v>
      </c>
      <c r="D2200" s="1">
        <v>2.33</v>
      </c>
      <c r="E2200" s="1" t="s">
        <v>143</v>
      </c>
      <c r="F2200" s="1" t="s">
        <v>143</v>
      </c>
      <c r="G2200" s="1" t="s">
        <v>143</v>
      </c>
      <c r="H2200" s="1" t="str">
        <f>VLOOKUP(F2200,Countries!$A$1:$B$161,2,0)</f>
        <v>United Arab Emirates</v>
      </c>
    </row>
    <row r="2201" spans="1:8" x14ac:dyDescent="0.3">
      <c r="A2201" s="3">
        <v>46255.96465277778</v>
      </c>
      <c r="B2201" s="1">
        <v>10.85</v>
      </c>
      <c r="C2201" s="1">
        <v>9.2899999999999991</v>
      </c>
      <c r="D2201" s="1">
        <v>0.74</v>
      </c>
      <c r="E2201" s="1" t="s">
        <v>115</v>
      </c>
      <c r="F2201" s="1" t="s">
        <v>115</v>
      </c>
      <c r="G2201" s="1" t="s">
        <v>115</v>
      </c>
      <c r="H2201" s="1" t="str">
        <f>VLOOKUP(F2201,Countries!$A$1:$B$161,2,0)</f>
        <v>Switzerland</v>
      </c>
    </row>
    <row r="2202" spans="1:8" x14ac:dyDescent="0.3">
      <c r="A2202" s="3">
        <v>46255.961412037039</v>
      </c>
      <c r="B2202" s="1">
        <v>6.3</v>
      </c>
      <c r="C2202" s="1">
        <v>5.39</v>
      </c>
      <c r="D2202" s="1">
        <v>0.54</v>
      </c>
      <c r="E2202" s="1" t="s">
        <v>132</v>
      </c>
      <c r="F2202" s="1" t="s">
        <v>132</v>
      </c>
      <c r="G2202" s="1" t="s">
        <v>132</v>
      </c>
      <c r="H2202" s="1" t="str">
        <f>VLOOKUP(F2202,Countries!$A$1:$B$161,2,0)</f>
        <v>Canada</v>
      </c>
    </row>
    <row r="2203" spans="1:8" x14ac:dyDescent="0.3">
      <c r="A2203" s="3">
        <v>46255.960555555554</v>
      </c>
      <c r="B2203" s="1">
        <v>10.85</v>
      </c>
      <c r="C2203" s="1">
        <v>9.2899999999999991</v>
      </c>
      <c r="D2203" s="1">
        <v>0.74</v>
      </c>
      <c r="E2203" s="1" t="s">
        <v>115</v>
      </c>
      <c r="F2203" s="1" t="s">
        <v>115</v>
      </c>
      <c r="G2203" s="1" t="s">
        <v>115</v>
      </c>
      <c r="H2203" s="1" t="str">
        <f>VLOOKUP(F2203,Countries!$A$1:$B$161,2,0)</f>
        <v>Switzerland</v>
      </c>
    </row>
    <row r="2204" spans="1:8" x14ac:dyDescent="0.3">
      <c r="A2204" s="3">
        <v>46255.957060185188</v>
      </c>
      <c r="B2204" s="1">
        <v>6.37</v>
      </c>
      <c r="C2204" s="1">
        <v>5.45</v>
      </c>
      <c r="D2204" s="1">
        <v>0.54</v>
      </c>
      <c r="E2204" s="1" t="s">
        <v>183</v>
      </c>
      <c r="F2204" s="1" t="s">
        <v>183</v>
      </c>
      <c r="G2204" s="1" t="s">
        <v>183</v>
      </c>
      <c r="H2204" s="1" t="str">
        <f>VLOOKUP(F2204,Countries!$A$1:$B$161,2,0)</f>
        <v>Malaysia</v>
      </c>
    </row>
    <row r="2205" spans="1:8" x14ac:dyDescent="0.3">
      <c r="A2205" s="3">
        <v>46255.955752314818</v>
      </c>
      <c r="B2205" s="1">
        <v>7.67</v>
      </c>
      <c r="C2205" s="1">
        <v>6.57</v>
      </c>
      <c r="D2205" s="1">
        <v>0.48</v>
      </c>
      <c r="E2205" s="1" t="s">
        <v>113</v>
      </c>
      <c r="F2205" s="1" t="s">
        <v>113</v>
      </c>
      <c r="G2205" s="1" t="s">
        <v>113</v>
      </c>
      <c r="H2205" s="1" t="str">
        <f>VLOOKUP(F2205,Countries!$A$1:$B$161,2,0)</f>
        <v>United States of America</v>
      </c>
    </row>
    <row r="2206" spans="1:8" x14ac:dyDescent="0.3">
      <c r="A2206" s="3">
        <v>46255.953518518523</v>
      </c>
      <c r="B2206" s="1">
        <v>10.85</v>
      </c>
      <c r="C2206" s="1">
        <v>9.2899999999999991</v>
      </c>
      <c r="D2206" s="1">
        <v>0.74</v>
      </c>
      <c r="E2206" s="1" t="s">
        <v>115</v>
      </c>
      <c r="F2206" s="1" t="s">
        <v>115</v>
      </c>
      <c r="G2206" s="1" t="s">
        <v>115</v>
      </c>
      <c r="H2206" s="1" t="str">
        <f>VLOOKUP(F2206,Countries!$A$1:$B$161,2,0)</f>
        <v>Switzerland</v>
      </c>
    </row>
    <row r="2207" spans="1:8" x14ac:dyDescent="0.3">
      <c r="A2207" s="3">
        <v>46255.950613425928</v>
      </c>
      <c r="B2207" s="1">
        <v>6.3</v>
      </c>
      <c r="C2207" s="1">
        <v>5.39</v>
      </c>
      <c r="D2207" s="1">
        <v>0.54</v>
      </c>
      <c r="E2207" s="1" t="s">
        <v>132</v>
      </c>
      <c r="F2207" s="1" t="s">
        <v>132</v>
      </c>
      <c r="G2207" s="1" t="s">
        <v>132</v>
      </c>
      <c r="H2207" s="1" t="str">
        <f>VLOOKUP(F2207,Countries!$A$1:$B$161,2,0)</f>
        <v>Canada</v>
      </c>
    </row>
    <row r="2208" spans="1:8" x14ac:dyDescent="0.3">
      <c r="A2208" s="3">
        <v>46255.946759259263</v>
      </c>
      <c r="B2208" s="1">
        <v>10.85</v>
      </c>
      <c r="C2208" s="1">
        <v>9.2899999999999991</v>
      </c>
      <c r="D2208" s="1">
        <v>0.74</v>
      </c>
      <c r="E2208" s="1" t="s">
        <v>115</v>
      </c>
      <c r="F2208" s="1" t="s">
        <v>115</v>
      </c>
      <c r="G2208" s="1" t="s">
        <v>115</v>
      </c>
      <c r="H2208" s="1" t="str">
        <f>VLOOKUP(F2208,Countries!$A$1:$B$161,2,0)</f>
        <v>Switzerland</v>
      </c>
    </row>
    <row r="2209" spans="1:8" x14ac:dyDescent="0.3">
      <c r="A2209" s="3">
        <v>46255.942615740743</v>
      </c>
      <c r="B2209" s="1">
        <v>17.36</v>
      </c>
      <c r="C2209" s="1">
        <v>14.86</v>
      </c>
      <c r="D2209" s="1">
        <v>0.77</v>
      </c>
      <c r="E2209" s="1" t="s">
        <v>123</v>
      </c>
      <c r="F2209" s="1" t="s">
        <v>123</v>
      </c>
      <c r="G2209" s="1" t="s">
        <v>123</v>
      </c>
      <c r="H2209" s="1" t="str">
        <f>VLOOKUP(F2209,Countries!$A$1:$B$161,2,0)</f>
        <v>France</v>
      </c>
    </row>
    <row r="2210" spans="1:8" x14ac:dyDescent="0.3">
      <c r="A2210" s="3">
        <v>46255.940937500003</v>
      </c>
      <c r="B2210" s="1">
        <v>21.27</v>
      </c>
      <c r="C2210" s="1">
        <v>18.21</v>
      </c>
      <c r="D2210" s="1">
        <v>1.2</v>
      </c>
      <c r="E2210" s="1" t="s">
        <v>113</v>
      </c>
      <c r="F2210" s="1" t="s">
        <v>113</v>
      </c>
      <c r="G2210" s="1" t="s">
        <v>113</v>
      </c>
      <c r="H2210" s="1" t="str">
        <f>VLOOKUP(F2210,Countries!$A$1:$B$161,2,0)</f>
        <v>United States of America</v>
      </c>
    </row>
    <row r="2211" spans="1:8" x14ac:dyDescent="0.3">
      <c r="A2211" s="3">
        <v>46255.940185185187</v>
      </c>
      <c r="B2211" s="1">
        <v>21.27</v>
      </c>
      <c r="C2211" s="1">
        <v>18.21</v>
      </c>
      <c r="D2211" s="1">
        <v>1.2</v>
      </c>
      <c r="E2211" s="1" t="s">
        <v>113</v>
      </c>
      <c r="F2211" s="1" t="s">
        <v>113</v>
      </c>
      <c r="G2211" s="1" t="s">
        <v>113</v>
      </c>
      <c r="H2211" s="1" t="str">
        <f>VLOOKUP(F2211,Countries!$A$1:$B$161,2,0)</f>
        <v>United States of America</v>
      </c>
    </row>
    <row r="2212" spans="1:8" x14ac:dyDescent="0.3">
      <c r="A2212" s="3">
        <v>46255.940023148149</v>
      </c>
      <c r="B2212" s="1">
        <v>10.85</v>
      </c>
      <c r="C2212" s="1">
        <v>9.2899999999999991</v>
      </c>
      <c r="D2212" s="1">
        <v>0.74</v>
      </c>
      <c r="E2212" s="1" t="s">
        <v>115</v>
      </c>
      <c r="F2212" s="1" t="s">
        <v>115</v>
      </c>
      <c r="G2212" s="1" t="s">
        <v>115</v>
      </c>
      <c r="H2212" s="1" t="str">
        <f>VLOOKUP(F2212,Countries!$A$1:$B$161,2,0)</f>
        <v>Switzerland</v>
      </c>
    </row>
    <row r="2213" spans="1:8" x14ac:dyDescent="0.3">
      <c r="A2213" s="3">
        <v>46255.938125000001</v>
      </c>
      <c r="B2213" s="1">
        <v>26.59</v>
      </c>
      <c r="C2213" s="1">
        <v>22.77</v>
      </c>
      <c r="D2213" s="1">
        <v>1.45</v>
      </c>
      <c r="E2213" s="1" t="s">
        <v>113</v>
      </c>
      <c r="F2213" s="1" t="s">
        <v>113</v>
      </c>
      <c r="G2213" s="1" t="s">
        <v>113</v>
      </c>
      <c r="H2213" s="1" t="str">
        <f>VLOOKUP(F2213,Countries!$A$1:$B$161,2,0)</f>
        <v>United States of America</v>
      </c>
    </row>
    <row r="2214" spans="1:8" x14ac:dyDescent="0.3">
      <c r="A2214" s="3">
        <v>46255.937222222223</v>
      </c>
      <c r="B2214" s="1">
        <v>17.36</v>
      </c>
      <c r="C2214" s="1">
        <v>14.86</v>
      </c>
      <c r="D2214" s="1">
        <v>0.77</v>
      </c>
      <c r="E2214" s="1" t="s">
        <v>123</v>
      </c>
      <c r="F2214" s="1" t="s">
        <v>123</v>
      </c>
      <c r="G2214" s="1" t="s">
        <v>123</v>
      </c>
      <c r="H2214" s="1" t="str">
        <f>VLOOKUP(F2214,Countries!$A$1:$B$161,2,0)</f>
        <v>France</v>
      </c>
    </row>
    <row r="2215" spans="1:8" x14ac:dyDescent="0.3">
      <c r="A2215" s="3">
        <v>46255.93482638889</v>
      </c>
      <c r="B2215" s="1">
        <v>7.48</v>
      </c>
      <c r="C2215" s="1">
        <v>6.4</v>
      </c>
      <c r="D2215" s="1">
        <v>0.48</v>
      </c>
      <c r="E2215" s="1" t="s">
        <v>123</v>
      </c>
      <c r="F2215" s="1" t="s">
        <v>123</v>
      </c>
      <c r="G2215" s="1" t="s">
        <v>123</v>
      </c>
      <c r="H2215" s="1" t="str">
        <f>VLOOKUP(F2215,Countries!$A$1:$B$161,2,0)</f>
        <v>France</v>
      </c>
    </row>
    <row r="2216" spans="1:8" x14ac:dyDescent="0.3">
      <c r="A2216" s="3">
        <v>46255.934814814813</v>
      </c>
      <c r="B2216" s="1">
        <v>10.85</v>
      </c>
      <c r="C2216" s="1">
        <v>9.2899999999999991</v>
      </c>
      <c r="D2216" s="1">
        <v>0.74</v>
      </c>
      <c r="E2216" s="1" t="s">
        <v>115</v>
      </c>
      <c r="F2216" s="1" t="s">
        <v>115</v>
      </c>
      <c r="G2216" s="1" t="s">
        <v>115</v>
      </c>
      <c r="H2216" s="1" t="str">
        <f>VLOOKUP(F2216,Countries!$A$1:$B$161,2,0)</f>
        <v>Switzerland</v>
      </c>
    </row>
    <row r="2217" spans="1:8" x14ac:dyDescent="0.3">
      <c r="A2217" s="3">
        <v>46255.934108796297</v>
      </c>
      <c r="B2217" s="1">
        <v>14.77</v>
      </c>
      <c r="C2217" s="1">
        <v>12.65</v>
      </c>
      <c r="D2217" s="1">
        <v>0.91</v>
      </c>
      <c r="E2217" s="1" t="s">
        <v>113</v>
      </c>
      <c r="F2217" s="1" t="s">
        <v>113</v>
      </c>
      <c r="G2217" s="1" t="s">
        <v>113</v>
      </c>
      <c r="H2217" s="1" t="str">
        <f>VLOOKUP(F2217,Countries!$A$1:$B$161,2,0)</f>
        <v>United States of America</v>
      </c>
    </row>
    <row r="2218" spans="1:8" x14ac:dyDescent="0.3">
      <c r="A2218" s="3">
        <v>46255.93005787037</v>
      </c>
      <c r="B2218" s="1">
        <v>6.37</v>
      </c>
      <c r="C2218" s="1">
        <v>5.45</v>
      </c>
      <c r="D2218" s="1">
        <v>0.54</v>
      </c>
      <c r="E2218" s="1" t="s">
        <v>113</v>
      </c>
      <c r="F2218" s="1" t="s">
        <v>113</v>
      </c>
      <c r="G2218" s="1" t="s">
        <v>113</v>
      </c>
      <c r="H2218" s="1" t="str">
        <f>VLOOKUP(F2218,Countries!$A$1:$B$161,2,0)</f>
        <v>United States of America</v>
      </c>
    </row>
    <row r="2219" spans="1:8" x14ac:dyDescent="0.3">
      <c r="A2219" s="3">
        <v>46255.924907407411</v>
      </c>
      <c r="B2219" s="1">
        <v>7.58</v>
      </c>
      <c r="C2219" s="1">
        <v>6.49</v>
      </c>
      <c r="D2219" s="1">
        <v>0.48</v>
      </c>
      <c r="E2219" s="1" t="s">
        <v>154</v>
      </c>
      <c r="F2219" s="1" t="s">
        <v>154</v>
      </c>
      <c r="G2219" s="1" t="s">
        <v>154</v>
      </c>
      <c r="H2219" s="1" t="str">
        <f>VLOOKUP(F2219,Countries!$A$1:$B$161,2,0)</f>
        <v>Belgium</v>
      </c>
    </row>
    <row r="2220" spans="1:8" x14ac:dyDescent="0.3">
      <c r="A2220" s="3">
        <v>46255.922858796293</v>
      </c>
      <c r="B2220" s="1">
        <v>6.37</v>
      </c>
      <c r="C2220" s="1">
        <v>5.45</v>
      </c>
      <c r="D2220" s="1">
        <v>0.54</v>
      </c>
      <c r="E2220" s="1" t="s">
        <v>113</v>
      </c>
      <c r="F2220" s="1" t="s">
        <v>113</v>
      </c>
      <c r="G2220" s="1" t="s">
        <v>113</v>
      </c>
      <c r="H2220" s="1" t="str">
        <f>VLOOKUP(F2220,Countries!$A$1:$B$161,2,0)</f>
        <v>United States of America</v>
      </c>
    </row>
    <row r="2221" spans="1:8" x14ac:dyDescent="0.3">
      <c r="A2221" s="3">
        <v>46255.921261574083</v>
      </c>
      <c r="B2221" s="1">
        <v>17.36</v>
      </c>
      <c r="C2221" s="1">
        <v>14.86</v>
      </c>
      <c r="D2221" s="1">
        <v>0.77</v>
      </c>
      <c r="E2221" s="1" t="s">
        <v>123</v>
      </c>
      <c r="F2221" s="1" t="s">
        <v>123</v>
      </c>
      <c r="G2221" s="1" t="s">
        <v>123</v>
      </c>
      <c r="H2221" s="1" t="str">
        <f>VLOOKUP(F2221,Countries!$A$1:$B$161,2,0)</f>
        <v>France</v>
      </c>
    </row>
    <row r="2222" spans="1:8" x14ac:dyDescent="0.3">
      <c r="A2222" s="3">
        <v>46255.920104166667</v>
      </c>
      <c r="B2222" s="1">
        <v>2.11</v>
      </c>
      <c r="C2222" s="1">
        <v>1.81</v>
      </c>
      <c r="D2222" s="1">
        <v>0.35</v>
      </c>
      <c r="E2222" s="1" t="s">
        <v>113</v>
      </c>
      <c r="F2222" s="1" t="s">
        <v>113</v>
      </c>
      <c r="G2222" s="1" t="s">
        <v>113</v>
      </c>
      <c r="H2222" s="1" t="str">
        <f>VLOOKUP(F2222,Countries!$A$1:$B$161,2,0)</f>
        <v>United States of America</v>
      </c>
    </row>
    <row r="2223" spans="1:8" x14ac:dyDescent="0.3">
      <c r="A2223" s="3">
        <v>46255.919849537036</v>
      </c>
      <c r="B2223" s="1">
        <v>10.85</v>
      </c>
      <c r="C2223" s="1">
        <v>9.2899999999999991</v>
      </c>
      <c r="D2223" s="1">
        <v>0.74</v>
      </c>
      <c r="E2223" s="1" t="s">
        <v>115</v>
      </c>
      <c r="F2223" s="1" t="s">
        <v>115</v>
      </c>
      <c r="G2223" s="1" t="s">
        <v>115</v>
      </c>
      <c r="H2223" s="1" t="str">
        <f>VLOOKUP(F2223,Countries!$A$1:$B$161,2,0)</f>
        <v>Switzerland</v>
      </c>
    </row>
    <row r="2224" spans="1:8" x14ac:dyDescent="0.3">
      <c r="A2224" s="3">
        <v>46255.919027777767</v>
      </c>
      <c r="B2224" s="1">
        <v>2.11</v>
      </c>
      <c r="C2224" s="1">
        <v>1.81</v>
      </c>
      <c r="D2224" s="1">
        <v>0.35</v>
      </c>
      <c r="E2224" s="1" t="s">
        <v>113</v>
      </c>
      <c r="F2224" s="1" t="s">
        <v>113</v>
      </c>
      <c r="G2224" s="1" t="s">
        <v>113</v>
      </c>
      <c r="H2224" s="1" t="str">
        <f>VLOOKUP(F2224,Countries!$A$1:$B$161,2,0)</f>
        <v>United States of America</v>
      </c>
    </row>
    <row r="2225" spans="1:8" x14ac:dyDescent="0.3">
      <c r="A2225" s="3">
        <v>46255.911909722221</v>
      </c>
      <c r="B2225" s="1">
        <v>10.85</v>
      </c>
      <c r="C2225" s="1">
        <v>9.2899999999999991</v>
      </c>
      <c r="D2225" s="1">
        <v>0.74</v>
      </c>
      <c r="E2225" s="1" t="s">
        <v>115</v>
      </c>
      <c r="F2225" s="1" t="s">
        <v>115</v>
      </c>
      <c r="G2225" s="1" t="s">
        <v>115</v>
      </c>
      <c r="H2225" s="1" t="str">
        <f>VLOOKUP(F2225,Countries!$A$1:$B$161,2,0)</f>
        <v>Switzerland</v>
      </c>
    </row>
    <row r="2226" spans="1:8" x14ac:dyDescent="0.3">
      <c r="A2226" s="3">
        <v>46255.910914351851</v>
      </c>
      <c r="B2226" s="1">
        <v>81.52</v>
      </c>
      <c r="C2226" s="1">
        <v>69.81</v>
      </c>
      <c r="D2226" s="1">
        <v>3.92</v>
      </c>
      <c r="E2226" s="1" t="s">
        <v>115</v>
      </c>
      <c r="F2226" s="1" t="s">
        <v>115</v>
      </c>
      <c r="G2226" s="1" t="s">
        <v>115</v>
      </c>
      <c r="H2226" s="1" t="str">
        <f>VLOOKUP(F2226,Countries!$A$1:$B$161,2,0)</f>
        <v>Switzerland</v>
      </c>
    </row>
    <row r="2227" spans="1:8" x14ac:dyDescent="0.3">
      <c r="A2227" s="3">
        <v>46255.91002314815</v>
      </c>
      <c r="B2227" s="1">
        <v>6.37</v>
      </c>
      <c r="C2227" s="1">
        <v>5.45</v>
      </c>
      <c r="D2227" s="1">
        <v>0.54</v>
      </c>
      <c r="E2227" s="1" t="s">
        <v>113</v>
      </c>
      <c r="F2227" s="1" t="s">
        <v>113</v>
      </c>
      <c r="G2227" s="1" t="s">
        <v>113</v>
      </c>
      <c r="H2227" s="1" t="str">
        <f>VLOOKUP(F2227,Countries!$A$1:$B$161,2,0)</f>
        <v>United States of America</v>
      </c>
    </row>
    <row r="2228" spans="1:8" x14ac:dyDescent="0.3">
      <c r="A2228" s="3">
        <v>46255.909004629633</v>
      </c>
      <c r="B2228" s="1">
        <v>95.56</v>
      </c>
      <c r="C2228" s="1">
        <v>81.83</v>
      </c>
      <c r="D2228" s="1">
        <v>3.12</v>
      </c>
      <c r="E2228" s="1" t="s">
        <v>113</v>
      </c>
      <c r="F2228" s="1" t="s">
        <v>113</v>
      </c>
      <c r="G2228" s="1" t="s">
        <v>113</v>
      </c>
      <c r="H2228" s="1" t="str">
        <f>VLOOKUP(F2228,Countries!$A$1:$B$161,2,0)</f>
        <v>United States of America</v>
      </c>
    </row>
    <row r="2229" spans="1:8" x14ac:dyDescent="0.3">
      <c r="A2229" s="3">
        <v>46255.907870370371</v>
      </c>
      <c r="B2229" s="1">
        <v>17.36</v>
      </c>
      <c r="C2229" s="1">
        <v>14.87</v>
      </c>
      <c r="D2229" s="1">
        <v>0.77</v>
      </c>
      <c r="E2229" s="1" t="s">
        <v>113</v>
      </c>
      <c r="F2229" s="1" t="s">
        <v>113</v>
      </c>
      <c r="G2229" s="1" t="s">
        <v>113</v>
      </c>
      <c r="H2229" s="1" t="str">
        <f>VLOOKUP(F2229,Countries!$A$1:$B$161,2,0)</f>
        <v>United States of America</v>
      </c>
    </row>
    <row r="2230" spans="1:8" x14ac:dyDescent="0.3">
      <c r="A2230" s="3">
        <v>46255.907604166663</v>
      </c>
      <c r="B2230" s="1">
        <v>7.48</v>
      </c>
      <c r="C2230" s="1">
        <v>6.41</v>
      </c>
      <c r="D2230" s="1">
        <v>0.48</v>
      </c>
      <c r="E2230" s="1" t="s">
        <v>113</v>
      </c>
      <c r="F2230" s="1" t="s">
        <v>113</v>
      </c>
      <c r="G2230" s="1" t="s">
        <v>113</v>
      </c>
      <c r="H2230" s="1" t="str">
        <f>VLOOKUP(F2230,Countries!$A$1:$B$161,2,0)</f>
        <v>United States of America</v>
      </c>
    </row>
    <row r="2231" spans="1:8" x14ac:dyDescent="0.3">
      <c r="A2231" s="3">
        <v>46255.906076388892</v>
      </c>
      <c r="B2231" s="1">
        <v>10.85</v>
      </c>
      <c r="C2231" s="1">
        <v>9.2899999999999991</v>
      </c>
      <c r="D2231" s="1">
        <v>0.74</v>
      </c>
      <c r="E2231" s="1" t="s">
        <v>115</v>
      </c>
      <c r="F2231" s="1" t="s">
        <v>115</v>
      </c>
      <c r="G2231" s="1" t="s">
        <v>115</v>
      </c>
      <c r="H2231" s="1" t="str">
        <f>VLOOKUP(F2231,Countries!$A$1:$B$161,2,0)</f>
        <v>Switzerland</v>
      </c>
    </row>
    <row r="2232" spans="1:8" x14ac:dyDescent="0.3">
      <c r="A2232" s="3">
        <v>46255.902870370373</v>
      </c>
      <c r="B2232" s="1">
        <v>10.85</v>
      </c>
      <c r="C2232" s="1">
        <v>9.2899999999999991</v>
      </c>
      <c r="D2232" s="1">
        <v>0.74</v>
      </c>
      <c r="E2232" s="1" t="s">
        <v>115</v>
      </c>
      <c r="F2232" s="1" t="s">
        <v>115</v>
      </c>
      <c r="G2232" s="1" t="s">
        <v>115</v>
      </c>
      <c r="H2232" s="1" t="str">
        <f>VLOOKUP(F2232,Countries!$A$1:$B$161,2,0)</f>
        <v>Switzerland</v>
      </c>
    </row>
    <row r="2233" spans="1:8" x14ac:dyDescent="0.3">
      <c r="A2233" s="3">
        <v>46255.899467592593</v>
      </c>
      <c r="B2233" s="1">
        <v>2.11</v>
      </c>
      <c r="C2233" s="1">
        <v>1.81</v>
      </c>
      <c r="D2233" s="1">
        <v>0.35</v>
      </c>
      <c r="E2233" s="1" t="s">
        <v>113</v>
      </c>
      <c r="F2233" s="1" t="s">
        <v>113</v>
      </c>
      <c r="G2233" s="1" t="s">
        <v>113</v>
      </c>
      <c r="H2233" s="1" t="str">
        <f>VLOOKUP(F2233,Countries!$A$1:$B$161,2,0)</f>
        <v>United States of America</v>
      </c>
    </row>
    <row r="2234" spans="1:8" x14ac:dyDescent="0.3">
      <c r="A2234" s="3">
        <v>46255.899062500001</v>
      </c>
      <c r="B2234" s="1">
        <v>17.36</v>
      </c>
      <c r="C2234" s="1">
        <v>14.87</v>
      </c>
      <c r="D2234" s="1">
        <v>0.77</v>
      </c>
      <c r="E2234" s="1" t="s">
        <v>113</v>
      </c>
      <c r="F2234" s="1" t="s">
        <v>113</v>
      </c>
      <c r="G2234" s="1" t="s">
        <v>113</v>
      </c>
      <c r="H2234" s="1" t="str">
        <f>VLOOKUP(F2234,Countries!$A$1:$B$161,2,0)</f>
        <v>United States of America</v>
      </c>
    </row>
    <row r="2235" spans="1:8" x14ac:dyDescent="0.3">
      <c r="A2235" s="3">
        <v>46255.898518518523</v>
      </c>
      <c r="B2235" s="1">
        <v>69.5</v>
      </c>
      <c r="C2235" s="1">
        <v>59.51</v>
      </c>
      <c r="D2235" s="1">
        <v>2.33</v>
      </c>
      <c r="E2235" s="1" t="s">
        <v>113</v>
      </c>
      <c r="F2235" s="1" t="s">
        <v>113</v>
      </c>
      <c r="G2235" s="1" t="s">
        <v>113</v>
      </c>
      <c r="H2235" s="1" t="str">
        <f>VLOOKUP(F2235,Countries!$A$1:$B$161,2,0)</f>
        <v>United States of America</v>
      </c>
    </row>
    <row r="2236" spans="1:8" x14ac:dyDescent="0.3">
      <c r="A2236" s="3">
        <v>46255.89503472222</v>
      </c>
      <c r="B2236" s="1">
        <v>10.85</v>
      </c>
      <c r="C2236" s="1">
        <v>9.2899999999999991</v>
      </c>
      <c r="D2236" s="1">
        <v>0.74</v>
      </c>
      <c r="E2236" s="1" t="s">
        <v>115</v>
      </c>
      <c r="F2236" s="1" t="s">
        <v>115</v>
      </c>
      <c r="G2236" s="1" t="s">
        <v>115</v>
      </c>
      <c r="H2236" s="1" t="str">
        <f>VLOOKUP(F2236,Countries!$A$1:$B$161,2,0)</f>
        <v>Switzerland</v>
      </c>
    </row>
    <row r="2237" spans="1:8" x14ac:dyDescent="0.3">
      <c r="A2237" s="3">
        <v>46255.89099537037</v>
      </c>
      <c r="B2237" s="1">
        <v>52.12</v>
      </c>
      <c r="C2237" s="1">
        <v>44.63</v>
      </c>
      <c r="D2237" s="1">
        <v>1.81</v>
      </c>
      <c r="E2237" s="1" t="s">
        <v>113</v>
      </c>
      <c r="F2237" s="1" t="s">
        <v>113</v>
      </c>
      <c r="G2237" s="1" t="s">
        <v>113</v>
      </c>
      <c r="H2237" s="1" t="str">
        <f>VLOOKUP(F2237,Countries!$A$1:$B$161,2,0)</f>
        <v>United States of America</v>
      </c>
    </row>
    <row r="2238" spans="1:8" x14ac:dyDescent="0.3">
      <c r="A2238" s="3">
        <v>46255.887719907398</v>
      </c>
      <c r="B2238" s="1">
        <v>27.17</v>
      </c>
      <c r="C2238" s="1">
        <v>23.27</v>
      </c>
      <c r="D2238" s="1">
        <v>1.48</v>
      </c>
      <c r="E2238" s="1" t="s">
        <v>115</v>
      </c>
      <c r="F2238" s="1" t="s">
        <v>115</v>
      </c>
      <c r="G2238" s="1" t="s">
        <v>115</v>
      </c>
      <c r="H2238" s="1" t="str">
        <f>VLOOKUP(F2238,Countries!$A$1:$B$161,2,0)</f>
        <v>Switzerland</v>
      </c>
    </row>
    <row r="2239" spans="1:8" x14ac:dyDescent="0.3">
      <c r="A2239" s="3">
        <v>46255.885659722233</v>
      </c>
      <c r="B2239" s="1">
        <v>10.85</v>
      </c>
      <c r="C2239" s="1">
        <v>9.2899999999999991</v>
      </c>
      <c r="D2239" s="1">
        <v>0.74</v>
      </c>
      <c r="E2239" s="1" t="s">
        <v>115</v>
      </c>
      <c r="F2239" s="1" t="s">
        <v>115</v>
      </c>
      <c r="G2239" s="1" t="s">
        <v>115</v>
      </c>
      <c r="H2239" s="1" t="str">
        <f>VLOOKUP(F2239,Countries!$A$1:$B$161,2,0)</f>
        <v>Switzerland</v>
      </c>
    </row>
    <row r="2240" spans="1:8" x14ac:dyDescent="0.3">
      <c r="A2240" s="3">
        <v>46255.885497685187</v>
      </c>
      <c r="B2240" s="1">
        <v>26.06</v>
      </c>
      <c r="C2240" s="1">
        <v>22.32</v>
      </c>
      <c r="D2240" s="1">
        <v>1.03</v>
      </c>
      <c r="E2240" s="1" t="s">
        <v>113</v>
      </c>
      <c r="F2240" s="1" t="s">
        <v>113</v>
      </c>
      <c r="G2240" s="1" t="s">
        <v>113</v>
      </c>
      <c r="H2240" s="1" t="str">
        <f>VLOOKUP(F2240,Countries!$A$1:$B$161,2,0)</f>
        <v>United States of America</v>
      </c>
    </row>
    <row r="2241" spans="1:8" x14ac:dyDescent="0.3">
      <c r="A2241" s="3">
        <v>46255.88517361111</v>
      </c>
      <c r="B2241" s="1">
        <v>7.77</v>
      </c>
      <c r="C2241" s="1">
        <v>6.65</v>
      </c>
      <c r="D2241" s="1">
        <v>0.48</v>
      </c>
      <c r="E2241" s="1" t="s">
        <v>137</v>
      </c>
      <c r="F2241" s="1" t="s">
        <v>137</v>
      </c>
      <c r="G2241" s="1" t="s">
        <v>137</v>
      </c>
      <c r="H2241" s="1" t="str">
        <f>VLOOKUP(F2241,Countries!$A$1:$B$161,2,0)</f>
        <v>Poland</v>
      </c>
    </row>
    <row r="2242" spans="1:8" x14ac:dyDescent="0.3">
      <c r="A2242" s="3">
        <v>46255.881956018522</v>
      </c>
      <c r="B2242" s="1">
        <v>10.85</v>
      </c>
      <c r="C2242" s="1">
        <v>9.2899999999999991</v>
      </c>
      <c r="D2242" s="1">
        <v>0.74</v>
      </c>
      <c r="E2242" s="1" t="s">
        <v>115</v>
      </c>
      <c r="F2242" s="1" t="s">
        <v>115</v>
      </c>
      <c r="G2242" s="1" t="s">
        <v>115</v>
      </c>
      <c r="H2242" s="1" t="str">
        <f>VLOOKUP(F2242,Countries!$A$1:$B$161,2,0)</f>
        <v>Switzerland</v>
      </c>
    </row>
    <row r="2243" spans="1:8" x14ac:dyDescent="0.3">
      <c r="A2243" s="3">
        <v>46255.878159722219</v>
      </c>
      <c r="B2243" s="1">
        <v>2.09</v>
      </c>
      <c r="C2243" s="1">
        <v>1.79</v>
      </c>
      <c r="D2243" s="1">
        <v>0.35</v>
      </c>
      <c r="E2243" s="1" t="s">
        <v>132</v>
      </c>
      <c r="F2243" s="1" t="s">
        <v>132</v>
      </c>
      <c r="G2243" s="1" t="s">
        <v>132</v>
      </c>
      <c r="H2243" s="1" t="str">
        <f>VLOOKUP(F2243,Countries!$A$1:$B$161,2,0)</f>
        <v>Canada</v>
      </c>
    </row>
    <row r="2244" spans="1:8" x14ac:dyDescent="0.3">
      <c r="A2244" s="3">
        <v>46255.876979166656</v>
      </c>
      <c r="B2244" s="1">
        <v>26.06</v>
      </c>
      <c r="C2244" s="1">
        <v>22.31</v>
      </c>
      <c r="D2244" s="1">
        <v>1.03</v>
      </c>
      <c r="E2244" s="1" t="s">
        <v>113</v>
      </c>
      <c r="F2244" s="1" t="s">
        <v>113</v>
      </c>
      <c r="G2244" s="1" t="s">
        <v>113</v>
      </c>
      <c r="H2244" s="1" t="str">
        <f>VLOOKUP(F2244,Countries!$A$1:$B$161,2,0)</f>
        <v>United States of America</v>
      </c>
    </row>
    <row r="2245" spans="1:8" x14ac:dyDescent="0.3">
      <c r="A2245" s="3">
        <v>46255.876493055563</v>
      </c>
      <c r="B2245" s="1">
        <v>43.43</v>
      </c>
      <c r="C2245" s="1">
        <v>37.19</v>
      </c>
      <c r="D2245" s="1">
        <v>1.55</v>
      </c>
      <c r="E2245" s="1" t="s">
        <v>113</v>
      </c>
      <c r="F2245" s="1" t="s">
        <v>113</v>
      </c>
      <c r="G2245" s="1" t="s">
        <v>113</v>
      </c>
      <c r="H2245" s="1" t="str">
        <f>VLOOKUP(F2245,Countries!$A$1:$B$161,2,0)</f>
        <v>United States of America</v>
      </c>
    </row>
    <row r="2246" spans="1:8" x14ac:dyDescent="0.3">
      <c r="A2246" s="3">
        <v>46255.874166666668</v>
      </c>
      <c r="B2246" s="1">
        <v>10.85</v>
      </c>
      <c r="C2246" s="1">
        <v>9.2899999999999991</v>
      </c>
      <c r="D2246" s="1">
        <v>0.74</v>
      </c>
      <c r="E2246" s="1" t="s">
        <v>115</v>
      </c>
      <c r="F2246" s="1" t="s">
        <v>115</v>
      </c>
      <c r="G2246" s="1" t="s">
        <v>115</v>
      </c>
      <c r="H2246" s="1" t="str">
        <f>VLOOKUP(F2246,Countries!$A$1:$B$161,2,0)</f>
        <v>Switzerland</v>
      </c>
    </row>
    <row r="2247" spans="1:8" x14ac:dyDescent="0.3">
      <c r="A2247" s="3">
        <v>46255.871423611112</v>
      </c>
      <c r="B2247" s="1">
        <v>19.98</v>
      </c>
      <c r="C2247" s="1">
        <v>17.11</v>
      </c>
      <c r="D2247" s="1">
        <v>0.85</v>
      </c>
      <c r="E2247" s="1" t="s">
        <v>113</v>
      </c>
      <c r="F2247" s="1" t="s">
        <v>113</v>
      </c>
      <c r="G2247" s="1" t="s">
        <v>113</v>
      </c>
      <c r="H2247" s="1" t="str">
        <f>VLOOKUP(F2247,Countries!$A$1:$B$161,2,0)</f>
        <v>United States of America</v>
      </c>
    </row>
    <row r="2248" spans="1:8" x14ac:dyDescent="0.3">
      <c r="A2248" s="3">
        <v>46255.871180555558</v>
      </c>
      <c r="B2248" s="1">
        <v>6.37</v>
      </c>
      <c r="C2248" s="1">
        <v>5.45</v>
      </c>
      <c r="D2248" s="1">
        <v>0.54</v>
      </c>
      <c r="E2248" s="1" t="s">
        <v>113</v>
      </c>
      <c r="F2248" s="1" t="s">
        <v>113</v>
      </c>
      <c r="G2248" s="1" t="s">
        <v>113</v>
      </c>
      <c r="H2248" s="1" t="str">
        <f>VLOOKUP(F2248,Countries!$A$1:$B$161,2,0)</f>
        <v>United States of America</v>
      </c>
    </row>
    <row r="2249" spans="1:8" x14ac:dyDescent="0.3">
      <c r="A2249" s="3">
        <v>46255.868506944447</v>
      </c>
      <c r="B2249" s="1">
        <v>10.85</v>
      </c>
      <c r="C2249" s="1">
        <v>9.2899999999999991</v>
      </c>
      <c r="D2249" s="1">
        <v>0.74</v>
      </c>
      <c r="E2249" s="1" t="s">
        <v>115</v>
      </c>
      <c r="F2249" s="1" t="s">
        <v>115</v>
      </c>
      <c r="G2249" s="1" t="s">
        <v>115</v>
      </c>
      <c r="H2249" s="1" t="str">
        <f>VLOOKUP(F2249,Countries!$A$1:$B$161,2,0)</f>
        <v>Switzerland</v>
      </c>
    </row>
    <row r="2250" spans="1:8" x14ac:dyDescent="0.3">
      <c r="A2250" s="3">
        <v>46255.866446759261</v>
      </c>
      <c r="B2250" s="1">
        <v>6.37</v>
      </c>
      <c r="C2250" s="1">
        <v>5.45</v>
      </c>
      <c r="D2250" s="1">
        <v>0.54</v>
      </c>
      <c r="E2250" s="1" t="s">
        <v>113</v>
      </c>
      <c r="F2250" s="1" t="s">
        <v>113</v>
      </c>
      <c r="G2250" s="1" t="s">
        <v>113</v>
      </c>
      <c r="H2250" s="1" t="str">
        <f>VLOOKUP(F2250,Countries!$A$1:$B$161,2,0)</f>
        <v>United States of America</v>
      </c>
    </row>
    <row r="2251" spans="1:8" x14ac:dyDescent="0.3">
      <c r="A2251" s="3">
        <v>46255.86146990741</v>
      </c>
      <c r="B2251" s="1">
        <v>82.27</v>
      </c>
      <c r="C2251" s="1">
        <v>70.45</v>
      </c>
      <c r="D2251" s="1">
        <v>2.72</v>
      </c>
      <c r="E2251" s="1" t="s">
        <v>113</v>
      </c>
      <c r="F2251" s="1" t="s">
        <v>113</v>
      </c>
      <c r="G2251" s="1" t="s">
        <v>113</v>
      </c>
      <c r="H2251" s="1" t="str">
        <f>VLOOKUP(F2251,Countries!$A$1:$B$161,2,0)</f>
        <v>United States of America</v>
      </c>
    </row>
    <row r="2252" spans="1:8" x14ac:dyDescent="0.3">
      <c r="A2252" s="3">
        <v>46255.858055555553</v>
      </c>
      <c r="B2252" s="1">
        <v>103.88</v>
      </c>
      <c r="C2252" s="1">
        <v>88.95</v>
      </c>
      <c r="D2252" s="1">
        <v>3.36</v>
      </c>
      <c r="E2252" s="1" t="s">
        <v>137</v>
      </c>
      <c r="F2252" s="1" t="s">
        <v>137</v>
      </c>
      <c r="G2252" s="1" t="s">
        <v>137</v>
      </c>
      <c r="H2252" s="1" t="str">
        <f>VLOOKUP(F2252,Countries!$A$1:$B$161,2,0)</f>
        <v>Poland</v>
      </c>
    </row>
    <row r="2253" spans="1:8" x14ac:dyDescent="0.3">
      <c r="A2253" s="3">
        <v>46255.857025462959</v>
      </c>
      <c r="B2253" s="1">
        <v>12.64</v>
      </c>
      <c r="C2253" s="1">
        <v>10.82</v>
      </c>
      <c r="D2253" s="1">
        <v>0.63</v>
      </c>
      <c r="E2253" s="1" t="s">
        <v>113</v>
      </c>
      <c r="F2253" s="1" t="s">
        <v>113</v>
      </c>
      <c r="G2253" s="1" t="s">
        <v>113</v>
      </c>
      <c r="H2253" s="1" t="str">
        <f>VLOOKUP(F2253,Countries!$A$1:$B$161,2,0)</f>
        <v>United States of America</v>
      </c>
    </row>
    <row r="2254" spans="1:8" x14ac:dyDescent="0.3">
      <c r="A2254" s="3">
        <v>46255.856180555558</v>
      </c>
      <c r="B2254" s="1">
        <v>10.85</v>
      </c>
      <c r="C2254" s="1">
        <v>9.2899999999999991</v>
      </c>
      <c r="D2254" s="1">
        <v>0.74</v>
      </c>
      <c r="E2254" s="1" t="s">
        <v>115</v>
      </c>
      <c r="F2254" s="1" t="s">
        <v>115</v>
      </c>
      <c r="G2254" s="1" t="s">
        <v>115</v>
      </c>
      <c r="H2254" s="1" t="str">
        <f>VLOOKUP(F2254,Countries!$A$1:$B$161,2,0)</f>
        <v>Switzerland</v>
      </c>
    </row>
    <row r="2255" spans="1:8" x14ac:dyDescent="0.3">
      <c r="A2255" s="3">
        <v>46255.851342592592</v>
      </c>
      <c r="B2255" s="1">
        <v>12.64</v>
      </c>
      <c r="C2255" s="1">
        <v>10.82</v>
      </c>
      <c r="D2255" s="1">
        <v>0.63</v>
      </c>
      <c r="E2255" s="1" t="s">
        <v>113</v>
      </c>
      <c r="F2255" s="1" t="s">
        <v>113</v>
      </c>
      <c r="G2255" s="1" t="s">
        <v>113</v>
      </c>
      <c r="H2255" s="1" t="str">
        <f>VLOOKUP(F2255,Countries!$A$1:$B$161,2,0)</f>
        <v>United States of America</v>
      </c>
    </row>
    <row r="2256" spans="1:8" x14ac:dyDescent="0.3">
      <c r="A2256" s="3">
        <v>46255.846828703703</v>
      </c>
      <c r="B2256" s="1">
        <v>6.37</v>
      </c>
      <c r="C2256" s="1">
        <v>5.45</v>
      </c>
      <c r="D2256" s="1">
        <v>0.44</v>
      </c>
      <c r="E2256" s="1" t="s">
        <v>113</v>
      </c>
      <c r="F2256" s="1" t="s">
        <v>113</v>
      </c>
      <c r="G2256" s="1" t="s">
        <v>113</v>
      </c>
      <c r="H2256" s="1" t="str">
        <f>VLOOKUP(F2256,Countries!$A$1:$B$161,2,0)</f>
        <v>United States of America</v>
      </c>
    </row>
    <row r="2257" spans="1:8" x14ac:dyDescent="0.3">
      <c r="A2257" s="3">
        <v>46255.844826388893</v>
      </c>
      <c r="B2257" s="1">
        <v>10.85</v>
      </c>
      <c r="C2257" s="1">
        <v>9.2899999999999991</v>
      </c>
      <c r="D2257" s="1">
        <v>0.74</v>
      </c>
      <c r="E2257" s="1" t="s">
        <v>115</v>
      </c>
      <c r="F2257" s="1" t="s">
        <v>115</v>
      </c>
      <c r="G2257" s="1" t="s">
        <v>115</v>
      </c>
      <c r="H2257" s="1" t="str">
        <f>VLOOKUP(F2257,Countries!$A$1:$B$161,2,0)</f>
        <v>Switzerland</v>
      </c>
    </row>
    <row r="2258" spans="1:8" x14ac:dyDescent="0.3">
      <c r="A2258" s="3">
        <v>46255.843194444453</v>
      </c>
      <c r="B2258" s="1">
        <v>12.64</v>
      </c>
      <c r="C2258" s="1">
        <v>10.82</v>
      </c>
      <c r="D2258" s="1">
        <v>0.63</v>
      </c>
      <c r="E2258" s="1" t="s">
        <v>113</v>
      </c>
      <c r="F2258" s="1" t="s">
        <v>113</v>
      </c>
      <c r="G2258" s="1" t="s">
        <v>113</v>
      </c>
      <c r="H2258" s="1" t="str">
        <f>VLOOKUP(F2258,Countries!$A$1:$B$161,2,0)</f>
        <v>United States of America</v>
      </c>
    </row>
    <row r="2259" spans="1:8" x14ac:dyDescent="0.3">
      <c r="A2259" s="3">
        <v>46255.83693287037</v>
      </c>
      <c r="B2259" s="1">
        <v>12.64</v>
      </c>
      <c r="C2259" s="1">
        <v>10.82</v>
      </c>
      <c r="D2259" s="1">
        <v>0.63</v>
      </c>
      <c r="E2259" s="1" t="s">
        <v>113</v>
      </c>
      <c r="F2259" s="1" t="s">
        <v>113</v>
      </c>
      <c r="G2259" s="1" t="s">
        <v>113</v>
      </c>
      <c r="H2259" s="1" t="str">
        <f>VLOOKUP(F2259,Countries!$A$1:$B$161,2,0)</f>
        <v>United States of America</v>
      </c>
    </row>
    <row r="2260" spans="1:8" x14ac:dyDescent="0.3">
      <c r="A2260" s="3">
        <v>46255.83258101852</v>
      </c>
      <c r="B2260" s="1">
        <v>10.85</v>
      </c>
      <c r="C2260" s="1">
        <v>9.2899999999999991</v>
      </c>
      <c r="D2260" s="1">
        <v>0.74</v>
      </c>
      <c r="E2260" s="1" t="s">
        <v>115</v>
      </c>
      <c r="F2260" s="1" t="s">
        <v>115</v>
      </c>
      <c r="G2260" s="1" t="s">
        <v>115</v>
      </c>
      <c r="H2260" s="1" t="str">
        <f>VLOOKUP(F2260,Countries!$A$1:$B$161,2,0)</f>
        <v>Switzerland</v>
      </c>
    </row>
    <row r="2261" spans="1:8" x14ac:dyDescent="0.3">
      <c r="A2261" s="3">
        <v>46255.832199074073</v>
      </c>
      <c r="B2261" s="1">
        <v>7.04</v>
      </c>
      <c r="C2261" s="1">
        <v>6.03</v>
      </c>
      <c r="D2261" s="1">
        <v>0.56999999999999995</v>
      </c>
      <c r="E2261" s="1" t="s">
        <v>160</v>
      </c>
      <c r="F2261" s="1" t="s">
        <v>160</v>
      </c>
      <c r="G2261" s="1" t="s">
        <v>160</v>
      </c>
      <c r="H2261" s="1" t="str">
        <f>VLOOKUP(F2261,Countries!$A$1:$B$161,2,0)</f>
        <v>New Zealand</v>
      </c>
    </row>
    <row r="2262" spans="1:8" x14ac:dyDescent="0.3">
      <c r="A2262" s="3">
        <v>46255.817719907413</v>
      </c>
      <c r="B2262" s="1">
        <v>1.99</v>
      </c>
      <c r="C2262" s="1">
        <v>1.7</v>
      </c>
      <c r="D2262" s="1">
        <v>0.32</v>
      </c>
      <c r="E2262" s="1" t="s">
        <v>119</v>
      </c>
      <c r="F2262" s="1" t="s">
        <v>119</v>
      </c>
      <c r="G2262" s="1" t="s">
        <v>119</v>
      </c>
      <c r="H2262" s="1" t="str">
        <f>VLOOKUP(F2262,Countries!$A$1:$B$161,2,0)</f>
        <v>Great Britain (United Kingdom)</v>
      </c>
    </row>
    <row r="2263" spans="1:8" x14ac:dyDescent="0.3">
      <c r="A2263" s="3">
        <v>46255.815416666657</v>
      </c>
      <c r="B2263" s="1">
        <v>17.739999999999998</v>
      </c>
      <c r="C2263" s="1">
        <v>15.18</v>
      </c>
      <c r="D2263" s="1">
        <v>1.04</v>
      </c>
      <c r="E2263" s="1" t="s">
        <v>113</v>
      </c>
      <c r="F2263" s="1" t="s">
        <v>113</v>
      </c>
      <c r="G2263" s="1" t="s">
        <v>113</v>
      </c>
      <c r="H2263" s="1" t="str">
        <f>VLOOKUP(F2263,Countries!$A$1:$B$161,2,0)</f>
        <v>United States of America</v>
      </c>
    </row>
    <row r="2264" spans="1:8" x14ac:dyDescent="0.3">
      <c r="A2264" s="3">
        <v>46255.81144675926</v>
      </c>
      <c r="B2264" s="1">
        <v>14.77</v>
      </c>
      <c r="C2264" s="1">
        <v>12.64</v>
      </c>
      <c r="D2264" s="1">
        <v>0.91</v>
      </c>
      <c r="E2264" s="1" t="s">
        <v>113</v>
      </c>
      <c r="F2264" s="1" t="s">
        <v>113</v>
      </c>
      <c r="G2264" s="1" t="s">
        <v>113</v>
      </c>
      <c r="H2264" s="1" t="str">
        <f>VLOOKUP(F2264,Countries!$A$1:$B$161,2,0)</f>
        <v>United States of America</v>
      </c>
    </row>
    <row r="2265" spans="1:8" x14ac:dyDescent="0.3">
      <c r="A2265" s="3">
        <v>46255.804629629631</v>
      </c>
      <c r="B2265" s="1">
        <v>6.37</v>
      </c>
      <c r="C2265" s="1">
        <v>5.45</v>
      </c>
      <c r="D2265" s="1">
        <v>0.54</v>
      </c>
      <c r="E2265" s="1" t="s">
        <v>113</v>
      </c>
      <c r="F2265" s="1" t="s">
        <v>113</v>
      </c>
      <c r="G2265" s="1" t="s">
        <v>113</v>
      </c>
      <c r="H2265" s="1" t="str">
        <f>VLOOKUP(F2265,Countries!$A$1:$B$161,2,0)</f>
        <v>United States of America</v>
      </c>
    </row>
    <row r="2266" spans="1:8" x14ac:dyDescent="0.3">
      <c r="A2266" s="3">
        <v>46255.804432870369</v>
      </c>
      <c r="B2266" s="1">
        <v>6.37</v>
      </c>
      <c r="C2266" s="1">
        <v>5.45</v>
      </c>
      <c r="D2266" s="1">
        <v>0.54</v>
      </c>
      <c r="E2266" s="1" t="s">
        <v>113</v>
      </c>
      <c r="F2266" s="1" t="s">
        <v>113</v>
      </c>
      <c r="G2266" s="1" t="s">
        <v>113</v>
      </c>
      <c r="H2266" s="1" t="str">
        <f>VLOOKUP(F2266,Countries!$A$1:$B$161,2,0)</f>
        <v>United States of America</v>
      </c>
    </row>
    <row r="2267" spans="1:8" x14ac:dyDescent="0.3">
      <c r="A2267" s="3">
        <v>46255.799375000002</v>
      </c>
      <c r="B2267" s="1">
        <v>6.37</v>
      </c>
      <c r="C2267" s="1">
        <v>5.45</v>
      </c>
      <c r="D2267" s="1">
        <v>0.54</v>
      </c>
      <c r="E2267" s="1" t="s">
        <v>113</v>
      </c>
      <c r="F2267" s="1" t="s">
        <v>113</v>
      </c>
      <c r="G2267" s="1" t="s">
        <v>113</v>
      </c>
      <c r="H2267" s="1" t="str">
        <f>VLOOKUP(F2267,Countries!$A$1:$B$161,2,0)</f>
        <v>United States of America</v>
      </c>
    </row>
    <row r="2268" spans="1:8" x14ac:dyDescent="0.3">
      <c r="A2268" s="3">
        <v>46255.798333333332</v>
      </c>
      <c r="B2268" s="1">
        <v>6.37</v>
      </c>
      <c r="C2268" s="1">
        <v>5.45</v>
      </c>
      <c r="D2268" s="1">
        <v>0.54</v>
      </c>
      <c r="E2268" s="1" t="s">
        <v>113</v>
      </c>
      <c r="F2268" s="1" t="s">
        <v>113</v>
      </c>
      <c r="G2268" s="1" t="s">
        <v>113</v>
      </c>
      <c r="H2268" s="1" t="str">
        <f>VLOOKUP(F2268,Countries!$A$1:$B$161,2,0)</f>
        <v>United States of America</v>
      </c>
    </row>
    <row r="2269" spans="1:8" x14ac:dyDescent="0.3">
      <c r="A2269" s="3">
        <v>46255.796724537038</v>
      </c>
      <c r="B2269" s="1">
        <v>6.37</v>
      </c>
      <c r="C2269" s="1">
        <v>5.45</v>
      </c>
      <c r="D2269" s="1">
        <v>0.54</v>
      </c>
      <c r="E2269" s="1" t="s">
        <v>113</v>
      </c>
      <c r="F2269" s="1" t="s">
        <v>113</v>
      </c>
      <c r="G2269" s="1" t="s">
        <v>113</v>
      </c>
      <c r="H2269" s="1" t="str">
        <f>VLOOKUP(F2269,Countries!$A$1:$B$161,2,0)</f>
        <v>United States of America</v>
      </c>
    </row>
    <row r="2270" spans="1:8" x14ac:dyDescent="0.3">
      <c r="A2270" s="3">
        <v>46255.778437499997</v>
      </c>
      <c r="B2270" s="1">
        <v>1.99</v>
      </c>
      <c r="C2270" s="1">
        <v>1.7</v>
      </c>
      <c r="D2270" s="1">
        <v>0.34</v>
      </c>
      <c r="E2270" s="1" t="s">
        <v>204</v>
      </c>
      <c r="F2270" s="1" t="s">
        <v>204</v>
      </c>
      <c r="G2270" s="1" t="s">
        <v>204</v>
      </c>
      <c r="H2270" s="1" t="str">
        <f>VLOOKUP(F2270,Countries!$A$1:$B$161,2,0)</f>
        <v>Cameroon</v>
      </c>
    </row>
    <row r="2271" spans="1:8" x14ac:dyDescent="0.3">
      <c r="A2271" s="3">
        <v>46255.776562500003</v>
      </c>
      <c r="B2271" s="1">
        <v>6.37</v>
      </c>
      <c r="C2271" s="1">
        <v>5.45</v>
      </c>
      <c r="D2271" s="1">
        <v>0.5</v>
      </c>
      <c r="E2271" s="1" t="s">
        <v>119</v>
      </c>
      <c r="F2271" s="1" t="s">
        <v>119</v>
      </c>
      <c r="G2271" s="1" t="s">
        <v>119</v>
      </c>
      <c r="H2271" s="1" t="str">
        <f>VLOOKUP(F2271,Countries!$A$1:$B$161,2,0)</f>
        <v>Great Britain (United Kingdom)</v>
      </c>
    </row>
    <row r="2272" spans="1:8" x14ac:dyDescent="0.3">
      <c r="A2272" s="3">
        <v>46255.771620370368</v>
      </c>
      <c r="B2272" s="1">
        <v>17.010000000000002</v>
      </c>
      <c r="C2272" s="1">
        <v>14.56</v>
      </c>
      <c r="D2272" s="1">
        <v>1.01</v>
      </c>
      <c r="E2272" s="1" t="s">
        <v>113</v>
      </c>
      <c r="F2272" s="1" t="s">
        <v>113</v>
      </c>
      <c r="G2272" s="1" t="s">
        <v>113</v>
      </c>
      <c r="H2272" s="1" t="str">
        <f>VLOOKUP(F2272,Countries!$A$1:$B$161,2,0)</f>
        <v>United States of America</v>
      </c>
    </row>
    <row r="2273" spans="1:8" x14ac:dyDescent="0.3">
      <c r="A2273" s="3">
        <v>46255.750347222223</v>
      </c>
      <c r="B2273" s="1">
        <v>14.77</v>
      </c>
      <c r="C2273" s="1">
        <v>12.64</v>
      </c>
      <c r="D2273" s="1">
        <v>0.91</v>
      </c>
      <c r="E2273" s="1" t="s">
        <v>113</v>
      </c>
      <c r="F2273" s="1" t="s">
        <v>113</v>
      </c>
      <c r="G2273" s="1" t="s">
        <v>113</v>
      </c>
      <c r="H2273" s="1" t="str">
        <f>VLOOKUP(F2273,Countries!$A$1:$B$161,2,0)</f>
        <v>United States of America</v>
      </c>
    </row>
    <row r="2274" spans="1:8" x14ac:dyDescent="0.3">
      <c r="A2274" s="3">
        <v>46255.748344907413</v>
      </c>
      <c r="B2274" s="1">
        <v>3.18</v>
      </c>
      <c r="C2274" s="1">
        <v>2.72</v>
      </c>
      <c r="D2274" s="1">
        <v>0.39</v>
      </c>
      <c r="E2274" s="1" t="s">
        <v>113</v>
      </c>
      <c r="F2274" s="1" t="s">
        <v>113</v>
      </c>
      <c r="G2274" s="1" t="s">
        <v>113</v>
      </c>
      <c r="H2274" s="1" t="str">
        <f>VLOOKUP(F2274,Countries!$A$1:$B$161,2,0)</f>
        <v>United States of America</v>
      </c>
    </row>
    <row r="2275" spans="1:8" x14ac:dyDescent="0.3">
      <c r="A2275" s="3">
        <v>46255.74659722222</v>
      </c>
      <c r="B2275" s="1">
        <v>3.18</v>
      </c>
      <c r="C2275" s="1">
        <v>2.72</v>
      </c>
      <c r="D2275" s="1">
        <v>0.39</v>
      </c>
      <c r="E2275" s="1" t="s">
        <v>113</v>
      </c>
      <c r="F2275" s="1" t="s">
        <v>113</v>
      </c>
      <c r="G2275" s="1" t="s">
        <v>113</v>
      </c>
      <c r="H2275" s="1" t="str">
        <f>VLOOKUP(F2275,Countries!$A$1:$B$161,2,0)</f>
        <v>United States of America</v>
      </c>
    </row>
    <row r="2276" spans="1:8" x14ac:dyDescent="0.3">
      <c r="A2276" s="3">
        <v>46255.741898148153</v>
      </c>
      <c r="B2276" s="1">
        <v>7.48</v>
      </c>
      <c r="C2276" s="1">
        <v>6.4</v>
      </c>
      <c r="D2276" s="1">
        <v>0.48</v>
      </c>
      <c r="E2276" s="1" t="s">
        <v>113</v>
      </c>
      <c r="F2276" s="1" t="s">
        <v>113</v>
      </c>
      <c r="G2276" s="1" t="s">
        <v>113</v>
      </c>
      <c r="H2276" s="1" t="str">
        <f>VLOOKUP(F2276,Countries!$A$1:$B$161,2,0)</f>
        <v>United States of America</v>
      </c>
    </row>
    <row r="2277" spans="1:8" x14ac:dyDescent="0.3">
      <c r="A2277" s="3">
        <v>46255.735775462963</v>
      </c>
      <c r="B2277" s="1">
        <v>2.11</v>
      </c>
      <c r="C2277" s="1">
        <v>1.81</v>
      </c>
      <c r="D2277" s="1">
        <v>0.35</v>
      </c>
      <c r="E2277" s="1" t="s">
        <v>113</v>
      </c>
      <c r="F2277" s="1" t="s">
        <v>113</v>
      </c>
      <c r="G2277" s="1" t="s">
        <v>113</v>
      </c>
      <c r="H2277" s="1" t="str">
        <f>VLOOKUP(F2277,Countries!$A$1:$B$161,2,0)</f>
        <v>United States of America</v>
      </c>
    </row>
    <row r="2278" spans="1:8" x14ac:dyDescent="0.3">
      <c r="A2278" s="3">
        <v>46255.732662037037</v>
      </c>
      <c r="B2278" s="1">
        <v>5.99</v>
      </c>
      <c r="C2278" s="1">
        <v>5.13</v>
      </c>
      <c r="D2278" s="1">
        <v>0.52</v>
      </c>
      <c r="E2278" s="1" t="s">
        <v>135</v>
      </c>
      <c r="F2278" s="1" t="s">
        <v>135</v>
      </c>
      <c r="G2278" s="1" t="s">
        <v>135</v>
      </c>
      <c r="H2278" s="1" t="str">
        <f>VLOOKUP(F2278,Countries!$A$1:$B$161,2,0)</f>
        <v>Kuwait</v>
      </c>
    </row>
    <row r="2279" spans="1:8" x14ac:dyDescent="0.3">
      <c r="A2279" s="3">
        <v>46255.730057870373</v>
      </c>
      <c r="B2279" s="1">
        <v>6.37</v>
      </c>
      <c r="C2279" s="1">
        <v>5.45</v>
      </c>
      <c r="D2279" s="1">
        <v>0.54</v>
      </c>
      <c r="E2279" s="1" t="s">
        <v>113</v>
      </c>
      <c r="F2279" s="1" t="s">
        <v>113</v>
      </c>
      <c r="G2279" s="1" t="s">
        <v>113</v>
      </c>
      <c r="H2279" s="1" t="str">
        <f>VLOOKUP(F2279,Countries!$A$1:$B$161,2,0)</f>
        <v>United States of America</v>
      </c>
    </row>
    <row r="2280" spans="1:8" x14ac:dyDescent="0.3">
      <c r="A2280" s="3">
        <v>46255.729432870372</v>
      </c>
      <c r="B2280" s="1">
        <v>2.99</v>
      </c>
      <c r="C2280" s="1">
        <v>2.56</v>
      </c>
      <c r="D2280" s="1">
        <v>0.38</v>
      </c>
      <c r="E2280" s="1" t="s">
        <v>130</v>
      </c>
      <c r="F2280" s="1" t="s">
        <v>130</v>
      </c>
      <c r="G2280" s="1" t="s">
        <v>130</v>
      </c>
      <c r="H2280" s="1" t="str">
        <f>VLOOKUP(F2280,Countries!$A$1:$B$161,2,0)</f>
        <v>Australia</v>
      </c>
    </row>
    <row r="2281" spans="1:8" x14ac:dyDescent="0.3">
      <c r="A2281" s="3">
        <v>46255.726597222223</v>
      </c>
      <c r="B2281" s="1">
        <v>19.98</v>
      </c>
      <c r="C2281" s="1">
        <v>17.100000000000001</v>
      </c>
      <c r="D2281" s="1">
        <v>0.85</v>
      </c>
      <c r="E2281" s="1" t="s">
        <v>113</v>
      </c>
      <c r="F2281" s="1" t="s">
        <v>113</v>
      </c>
      <c r="G2281" s="1" t="s">
        <v>113</v>
      </c>
      <c r="H2281" s="1" t="str">
        <f>VLOOKUP(F2281,Countries!$A$1:$B$161,2,0)</f>
        <v>United States of America</v>
      </c>
    </row>
    <row r="2282" spans="1:8" x14ac:dyDescent="0.3">
      <c r="A2282" s="3">
        <v>46255.718993055547</v>
      </c>
      <c r="B2282" s="1">
        <v>7.48</v>
      </c>
      <c r="C2282" s="1">
        <v>6.4</v>
      </c>
      <c r="D2282" s="1">
        <v>0.54</v>
      </c>
      <c r="E2282" s="1" t="s">
        <v>119</v>
      </c>
      <c r="F2282" s="1" t="s">
        <v>119</v>
      </c>
      <c r="G2282" s="1" t="s">
        <v>119</v>
      </c>
      <c r="H2282" s="1" t="str">
        <f>VLOOKUP(F2282,Countries!$A$1:$B$161,2,0)</f>
        <v>Great Britain (United Kingdom)</v>
      </c>
    </row>
    <row r="2283" spans="1:8" x14ac:dyDescent="0.3">
      <c r="A2283" s="3">
        <v>46255.717916666668</v>
      </c>
      <c r="B2283" s="1">
        <v>14.77</v>
      </c>
      <c r="C2283" s="1">
        <v>12.64</v>
      </c>
      <c r="D2283" s="1">
        <v>0.91</v>
      </c>
      <c r="E2283" s="1" t="s">
        <v>113</v>
      </c>
      <c r="F2283" s="1" t="s">
        <v>113</v>
      </c>
      <c r="G2283" s="1" t="s">
        <v>113</v>
      </c>
      <c r="H2283" s="1" t="str">
        <f>VLOOKUP(F2283,Countries!$A$1:$B$161,2,0)</f>
        <v>United States of America</v>
      </c>
    </row>
    <row r="2284" spans="1:8" x14ac:dyDescent="0.3">
      <c r="A2284" s="3">
        <v>46255.71502314815</v>
      </c>
      <c r="B2284" s="1">
        <v>2.5099999999999998</v>
      </c>
      <c r="C2284" s="1">
        <v>2.15</v>
      </c>
      <c r="D2284" s="1">
        <v>0.32</v>
      </c>
      <c r="E2284" s="1" t="s">
        <v>113</v>
      </c>
      <c r="F2284" s="1" t="s">
        <v>113</v>
      </c>
      <c r="G2284" s="1" t="s">
        <v>113</v>
      </c>
      <c r="H2284" s="1" t="str">
        <f>VLOOKUP(F2284,Countries!$A$1:$B$161,2,0)</f>
        <v>United States of America</v>
      </c>
    </row>
    <row r="2285" spans="1:8" x14ac:dyDescent="0.3">
      <c r="A2285" s="3">
        <v>46255.712326388893</v>
      </c>
      <c r="B2285" s="1">
        <v>7.04</v>
      </c>
      <c r="C2285" s="1">
        <v>6.03</v>
      </c>
      <c r="D2285" s="1">
        <v>0.56999999999999995</v>
      </c>
      <c r="E2285" s="1" t="s">
        <v>160</v>
      </c>
      <c r="F2285" s="1" t="s">
        <v>160</v>
      </c>
      <c r="G2285" s="1" t="s">
        <v>160</v>
      </c>
      <c r="H2285" s="1" t="str">
        <f>VLOOKUP(F2285,Countries!$A$1:$B$161,2,0)</f>
        <v>New Zealand</v>
      </c>
    </row>
    <row r="2286" spans="1:8" x14ac:dyDescent="0.3">
      <c r="A2286" s="3">
        <v>46255.705983796302</v>
      </c>
      <c r="B2286" s="1">
        <v>10.62</v>
      </c>
      <c r="C2286" s="1">
        <v>9.09</v>
      </c>
      <c r="D2286" s="1">
        <v>0.73</v>
      </c>
      <c r="E2286" s="1" t="s">
        <v>113</v>
      </c>
      <c r="F2286" s="1" t="s">
        <v>113</v>
      </c>
      <c r="G2286" s="1" t="s">
        <v>113</v>
      </c>
      <c r="H2286" s="1" t="str">
        <f>VLOOKUP(F2286,Countries!$A$1:$B$161,2,0)</f>
        <v>United States of America</v>
      </c>
    </row>
    <row r="2287" spans="1:8" x14ac:dyDescent="0.3">
      <c r="A2287" s="3">
        <v>46255.700474537043</v>
      </c>
      <c r="B2287" s="1">
        <v>7.77</v>
      </c>
      <c r="C2287" s="1">
        <v>6.65</v>
      </c>
      <c r="D2287" s="1">
        <v>0.48</v>
      </c>
      <c r="E2287" s="1" t="s">
        <v>137</v>
      </c>
      <c r="F2287" s="1" t="s">
        <v>137</v>
      </c>
      <c r="G2287" s="1" t="s">
        <v>137</v>
      </c>
      <c r="H2287" s="1" t="str">
        <f>VLOOKUP(F2287,Countries!$A$1:$B$161,2,0)</f>
        <v>Poland</v>
      </c>
    </row>
    <row r="2288" spans="1:8" x14ac:dyDescent="0.3">
      <c r="A2288" s="3">
        <v>46255.69902777778</v>
      </c>
      <c r="B2288" s="1">
        <v>59.03</v>
      </c>
      <c r="C2288" s="1">
        <v>50.53</v>
      </c>
      <c r="D2288" s="1">
        <v>2.9</v>
      </c>
      <c r="E2288" s="1" t="s">
        <v>113</v>
      </c>
      <c r="F2288" s="1" t="s">
        <v>113</v>
      </c>
      <c r="G2288" s="1" t="s">
        <v>113</v>
      </c>
      <c r="H2288" s="1" t="str">
        <f>VLOOKUP(F2288,Countries!$A$1:$B$161,2,0)</f>
        <v>United States of America</v>
      </c>
    </row>
    <row r="2289" spans="1:8" x14ac:dyDescent="0.3">
      <c r="A2289" s="3">
        <v>46255.692974537043</v>
      </c>
      <c r="B2289" s="1">
        <v>14.77</v>
      </c>
      <c r="C2289" s="1">
        <v>12.64</v>
      </c>
      <c r="D2289" s="1">
        <v>0.91</v>
      </c>
      <c r="E2289" s="1" t="s">
        <v>113</v>
      </c>
      <c r="F2289" s="1" t="s">
        <v>113</v>
      </c>
      <c r="G2289" s="1" t="s">
        <v>113</v>
      </c>
      <c r="H2289" s="1" t="str">
        <f>VLOOKUP(F2289,Countries!$A$1:$B$161,2,0)</f>
        <v>United States of America</v>
      </c>
    </row>
    <row r="2290" spans="1:8" x14ac:dyDescent="0.3">
      <c r="A2290" s="3">
        <v>46255.692106481481</v>
      </c>
      <c r="B2290" s="1">
        <v>7.58</v>
      </c>
      <c r="C2290" s="1">
        <v>6.49</v>
      </c>
      <c r="D2290" s="1">
        <v>0.48</v>
      </c>
      <c r="E2290" s="1" t="s">
        <v>113</v>
      </c>
      <c r="F2290" s="1" t="s">
        <v>113</v>
      </c>
      <c r="G2290" s="1" t="s">
        <v>113</v>
      </c>
      <c r="H2290" s="1" t="str">
        <f>VLOOKUP(F2290,Countries!$A$1:$B$161,2,0)</f>
        <v>United States of America</v>
      </c>
    </row>
    <row r="2291" spans="1:8" x14ac:dyDescent="0.3">
      <c r="A2291" s="3">
        <v>46255.687662037039</v>
      </c>
      <c r="B2291" s="1">
        <v>14.77</v>
      </c>
      <c r="C2291" s="1">
        <v>12.64</v>
      </c>
      <c r="D2291" s="1">
        <v>0.91</v>
      </c>
      <c r="E2291" s="1" t="s">
        <v>113</v>
      </c>
      <c r="F2291" s="1" t="s">
        <v>113</v>
      </c>
      <c r="G2291" s="1" t="s">
        <v>113</v>
      </c>
      <c r="H2291" s="1" t="str">
        <f>VLOOKUP(F2291,Countries!$A$1:$B$161,2,0)</f>
        <v>United States of America</v>
      </c>
    </row>
    <row r="2292" spans="1:8" x14ac:dyDescent="0.3">
      <c r="A2292" s="3">
        <v>46255.681944444441</v>
      </c>
      <c r="B2292" s="1">
        <v>6.37</v>
      </c>
      <c r="C2292" s="1">
        <v>5.45</v>
      </c>
      <c r="D2292" s="1">
        <v>0.54</v>
      </c>
      <c r="E2292" s="1" t="s">
        <v>113</v>
      </c>
      <c r="F2292" s="1" t="s">
        <v>113</v>
      </c>
      <c r="G2292" s="1" t="s">
        <v>113</v>
      </c>
      <c r="H2292" s="1" t="str">
        <f>VLOOKUP(F2292,Countries!$A$1:$B$161,2,0)</f>
        <v>United States of America</v>
      </c>
    </row>
    <row r="2293" spans="1:8" x14ac:dyDescent="0.3">
      <c r="A2293" s="3">
        <v>46255.681666666656</v>
      </c>
      <c r="B2293" s="1">
        <v>14.77</v>
      </c>
      <c r="C2293" s="1">
        <v>12.64</v>
      </c>
      <c r="D2293" s="1">
        <v>0.91</v>
      </c>
      <c r="E2293" s="1" t="s">
        <v>113</v>
      </c>
      <c r="F2293" s="1" t="s">
        <v>113</v>
      </c>
      <c r="G2293" s="1" t="s">
        <v>113</v>
      </c>
      <c r="H2293" s="1" t="str">
        <f>VLOOKUP(F2293,Countries!$A$1:$B$161,2,0)</f>
        <v>United States of America</v>
      </c>
    </row>
    <row r="2294" spans="1:8" x14ac:dyDescent="0.3">
      <c r="A2294" s="3">
        <v>46255.681087962963</v>
      </c>
      <c r="B2294" s="1">
        <v>15.95</v>
      </c>
      <c r="C2294" s="1">
        <v>13.65</v>
      </c>
      <c r="D2294" s="1">
        <v>0.96</v>
      </c>
      <c r="E2294" s="1" t="s">
        <v>113</v>
      </c>
      <c r="F2294" s="1" t="s">
        <v>113</v>
      </c>
      <c r="G2294" s="1" t="s">
        <v>113</v>
      </c>
      <c r="H2294" s="1" t="str">
        <f>VLOOKUP(F2294,Countries!$A$1:$B$161,2,0)</f>
        <v>United States of America</v>
      </c>
    </row>
    <row r="2295" spans="1:8" x14ac:dyDescent="0.3">
      <c r="A2295" s="3">
        <v>46255.680798611109</v>
      </c>
      <c r="B2295" s="1">
        <v>26.73</v>
      </c>
      <c r="C2295" s="1">
        <v>22.88</v>
      </c>
      <c r="D2295" s="1">
        <v>1.05</v>
      </c>
      <c r="E2295" s="1" t="s">
        <v>113</v>
      </c>
      <c r="F2295" s="1" t="s">
        <v>113</v>
      </c>
      <c r="G2295" s="1" t="s">
        <v>113</v>
      </c>
      <c r="H2295" s="1" t="str">
        <f>VLOOKUP(F2295,Countries!$A$1:$B$161,2,0)</f>
        <v>United States of America</v>
      </c>
    </row>
    <row r="2296" spans="1:8" x14ac:dyDescent="0.3">
      <c r="A2296" s="3">
        <v>46255.671782407408</v>
      </c>
      <c r="B2296" s="1">
        <v>101.25</v>
      </c>
      <c r="C2296" s="1">
        <v>86.66</v>
      </c>
      <c r="D2296" s="1">
        <v>3.28</v>
      </c>
      <c r="E2296" s="1" t="s">
        <v>151</v>
      </c>
      <c r="F2296" s="1" t="s">
        <v>151</v>
      </c>
      <c r="G2296" s="1" t="s">
        <v>151</v>
      </c>
      <c r="H2296" s="1" t="str">
        <f>VLOOKUP(F2296,Countries!$A$1:$B$161,2,0)</f>
        <v>Netherlands (Holland)</v>
      </c>
    </row>
    <row r="2297" spans="1:8" x14ac:dyDescent="0.3">
      <c r="A2297" s="3">
        <v>46255.668495370373</v>
      </c>
      <c r="B2297" s="1">
        <v>11.1</v>
      </c>
      <c r="C2297" s="1">
        <v>9.51</v>
      </c>
      <c r="D2297" s="1">
        <v>0.75</v>
      </c>
      <c r="E2297" s="1" t="s">
        <v>121</v>
      </c>
      <c r="F2297" s="1" t="s">
        <v>121</v>
      </c>
      <c r="G2297" s="1" t="s">
        <v>121</v>
      </c>
      <c r="H2297" s="1" t="str">
        <f>VLOOKUP(F2297,Countries!$A$1:$B$161,2,0)</f>
        <v>Japan</v>
      </c>
    </row>
    <row r="2298" spans="1:8" x14ac:dyDescent="0.3">
      <c r="A2298" s="3">
        <v>46255.660787037043</v>
      </c>
      <c r="B2298" s="1">
        <v>14.77</v>
      </c>
      <c r="C2298" s="1">
        <v>12.65</v>
      </c>
      <c r="D2298" s="1">
        <v>0.91</v>
      </c>
      <c r="E2298" s="1" t="s">
        <v>113</v>
      </c>
      <c r="F2298" s="1" t="s">
        <v>113</v>
      </c>
      <c r="G2298" s="1" t="s">
        <v>113</v>
      </c>
      <c r="H2298" s="1" t="str">
        <f>VLOOKUP(F2298,Countries!$A$1:$B$161,2,0)</f>
        <v>United States of America</v>
      </c>
    </row>
    <row r="2299" spans="1:8" x14ac:dyDescent="0.3">
      <c r="A2299" s="3">
        <v>46255.660324074073</v>
      </c>
      <c r="B2299" s="1">
        <v>14.77</v>
      </c>
      <c r="C2299" s="1">
        <v>12.65</v>
      </c>
      <c r="D2299" s="1">
        <v>0.91</v>
      </c>
      <c r="E2299" s="1" t="s">
        <v>113</v>
      </c>
      <c r="F2299" s="1" t="s">
        <v>113</v>
      </c>
      <c r="G2299" s="1" t="s">
        <v>113</v>
      </c>
      <c r="H2299" s="1" t="str">
        <f>VLOOKUP(F2299,Countries!$A$1:$B$161,2,0)</f>
        <v>United States of America</v>
      </c>
    </row>
    <row r="2300" spans="1:8" x14ac:dyDescent="0.3">
      <c r="A2300" s="3">
        <v>46255.660011574073</v>
      </c>
      <c r="B2300" s="1">
        <v>10.62</v>
      </c>
      <c r="C2300" s="1">
        <v>9.1</v>
      </c>
      <c r="D2300" s="1">
        <v>0.73</v>
      </c>
      <c r="E2300" s="1" t="s">
        <v>113</v>
      </c>
      <c r="F2300" s="1" t="s">
        <v>113</v>
      </c>
      <c r="G2300" s="1" t="s">
        <v>113</v>
      </c>
      <c r="H2300" s="1" t="str">
        <f>VLOOKUP(F2300,Countries!$A$1:$B$161,2,0)</f>
        <v>United States of America</v>
      </c>
    </row>
    <row r="2301" spans="1:8" x14ac:dyDescent="0.3">
      <c r="A2301" s="3">
        <v>46255.659189814818</v>
      </c>
      <c r="B2301" s="1">
        <v>9.99</v>
      </c>
      <c r="C2301" s="1">
        <v>8.56</v>
      </c>
      <c r="D2301" s="1">
        <v>0.7</v>
      </c>
      <c r="E2301" s="1" t="s">
        <v>113</v>
      </c>
      <c r="F2301" s="1" t="s">
        <v>113</v>
      </c>
      <c r="G2301" s="1" t="s">
        <v>113</v>
      </c>
      <c r="H2301" s="1" t="str">
        <f>VLOOKUP(F2301,Countries!$A$1:$B$161,2,0)</f>
        <v>United States of America</v>
      </c>
    </row>
    <row r="2302" spans="1:8" x14ac:dyDescent="0.3">
      <c r="A2302" s="3">
        <v>46255.657442129632</v>
      </c>
      <c r="B2302" s="1">
        <v>2.11</v>
      </c>
      <c r="C2302" s="1">
        <v>1.81</v>
      </c>
      <c r="D2302" s="1">
        <v>0.35</v>
      </c>
      <c r="E2302" s="1" t="s">
        <v>113</v>
      </c>
      <c r="F2302" s="1" t="s">
        <v>113</v>
      </c>
      <c r="G2302" s="1" t="s">
        <v>113</v>
      </c>
      <c r="H2302" s="1" t="str">
        <f>VLOOKUP(F2302,Countries!$A$1:$B$161,2,0)</f>
        <v>United States of America</v>
      </c>
    </row>
    <row r="2303" spans="1:8" x14ac:dyDescent="0.3">
      <c r="A2303" s="3">
        <v>46255.651516203703</v>
      </c>
      <c r="B2303" s="1">
        <v>10.62</v>
      </c>
      <c r="C2303" s="1">
        <v>9.1</v>
      </c>
      <c r="D2303" s="1">
        <v>0.73</v>
      </c>
      <c r="E2303" s="1" t="s">
        <v>113</v>
      </c>
      <c r="F2303" s="1" t="s">
        <v>113</v>
      </c>
      <c r="G2303" s="1" t="s">
        <v>113</v>
      </c>
      <c r="H2303" s="1" t="str">
        <f>VLOOKUP(F2303,Countries!$A$1:$B$161,2,0)</f>
        <v>United States of America</v>
      </c>
    </row>
    <row r="2304" spans="1:8" x14ac:dyDescent="0.3">
      <c r="A2304" s="3">
        <v>46255.648564814823</v>
      </c>
      <c r="B2304" s="1">
        <v>6.88</v>
      </c>
      <c r="C2304" s="1">
        <v>5.89</v>
      </c>
      <c r="D2304" s="1">
        <v>0.56000000000000005</v>
      </c>
      <c r="E2304" s="1" t="s">
        <v>197</v>
      </c>
      <c r="F2304" s="1" t="s">
        <v>197</v>
      </c>
      <c r="G2304" s="1" t="s">
        <v>197</v>
      </c>
      <c r="H2304" s="1" t="str">
        <f>VLOOKUP(F2304,Countries!$A$1:$B$161,2,0)</f>
        <v>China</v>
      </c>
    </row>
    <row r="2305" spans="1:8" x14ac:dyDescent="0.3">
      <c r="A2305" s="3">
        <v>46255.648356481477</v>
      </c>
      <c r="B2305" s="1">
        <v>6.37</v>
      </c>
      <c r="C2305" s="1">
        <v>5.46</v>
      </c>
      <c r="D2305" s="1">
        <v>0.54</v>
      </c>
      <c r="E2305" s="1" t="s">
        <v>113</v>
      </c>
      <c r="F2305" s="1" t="s">
        <v>113</v>
      </c>
      <c r="G2305" s="1" t="s">
        <v>113</v>
      </c>
      <c r="H2305" s="1" t="str">
        <f>VLOOKUP(F2305,Countries!$A$1:$B$161,2,0)</f>
        <v>United States of America</v>
      </c>
    </row>
    <row r="2306" spans="1:8" x14ac:dyDescent="0.3">
      <c r="A2306" s="3">
        <v>46255.643460648149</v>
      </c>
      <c r="B2306" s="1">
        <v>5.99</v>
      </c>
      <c r="C2306" s="1">
        <v>5.13</v>
      </c>
      <c r="D2306" s="1">
        <v>0.52</v>
      </c>
      <c r="E2306" s="1" t="s">
        <v>205</v>
      </c>
      <c r="F2306" s="1" t="s">
        <v>205</v>
      </c>
      <c r="G2306" s="1" t="s">
        <v>205</v>
      </c>
      <c r="H2306" s="1" t="str">
        <f>VLOOKUP(F2306,Countries!$A$1:$B$161,2,0)</f>
        <v>Pakistan</v>
      </c>
    </row>
    <row r="2307" spans="1:8" x14ac:dyDescent="0.3">
      <c r="A2307" s="3">
        <v>46255.636805555558</v>
      </c>
      <c r="B2307" s="1">
        <v>10.62</v>
      </c>
      <c r="C2307" s="1">
        <v>9.1</v>
      </c>
      <c r="D2307" s="1">
        <v>0.73</v>
      </c>
      <c r="E2307" s="1" t="s">
        <v>197</v>
      </c>
      <c r="F2307" s="1" t="s">
        <v>197</v>
      </c>
      <c r="G2307" s="1" t="s">
        <v>197</v>
      </c>
      <c r="H2307" s="1" t="str">
        <f>VLOOKUP(F2307,Countries!$A$1:$B$161,2,0)</f>
        <v>China</v>
      </c>
    </row>
    <row r="2308" spans="1:8" x14ac:dyDescent="0.3">
      <c r="A2308" s="3">
        <v>46255.629236111112</v>
      </c>
      <c r="B2308" s="1">
        <v>2.11</v>
      </c>
      <c r="C2308" s="1">
        <v>1.81</v>
      </c>
      <c r="D2308" s="1">
        <v>0.35</v>
      </c>
      <c r="E2308" s="1" t="s">
        <v>113</v>
      </c>
      <c r="F2308" s="1" t="s">
        <v>113</v>
      </c>
      <c r="G2308" s="1" t="s">
        <v>113</v>
      </c>
      <c r="H2308" s="1" t="str">
        <f>VLOOKUP(F2308,Countries!$A$1:$B$161,2,0)</f>
        <v>United States of America</v>
      </c>
    </row>
    <row r="2309" spans="1:8" x14ac:dyDescent="0.3">
      <c r="A2309" s="3">
        <v>46255.627766203703</v>
      </c>
      <c r="B2309" s="1">
        <v>58.06</v>
      </c>
      <c r="C2309" s="1">
        <v>49.74</v>
      </c>
      <c r="D2309" s="1">
        <v>1.99</v>
      </c>
      <c r="E2309" s="1" t="s">
        <v>113</v>
      </c>
      <c r="F2309" s="1" t="s">
        <v>113</v>
      </c>
      <c r="G2309" s="1" t="s">
        <v>113</v>
      </c>
      <c r="H2309" s="1" t="str">
        <f>VLOOKUP(F2309,Countries!$A$1:$B$161,2,0)</f>
        <v>United States of America</v>
      </c>
    </row>
    <row r="2310" spans="1:8" x14ac:dyDescent="0.3">
      <c r="A2310" s="3">
        <v>46255.627662037034</v>
      </c>
      <c r="B2310" s="1">
        <v>6.37</v>
      </c>
      <c r="C2310" s="1">
        <v>5.46</v>
      </c>
      <c r="D2310" s="1">
        <v>0.54</v>
      </c>
      <c r="E2310" s="1" t="s">
        <v>113</v>
      </c>
      <c r="F2310" s="1" t="s">
        <v>113</v>
      </c>
      <c r="G2310" s="1" t="s">
        <v>113</v>
      </c>
      <c r="H2310" s="1" t="str">
        <f>VLOOKUP(F2310,Countries!$A$1:$B$161,2,0)</f>
        <v>United States of America</v>
      </c>
    </row>
    <row r="2311" spans="1:8" x14ac:dyDescent="0.3">
      <c r="A2311" s="3">
        <v>46255.627280092587</v>
      </c>
      <c r="B2311" s="1">
        <v>4.43</v>
      </c>
      <c r="C2311" s="1">
        <v>3.8</v>
      </c>
      <c r="D2311" s="1">
        <v>0.45</v>
      </c>
      <c r="E2311" s="1" t="s">
        <v>121</v>
      </c>
      <c r="F2311" s="1" t="s">
        <v>121</v>
      </c>
      <c r="G2311" s="1" t="s">
        <v>121</v>
      </c>
      <c r="H2311" s="1" t="str">
        <f>VLOOKUP(F2311,Countries!$A$1:$B$161,2,0)</f>
        <v>Japan</v>
      </c>
    </row>
    <row r="2312" spans="1:8" x14ac:dyDescent="0.3">
      <c r="A2312" s="3">
        <v>46255.625613425917</v>
      </c>
      <c r="B2312" s="1">
        <v>2.11</v>
      </c>
      <c r="C2312" s="1">
        <v>1.81</v>
      </c>
      <c r="D2312" s="1">
        <v>0.35</v>
      </c>
      <c r="E2312" s="1" t="s">
        <v>113</v>
      </c>
      <c r="F2312" s="1" t="s">
        <v>113</v>
      </c>
      <c r="G2312" s="1" t="s">
        <v>113</v>
      </c>
      <c r="H2312" s="1" t="str">
        <f>VLOOKUP(F2312,Countries!$A$1:$B$161,2,0)</f>
        <v>United States of America</v>
      </c>
    </row>
    <row r="2313" spans="1:8" x14ac:dyDescent="0.3">
      <c r="A2313" s="3">
        <v>46255.623564814807</v>
      </c>
      <c r="B2313" s="1">
        <v>10.62</v>
      </c>
      <c r="C2313" s="1">
        <v>9.09</v>
      </c>
      <c r="D2313" s="1">
        <v>0.73</v>
      </c>
      <c r="E2313" s="1" t="s">
        <v>113</v>
      </c>
      <c r="F2313" s="1" t="s">
        <v>113</v>
      </c>
      <c r="G2313" s="1" t="s">
        <v>113</v>
      </c>
      <c r="H2313" s="1" t="str">
        <f>VLOOKUP(F2313,Countries!$A$1:$B$161,2,0)</f>
        <v>United States of America</v>
      </c>
    </row>
    <row r="2314" spans="1:8" x14ac:dyDescent="0.3">
      <c r="A2314" s="3">
        <v>46255.621412037042</v>
      </c>
      <c r="B2314" s="1">
        <v>3.69</v>
      </c>
      <c r="C2314" s="1">
        <v>3.16</v>
      </c>
      <c r="D2314" s="1">
        <v>0.36</v>
      </c>
      <c r="E2314" s="1" t="s">
        <v>159</v>
      </c>
      <c r="F2314" s="1" t="s">
        <v>147</v>
      </c>
      <c r="G2314" s="1" t="s">
        <v>147</v>
      </c>
      <c r="H2314" s="1" t="str">
        <f>VLOOKUP(F2314,Countries!$A$1:$B$161,2,0)</f>
        <v>Germany</v>
      </c>
    </row>
    <row r="2315" spans="1:8" x14ac:dyDescent="0.3">
      <c r="A2315" s="3">
        <v>46255.619317129633</v>
      </c>
      <c r="B2315" s="1">
        <v>61.58</v>
      </c>
      <c r="C2315" s="1">
        <v>52.71</v>
      </c>
      <c r="D2315" s="1">
        <v>2.09</v>
      </c>
      <c r="E2315" s="1" t="s">
        <v>113</v>
      </c>
      <c r="F2315" s="1" t="s">
        <v>113</v>
      </c>
      <c r="G2315" s="1" t="s">
        <v>113</v>
      </c>
      <c r="H2315" s="1" t="str">
        <f>VLOOKUP(F2315,Countries!$A$1:$B$161,2,0)</f>
        <v>United States of America</v>
      </c>
    </row>
    <row r="2316" spans="1:8" x14ac:dyDescent="0.3">
      <c r="A2316" s="3">
        <v>46255.612858796303</v>
      </c>
      <c r="B2316" s="1">
        <v>7.77</v>
      </c>
      <c r="C2316" s="1">
        <v>6.65</v>
      </c>
      <c r="D2316" s="1">
        <v>0.48</v>
      </c>
      <c r="E2316" s="1" t="s">
        <v>137</v>
      </c>
      <c r="F2316" s="1" t="s">
        <v>137</v>
      </c>
      <c r="G2316" s="1" t="s">
        <v>137</v>
      </c>
      <c r="H2316" s="1" t="str">
        <f>VLOOKUP(F2316,Countries!$A$1:$B$161,2,0)</f>
        <v>Poland</v>
      </c>
    </row>
    <row r="2317" spans="1:8" x14ac:dyDescent="0.3">
      <c r="A2317" s="3">
        <v>46255.609560185178</v>
      </c>
      <c r="B2317" s="1">
        <v>21.94</v>
      </c>
      <c r="C2317" s="1">
        <v>18.78</v>
      </c>
      <c r="D2317" s="1">
        <v>1.24</v>
      </c>
      <c r="E2317" s="1" t="s">
        <v>132</v>
      </c>
      <c r="F2317" s="1" t="s">
        <v>132</v>
      </c>
      <c r="G2317" s="1" t="s">
        <v>132</v>
      </c>
      <c r="H2317" s="1" t="str">
        <f>VLOOKUP(F2317,Countries!$A$1:$B$161,2,0)</f>
        <v>Canada</v>
      </c>
    </row>
    <row r="2318" spans="1:8" x14ac:dyDescent="0.3">
      <c r="A2318" s="3">
        <v>46255.606203703697</v>
      </c>
      <c r="B2318" s="1">
        <v>6.37</v>
      </c>
      <c r="C2318" s="1">
        <v>5.45</v>
      </c>
      <c r="D2318" s="1">
        <v>0.54</v>
      </c>
      <c r="E2318" s="1" t="s">
        <v>113</v>
      </c>
      <c r="F2318" s="1" t="s">
        <v>113</v>
      </c>
      <c r="G2318" s="1" t="s">
        <v>113</v>
      </c>
      <c r="H2318" s="1" t="str">
        <f>VLOOKUP(F2318,Countries!$A$1:$B$161,2,0)</f>
        <v>United States of America</v>
      </c>
    </row>
    <row r="2319" spans="1:8" x14ac:dyDescent="0.3">
      <c r="A2319" s="3">
        <v>46255.597569444442</v>
      </c>
      <c r="B2319" s="1">
        <v>3.88</v>
      </c>
      <c r="C2319" s="1">
        <v>3.32</v>
      </c>
      <c r="D2319" s="1">
        <v>0.37</v>
      </c>
      <c r="E2319" s="1" t="s">
        <v>137</v>
      </c>
      <c r="F2319" s="1" t="s">
        <v>137</v>
      </c>
      <c r="G2319" s="1" t="s">
        <v>137</v>
      </c>
      <c r="H2319" s="1" t="str">
        <f>VLOOKUP(F2319,Countries!$A$1:$B$161,2,0)</f>
        <v>Poland</v>
      </c>
    </row>
    <row r="2320" spans="1:8" x14ac:dyDescent="0.3">
      <c r="A2320" s="3">
        <v>46255.596076388887</v>
      </c>
      <c r="B2320" s="1">
        <v>1.99</v>
      </c>
      <c r="C2320" s="1">
        <v>1.7</v>
      </c>
      <c r="D2320" s="1">
        <v>0.34</v>
      </c>
      <c r="E2320" s="1" t="s">
        <v>113</v>
      </c>
      <c r="F2320" s="1" t="s">
        <v>113</v>
      </c>
      <c r="G2320" s="1" t="s">
        <v>113</v>
      </c>
      <c r="H2320" s="1" t="str">
        <f>VLOOKUP(F2320,Countries!$A$1:$B$161,2,0)</f>
        <v>United States of America</v>
      </c>
    </row>
    <row r="2321" spans="1:8" x14ac:dyDescent="0.3">
      <c r="A2321" s="3">
        <v>46255.594918981478</v>
      </c>
      <c r="B2321" s="1">
        <v>10.62</v>
      </c>
      <c r="C2321" s="1">
        <v>9.09</v>
      </c>
      <c r="D2321" s="1">
        <v>0.73</v>
      </c>
      <c r="E2321" s="1" t="s">
        <v>113</v>
      </c>
      <c r="F2321" s="1" t="s">
        <v>113</v>
      </c>
      <c r="G2321" s="1" t="s">
        <v>113</v>
      </c>
      <c r="H2321" s="1" t="str">
        <f>VLOOKUP(F2321,Countries!$A$1:$B$161,2,0)</f>
        <v>United States of America</v>
      </c>
    </row>
    <row r="2322" spans="1:8" x14ac:dyDescent="0.3">
      <c r="A2322" s="3">
        <v>46255.593495370369</v>
      </c>
      <c r="B2322" s="1">
        <v>7.58</v>
      </c>
      <c r="C2322" s="1">
        <v>6.49</v>
      </c>
      <c r="D2322" s="1">
        <v>0.48</v>
      </c>
      <c r="E2322" s="1" t="s">
        <v>113</v>
      </c>
      <c r="F2322" s="1" t="s">
        <v>113</v>
      </c>
      <c r="G2322" s="1" t="s">
        <v>113</v>
      </c>
      <c r="H2322" s="1" t="str">
        <f>VLOOKUP(F2322,Countries!$A$1:$B$161,2,0)</f>
        <v>United States of America</v>
      </c>
    </row>
    <row r="2323" spans="1:8" x14ac:dyDescent="0.3">
      <c r="A2323" s="3">
        <v>46255.588958333326</v>
      </c>
      <c r="B2323" s="1">
        <v>6.37</v>
      </c>
      <c r="C2323" s="1">
        <v>5.45</v>
      </c>
      <c r="D2323" s="1">
        <v>0.54</v>
      </c>
      <c r="E2323" s="1" t="s">
        <v>113</v>
      </c>
      <c r="F2323" s="1" t="s">
        <v>113</v>
      </c>
      <c r="G2323" s="1" t="s">
        <v>113</v>
      </c>
      <c r="H2323" s="1" t="str">
        <f>VLOOKUP(F2323,Countries!$A$1:$B$161,2,0)</f>
        <v>United States of America</v>
      </c>
    </row>
    <row r="2324" spans="1:8" x14ac:dyDescent="0.3">
      <c r="A2324" s="3">
        <v>46255.581585648149</v>
      </c>
      <c r="B2324" s="1">
        <v>3.99</v>
      </c>
      <c r="C2324" s="1">
        <v>3.41</v>
      </c>
      <c r="D2324" s="1">
        <v>0.43</v>
      </c>
      <c r="E2324" s="1"/>
      <c r="F2324" s="1" t="s">
        <v>113</v>
      </c>
      <c r="G2324" s="1" t="s">
        <v>113</v>
      </c>
      <c r="H2324" s="1" t="str">
        <f>VLOOKUP(F2324,Countries!$A$1:$B$161,2,0)</f>
        <v>United States of America</v>
      </c>
    </row>
    <row r="2325" spans="1:8" x14ac:dyDescent="0.3">
      <c r="A2325" s="3">
        <v>46255.578611111108</v>
      </c>
      <c r="B2325" s="1">
        <v>6.65</v>
      </c>
      <c r="C2325" s="1">
        <v>5.69</v>
      </c>
      <c r="D2325" s="1">
        <v>0.54</v>
      </c>
      <c r="E2325" s="1" t="s">
        <v>121</v>
      </c>
      <c r="F2325" s="1" t="s">
        <v>121</v>
      </c>
      <c r="G2325" s="1" t="s">
        <v>121</v>
      </c>
      <c r="H2325" s="1" t="str">
        <f>VLOOKUP(F2325,Countries!$A$1:$B$161,2,0)</f>
        <v>Japan</v>
      </c>
    </row>
    <row r="2326" spans="1:8" x14ac:dyDescent="0.3">
      <c r="A2326" s="3">
        <v>46255.56658564815</v>
      </c>
      <c r="B2326" s="1">
        <v>62.37</v>
      </c>
      <c r="C2326" s="1">
        <v>53.34</v>
      </c>
      <c r="D2326" s="1">
        <v>2.12</v>
      </c>
      <c r="E2326" s="1" t="s">
        <v>113</v>
      </c>
      <c r="F2326" s="1" t="s">
        <v>113</v>
      </c>
      <c r="G2326" s="1" t="s">
        <v>113</v>
      </c>
      <c r="H2326" s="1" t="str">
        <f>VLOOKUP(F2326,Countries!$A$1:$B$161,2,0)</f>
        <v>United States of America</v>
      </c>
    </row>
    <row r="2327" spans="1:8" x14ac:dyDescent="0.3">
      <c r="A2327" s="3">
        <v>46255.563784722217</v>
      </c>
      <c r="B2327" s="1">
        <v>1.99</v>
      </c>
      <c r="C2327" s="1">
        <v>1.7</v>
      </c>
      <c r="D2327" s="1">
        <v>0.34</v>
      </c>
      <c r="E2327" s="1" t="s">
        <v>126</v>
      </c>
      <c r="F2327" s="1" t="s">
        <v>126</v>
      </c>
      <c r="G2327" s="1" t="s">
        <v>126</v>
      </c>
      <c r="H2327" s="1" t="str">
        <f>VLOOKUP(F2327,Countries!$A$1:$B$161,2,0)</f>
        <v>Cambodia</v>
      </c>
    </row>
    <row r="2328" spans="1:8" x14ac:dyDescent="0.3">
      <c r="A2328" s="3">
        <v>46255.559930555559</v>
      </c>
      <c r="B2328" s="1">
        <v>70.239999999999995</v>
      </c>
      <c r="C2328" s="1">
        <v>60.08</v>
      </c>
      <c r="D2328" s="1">
        <v>2.35</v>
      </c>
      <c r="E2328" s="1" t="s">
        <v>113</v>
      </c>
      <c r="F2328" s="1" t="s">
        <v>113</v>
      </c>
      <c r="G2328" s="1" t="s">
        <v>113</v>
      </c>
      <c r="H2328" s="1" t="str">
        <f>VLOOKUP(F2328,Countries!$A$1:$B$161,2,0)</f>
        <v>United States of America</v>
      </c>
    </row>
    <row r="2329" spans="1:8" x14ac:dyDescent="0.3">
      <c r="A2329" s="3">
        <v>46255.555277777778</v>
      </c>
      <c r="B2329" s="1">
        <v>10.85</v>
      </c>
      <c r="C2329" s="1">
        <v>9.2799999999999994</v>
      </c>
      <c r="D2329" s="1">
        <v>0.74</v>
      </c>
      <c r="E2329" s="1" t="s">
        <v>115</v>
      </c>
      <c r="F2329" s="1" t="s">
        <v>115</v>
      </c>
      <c r="G2329" s="1" t="s">
        <v>115</v>
      </c>
      <c r="H2329" s="1" t="str">
        <f>VLOOKUP(F2329,Countries!$A$1:$B$161,2,0)</f>
        <v>Switzerland</v>
      </c>
    </row>
    <row r="2330" spans="1:8" x14ac:dyDescent="0.3">
      <c r="A2330" s="3">
        <v>46255.555254629631</v>
      </c>
      <c r="B2330" s="1">
        <v>7.58</v>
      </c>
      <c r="C2330" s="1">
        <v>6.48</v>
      </c>
      <c r="D2330" s="1">
        <v>0.48</v>
      </c>
      <c r="E2330" s="1" t="s">
        <v>113</v>
      </c>
      <c r="F2330" s="1" t="s">
        <v>113</v>
      </c>
      <c r="G2330" s="1" t="s">
        <v>113</v>
      </c>
      <c r="H2330" s="1" t="str">
        <f>VLOOKUP(F2330,Countries!$A$1:$B$161,2,0)</f>
        <v>United States of America</v>
      </c>
    </row>
    <row r="2331" spans="1:8" x14ac:dyDescent="0.3">
      <c r="A2331" s="3">
        <v>46255.555081018523</v>
      </c>
      <c r="B2331" s="1">
        <v>19.98</v>
      </c>
      <c r="C2331" s="1">
        <v>17.09</v>
      </c>
      <c r="D2331" s="1">
        <v>1.02</v>
      </c>
      <c r="E2331" s="1" t="s">
        <v>119</v>
      </c>
      <c r="F2331" s="1" t="s">
        <v>119</v>
      </c>
      <c r="G2331" s="1" t="s">
        <v>119</v>
      </c>
      <c r="H2331" s="1" t="str">
        <f>VLOOKUP(F2331,Countries!$A$1:$B$161,2,0)</f>
        <v>Great Britain (United Kingdom)</v>
      </c>
    </row>
    <row r="2332" spans="1:8" x14ac:dyDescent="0.3">
      <c r="A2332" s="3">
        <v>46255.551458333342</v>
      </c>
      <c r="B2332" s="1">
        <v>6.65</v>
      </c>
      <c r="C2332" s="1">
        <v>5.69</v>
      </c>
      <c r="D2332" s="1">
        <v>0.54</v>
      </c>
      <c r="E2332" s="1" t="s">
        <v>149</v>
      </c>
      <c r="F2332" s="1" t="s">
        <v>149</v>
      </c>
      <c r="G2332" s="1" t="s">
        <v>149</v>
      </c>
      <c r="H2332" s="1" t="str">
        <f>VLOOKUP(F2332,Countries!$A$1:$B$161,2,0)</f>
        <v>Indonesia</v>
      </c>
    </row>
    <row r="2333" spans="1:8" x14ac:dyDescent="0.3">
      <c r="A2333" s="3">
        <v>46255.542905092603</v>
      </c>
      <c r="B2333" s="1">
        <v>7.39</v>
      </c>
      <c r="C2333" s="1">
        <v>6.32</v>
      </c>
      <c r="D2333" s="1">
        <v>0.47</v>
      </c>
      <c r="E2333" s="1" t="s">
        <v>147</v>
      </c>
      <c r="F2333" s="1" t="s">
        <v>147</v>
      </c>
      <c r="G2333" s="1" t="s">
        <v>147</v>
      </c>
      <c r="H2333" s="1" t="str">
        <f>VLOOKUP(F2333,Countries!$A$1:$B$161,2,0)</f>
        <v>Germany</v>
      </c>
    </row>
    <row r="2334" spans="1:8" x14ac:dyDescent="0.3">
      <c r="A2334" s="3">
        <v>46255.54184027778</v>
      </c>
      <c r="B2334" s="1">
        <v>3.35</v>
      </c>
      <c r="C2334" s="1">
        <v>2.86</v>
      </c>
      <c r="D2334" s="1">
        <v>0.4</v>
      </c>
      <c r="E2334" s="1" t="s">
        <v>149</v>
      </c>
      <c r="F2334" s="1" t="s">
        <v>149</v>
      </c>
      <c r="G2334" s="1" t="s">
        <v>149</v>
      </c>
      <c r="H2334" s="1" t="str">
        <f>VLOOKUP(F2334,Countries!$A$1:$B$161,2,0)</f>
        <v>Indonesia</v>
      </c>
    </row>
    <row r="2335" spans="1:8" x14ac:dyDescent="0.3">
      <c r="A2335" s="3">
        <v>46255.52784722222</v>
      </c>
      <c r="B2335" s="1">
        <v>26.59</v>
      </c>
      <c r="C2335" s="1">
        <v>22.73</v>
      </c>
      <c r="D2335" s="1">
        <v>1.44</v>
      </c>
      <c r="E2335" s="1" t="s">
        <v>113</v>
      </c>
      <c r="F2335" s="1" t="s">
        <v>113</v>
      </c>
      <c r="G2335" s="1" t="s">
        <v>113</v>
      </c>
      <c r="H2335" s="1" t="str">
        <f>VLOOKUP(F2335,Countries!$A$1:$B$161,2,0)</f>
        <v>United States of America</v>
      </c>
    </row>
    <row r="2336" spans="1:8" x14ac:dyDescent="0.3">
      <c r="A2336" s="3">
        <v>46255.518437500003</v>
      </c>
      <c r="B2336" s="1">
        <v>17.010000000000002</v>
      </c>
      <c r="C2336" s="1">
        <v>14.54</v>
      </c>
      <c r="D2336" s="1">
        <v>1.01</v>
      </c>
      <c r="E2336" s="1" t="s">
        <v>113</v>
      </c>
      <c r="F2336" s="1" t="s">
        <v>113</v>
      </c>
      <c r="G2336" s="1" t="s">
        <v>113</v>
      </c>
      <c r="H2336" s="1" t="str">
        <f>VLOOKUP(F2336,Countries!$A$1:$B$161,2,0)</f>
        <v>United States of America</v>
      </c>
    </row>
    <row r="2337" spans="1:8" x14ac:dyDescent="0.3">
      <c r="A2337" s="3">
        <v>46255.517488425918</v>
      </c>
      <c r="B2337" s="1">
        <v>6.37</v>
      </c>
      <c r="C2337" s="1">
        <v>5.44</v>
      </c>
      <c r="D2337" s="1">
        <v>0.54</v>
      </c>
      <c r="E2337" s="1" t="s">
        <v>113</v>
      </c>
      <c r="F2337" s="1" t="s">
        <v>113</v>
      </c>
      <c r="G2337" s="1" t="s">
        <v>113</v>
      </c>
      <c r="H2337" s="1" t="str">
        <f>VLOOKUP(F2337,Countries!$A$1:$B$161,2,0)</f>
        <v>United States of America</v>
      </c>
    </row>
    <row r="2338" spans="1:8" x14ac:dyDescent="0.3">
      <c r="A2338" s="3">
        <v>46255.496527777781</v>
      </c>
      <c r="B2338" s="1">
        <v>10.85</v>
      </c>
      <c r="C2338" s="1">
        <v>9.27</v>
      </c>
      <c r="D2338" s="1">
        <v>0.74</v>
      </c>
      <c r="E2338" s="1" t="s">
        <v>115</v>
      </c>
      <c r="F2338" s="1" t="s">
        <v>115</v>
      </c>
      <c r="G2338" s="1" t="s">
        <v>115</v>
      </c>
      <c r="H2338" s="1" t="str">
        <f>VLOOKUP(F2338,Countries!$A$1:$B$161,2,0)</f>
        <v>Switzerland</v>
      </c>
    </row>
    <row r="2339" spans="1:8" x14ac:dyDescent="0.3">
      <c r="A2339" s="3">
        <v>46255.495810185188</v>
      </c>
      <c r="B2339" s="1">
        <v>6.8</v>
      </c>
      <c r="C2339" s="1">
        <v>5.81</v>
      </c>
      <c r="D2339" s="1">
        <v>0.56000000000000005</v>
      </c>
      <c r="E2339" s="1" t="s">
        <v>114</v>
      </c>
      <c r="F2339" s="1" t="s">
        <v>114</v>
      </c>
      <c r="G2339" s="1" t="s">
        <v>114</v>
      </c>
      <c r="H2339" s="1" t="str">
        <f>VLOOKUP(F2339,Countries!$A$1:$B$161,2,0)</f>
        <v>Philippines</v>
      </c>
    </row>
    <row r="2340" spans="1:8" x14ac:dyDescent="0.3">
      <c r="A2340" s="3">
        <v>46255.484456018523</v>
      </c>
      <c r="B2340" s="1">
        <v>6.37</v>
      </c>
      <c r="C2340" s="1">
        <v>5.44</v>
      </c>
      <c r="D2340" s="1">
        <v>0.54</v>
      </c>
      <c r="E2340" s="1" t="s">
        <v>113</v>
      </c>
      <c r="F2340" s="1" t="s">
        <v>113</v>
      </c>
      <c r="G2340" s="1" t="s">
        <v>113</v>
      </c>
      <c r="H2340" s="1" t="str">
        <f>VLOOKUP(F2340,Countries!$A$1:$B$161,2,0)</f>
        <v>United States of America</v>
      </c>
    </row>
    <row r="2341" spans="1:8" x14ac:dyDescent="0.3">
      <c r="A2341" s="3">
        <v>46255.484212962961</v>
      </c>
      <c r="B2341" s="1">
        <v>8.5</v>
      </c>
      <c r="C2341" s="1">
        <v>7.26</v>
      </c>
      <c r="D2341" s="1">
        <v>0.64</v>
      </c>
      <c r="E2341" s="1" t="s">
        <v>113</v>
      </c>
      <c r="F2341" s="1" t="s">
        <v>113</v>
      </c>
      <c r="G2341" s="1" t="s">
        <v>113</v>
      </c>
      <c r="H2341" s="1" t="str">
        <f>VLOOKUP(F2341,Countries!$A$1:$B$161,2,0)</f>
        <v>United States of America</v>
      </c>
    </row>
    <row r="2342" spans="1:8" x14ac:dyDescent="0.3">
      <c r="A2342" s="3">
        <v>46255.465474537043</v>
      </c>
      <c r="B2342" s="1">
        <v>10.85</v>
      </c>
      <c r="C2342" s="1">
        <v>9.27</v>
      </c>
      <c r="D2342" s="1">
        <v>0.74</v>
      </c>
      <c r="E2342" s="1" t="s">
        <v>115</v>
      </c>
      <c r="F2342" s="1" t="s">
        <v>115</v>
      </c>
      <c r="G2342" s="1" t="s">
        <v>115</v>
      </c>
      <c r="H2342" s="1" t="str">
        <f>VLOOKUP(F2342,Countries!$A$1:$B$161,2,0)</f>
        <v>Switzerland</v>
      </c>
    </row>
    <row r="2343" spans="1:8" x14ac:dyDescent="0.3">
      <c r="A2343" s="3">
        <v>46255.463946759257</v>
      </c>
      <c r="B2343" s="1">
        <v>2.99</v>
      </c>
      <c r="C2343" s="1">
        <v>2.56</v>
      </c>
      <c r="D2343" s="1">
        <v>0.38</v>
      </c>
      <c r="E2343" s="1" t="s">
        <v>135</v>
      </c>
      <c r="F2343" s="1" t="s">
        <v>135</v>
      </c>
      <c r="G2343" s="1" t="s">
        <v>135</v>
      </c>
      <c r="H2343" s="1" t="str">
        <f>VLOOKUP(F2343,Countries!$A$1:$B$161,2,0)</f>
        <v>Kuwait</v>
      </c>
    </row>
    <row r="2344" spans="1:8" x14ac:dyDescent="0.3">
      <c r="A2344" s="3">
        <v>46255.454259259262</v>
      </c>
      <c r="B2344" s="1">
        <v>7.48</v>
      </c>
      <c r="C2344" s="1">
        <v>6.39</v>
      </c>
      <c r="D2344" s="1">
        <v>0.54</v>
      </c>
      <c r="E2344" s="1" t="s">
        <v>119</v>
      </c>
      <c r="F2344" s="1" t="s">
        <v>119</v>
      </c>
      <c r="G2344" s="1" t="s">
        <v>119</v>
      </c>
      <c r="H2344" s="1" t="str">
        <f>VLOOKUP(F2344,Countries!$A$1:$B$161,2,0)</f>
        <v>Great Britain (United Kingdom)</v>
      </c>
    </row>
    <row r="2345" spans="1:8" x14ac:dyDescent="0.3">
      <c r="A2345" s="3">
        <v>46255.452997685177</v>
      </c>
      <c r="B2345" s="1">
        <v>2.11</v>
      </c>
      <c r="C2345" s="1">
        <v>1.8</v>
      </c>
      <c r="D2345" s="1">
        <v>0.35</v>
      </c>
      <c r="E2345" s="1" t="s">
        <v>113</v>
      </c>
      <c r="F2345" s="1" t="s">
        <v>113</v>
      </c>
      <c r="G2345" s="1" t="s">
        <v>113</v>
      </c>
      <c r="H2345" s="1" t="str">
        <f>VLOOKUP(F2345,Countries!$A$1:$B$161,2,0)</f>
        <v>United States of America</v>
      </c>
    </row>
    <row r="2346" spans="1:8" x14ac:dyDescent="0.3">
      <c r="A2346" s="3">
        <v>46255.452766203707</v>
      </c>
      <c r="B2346" s="1">
        <v>6.37</v>
      </c>
      <c r="C2346" s="1">
        <v>5.44</v>
      </c>
      <c r="D2346" s="1">
        <v>0.54</v>
      </c>
      <c r="E2346" s="1" t="s">
        <v>113</v>
      </c>
      <c r="F2346" s="1" t="s">
        <v>113</v>
      </c>
      <c r="G2346" s="1" t="s">
        <v>113</v>
      </c>
      <c r="H2346" s="1" t="str">
        <f>VLOOKUP(F2346,Countries!$A$1:$B$161,2,0)</f>
        <v>United States of America</v>
      </c>
    </row>
    <row r="2347" spans="1:8" x14ac:dyDescent="0.3">
      <c r="A2347" s="3">
        <v>46255.446701388893</v>
      </c>
      <c r="B2347" s="1">
        <v>15.43</v>
      </c>
      <c r="C2347" s="1">
        <v>13.19</v>
      </c>
      <c r="D2347" s="1">
        <v>0.94</v>
      </c>
      <c r="E2347" s="1" t="s">
        <v>130</v>
      </c>
      <c r="F2347" s="1" t="s">
        <v>130</v>
      </c>
      <c r="G2347" s="1" t="s">
        <v>130</v>
      </c>
      <c r="H2347" s="1" t="str">
        <f>VLOOKUP(F2347,Countries!$A$1:$B$161,2,0)</f>
        <v>Australia</v>
      </c>
    </row>
    <row r="2348" spans="1:8" x14ac:dyDescent="0.3">
      <c r="A2348" s="3">
        <v>46255.437164351853</v>
      </c>
      <c r="B2348" s="1">
        <v>6.37</v>
      </c>
      <c r="C2348" s="1">
        <v>5.44</v>
      </c>
      <c r="D2348" s="1">
        <v>0.54</v>
      </c>
      <c r="E2348" s="1" t="s">
        <v>113</v>
      </c>
      <c r="F2348" s="1" t="s">
        <v>113</v>
      </c>
      <c r="G2348" s="1" t="s">
        <v>113</v>
      </c>
      <c r="H2348" s="1" t="str">
        <f>VLOOKUP(F2348,Countries!$A$1:$B$161,2,0)</f>
        <v>United States of America</v>
      </c>
    </row>
    <row r="2349" spans="1:8" x14ac:dyDescent="0.3">
      <c r="A2349" s="3">
        <v>46255.431192129632</v>
      </c>
      <c r="B2349" s="1">
        <v>1.99</v>
      </c>
      <c r="C2349" s="1">
        <v>1.7</v>
      </c>
      <c r="D2349" s="1">
        <v>0.31</v>
      </c>
      <c r="E2349" s="1" t="s">
        <v>172</v>
      </c>
      <c r="F2349" s="1" t="s">
        <v>172</v>
      </c>
      <c r="G2349" s="1" t="s">
        <v>172</v>
      </c>
      <c r="H2349" s="1" t="str">
        <f>VLOOKUP(F2349,Countries!$A$1:$B$161,2,0)</f>
        <v>Croatia</v>
      </c>
    </row>
    <row r="2350" spans="1:8" x14ac:dyDescent="0.3">
      <c r="A2350" s="3">
        <v>46255.430625000001</v>
      </c>
      <c r="B2350" s="1">
        <v>36.96</v>
      </c>
      <c r="C2350" s="1">
        <v>31.59</v>
      </c>
      <c r="D2350" s="1">
        <v>1.91</v>
      </c>
      <c r="E2350" s="1" t="s">
        <v>113</v>
      </c>
      <c r="F2350" s="1" t="s">
        <v>113</v>
      </c>
      <c r="G2350" s="1" t="s">
        <v>113</v>
      </c>
      <c r="H2350" s="1" t="str">
        <f>VLOOKUP(F2350,Countries!$A$1:$B$161,2,0)</f>
        <v>United States of America</v>
      </c>
    </row>
    <row r="2351" spans="1:8" x14ac:dyDescent="0.3">
      <c r="A2351" s="3">
        <v>46255.429583333331</v>
      </c>
      <c r="B2351" s="1">
        <v>14.77</v>
      </c>
      <c r="C2351" s="1">
        <v>12.62</v>
      </c>
      <c r="D2351" s="1">
        <v>0.91</v>
      </c>
      <c r="E2351" s="1" t="s">
        <v>113</v>
      </c>
      <c r="F2351" s="1" t="s">
        <v>113</v>
      </c>
      <c r="G2351" s="1" t="s">
        <v>113</v>
      </c>
      <c r="H2351" s="1" t="str">
        <f>VLOOKUP(F2351,Countries!$A$1:$B$161,2,0)</f>
        <v>United States of America</v>
      </c>
    </row>
    <row r="2352" spans="1:8" x14ac:dyDescent="0.3">
      <c r="A2352" s="3">
        <v>46255.423692129632</v>
      </c>
      <c r="B2352" s="1">
        <v>2.99</v>
      </c>
      <c r="C2352" s="1">
        <v>2.56</v>
      </c>
      <c r="D2352" s="1">
        <v>0.38</v>
      </c>
      <c r="E2352" s="1" t="s">
        <v>113</v>
      </c>
      <c r="F2352" s="1" t="s">
        <v>113</v>
      </c>
      <c r="G2352" s="1" t="s">
        <v>113</v>
      </c>
      <c r="H2352" s="1" t="str">
        <f>VLOOKUP(F2352,Countries!$A$1:$B$161,2,0)</f>
        <v>United States of America</v>
      </c>
    </row>
    <row r="2353" spans="1:8" x14ac:dyDescent="0.3">
      <c r="A2353" s="3">
        <v>46255.422488425917</v>
      </c>
      <c r="B2353" s="1">
        <v>10.62</v>
      </c>
      <c r="C2353" s="1">
        <v>9.08</v>
      </c>
      <c r="D2353" s="1">
        <v>0.73</v>
      </c>
      <c r="E2353" s="1" t="s">
        <v>113</v>
      </c>
      <c r="F2353" s="1" t="s">
        <v>113</v>
      </c>
      <c r="G2353" s="1" t="s">
        <v>113</v>
      </c>
      <c r="H2353" s="1" t="str">
        <f>VLOOKUP(F2353,Countries!$A$1:$B$161,2,0)</f>
        <v>United States of America</v>
      </c>
    </row>
    <row r="2354" spans="1:8" x14ac:dyDescent="0.3">
      <c r="A2354" s="3">
        <v>46255.421331018522</v>
      </c>
      <c r="B2354" s="1">
        <v>15.43</v>
      </c>
      <c r="C2354" s="1">
        <v>13.19</v>
      </c>
      <c r="D2354" s="1">
        <v>0.94</v>
      </c>
      <c r="E2354" s="1" t="s">
        <v>130</v>
      </c>
      <c r="F2354" s="1" t="s">
        <v>130</v>
      </c>
      <c r="G2354" s="1" t="s">
        <v>130</v>
      </c>
      <c r="H2354" s="1" t="str">
        <f>VLOOKUP(F2354,Countries!$A$1:$B$161,2,0)</f>
        <v>Australia</v>
      </c>
    </row>
    <row r="2355" spans="1:8" x14ac:dyDescent="0.3">
      <c r="A2355" s="3">
        <v>46255.419224537043</v>
      </c>
      <c r="B2355" s="1">
        <v>10.62</v>
      </c>
      <c r="C2355" s="1">
        <v>9.08</v>
      </c>
      <c r="D2355" s="1">
        <v>0.73</v>
      </c>
      <c r="E2355" s="1" t="s">
        <v>113</v>
      </c>
      <c r="F2355" s="1" t="s">
        <v>113</v>
      </c>
      <c r="G2355" s="1" t="s">
        <v>113</v>
      </c>
      <c r="H2355" s="1" t="str">
        <f>VLOOKUP(F2355,Countries!$A$1:$B$161,2,0)</f>
        <v>United States of America</v>
      </c>
    </row>
    <row r="2356" spans="1:8" x14ac:dyDescent="0.3">
      <c r="A2356" s="3">
        <v>46255.417523148149</v>
      </c>
      <c r="B2356" s="1">
        <v>89.89</v>
      </c>
      <c r="C2356" s="1">
        <v>76.8</v>
      </c>
      <c r="D2356" s="1">
        <v>4.29</v>
      </c>
      <c r="E2356" s="1" t="s">
        <v>113</v>
      </c>
      <c r="F2356" s="1" t="s">
        <v>113</v>
      </c>
      <c r="G2356" s="1" t="s">
        <v>113</v>
      </c>
      <c r="H2356" s="1" t="str">
        <f>VLOOKUP(F2356,Countries!$A$1:$B$161,2,0)</f>
        <v>United States of America</v>
      </c>
    </row>
    <row r="2357" spans="1:8" x14ac:dyDescent="0.3">
      <c r="A2357" s="3">
        <v>46255.416215277779</v>
      </c>
      <c r="B2357" s="1">
        <v>17.96</v>
      </c>
      <c r="C2357" s="1">
        <v>15.34</v>
      </c>
      <c r="D2357" s="1">
        <v>1.06</v>
      </c>
      <c r="E2357" s="1" t="s">
        <v>113</v>
      </c>
      <c r="F2357" s="1" t="s">
        <v>113</v>
      </c>
      <c r="G2357" s="1" t="s">
        <v>113</v>
      </c>
      <c r="H2357" s="1" t="str">
        <f>VLOOKUP(F2357,Countries!$A$1:$B$161,2,0)</f>
        <v>United States of America</v>
      </c>
    </row>
    <row r="2358" spans="1:8" x14ac:dyDescent="0.3">
      <c r="A2358" s="3">
        <v>46255.413541666669</v>
      </c>
      <c r="B2358" s="1">
        <v>6.37</v>
      </c>
      <c r="C2358" s="1">
        <v>5.44</v>
      </c>
      <c r="D2358" s="1">
        <v>0.54</v>
      </c>
      <c r="E2358" s="1" t="s">
        <v>113</v>
      </c>
      <c r="F2358" s="1" t="s">
        <v>113</v>
      </c>
      <c r="G2358" s="1" t="s">
        <v>113</v>
      </c>
      <c r="H2358" s="1" t="str">
        <f>VLOOKUP(F2358,Countries!$A$1:$B$161,2,0)</f>
        <v>United States of America</v>
      </c>
    </row>
    <row r="2359" spans="1:8" x14ac:dyDescent="0.3">
      <c r="A2359" s="3">
        <v>46255.412442129629</v>
      </c>
      <c r="B2359" s="1">
        <v>6.37</v>
      </c>
      <c r="C2359" s="1">
        <v>5.44</v>
      </c>
      <c r="D2359" s="1">
        <v>0.54</v>
      </c>
      <c r="E2359" s="1" t="s">
        <v>113</v>
      </c>
      <c r="F2359" s="1" t="s">
        <v>113</v>
      </c>
      <c r="G2359" s="1" t="s">
        <v>113</v>
      </c>
      <c r="H2359" s="1" t="str">
        <f>VLOOKUP(F2359,Countries!$A$1:$B$161,2,0)</f>
        <v>United States of America</v>
      </c>
    </row>
    <row r="2360" spans="1:8" x14ac:dyDescent="0.3">
      <c r="A2360" s="3">
        <v>46255.410925925928</v>
      </c>
      <c r="B2360" s="1">
        <v>17.96</v>
      </c>
      <c r="C2360" s="1">
        <v>15.34</v>
      </c>
      <c r="D2360" s="1">
        <v>1.06</v>
      </c>
      <c r="E2360" s="1" t="s">
        <v>113</v>
      </c>
      <c r="F2360" s="1" t="s">
        <v>113</v>
      </c>
      <c r="G2360" s="1" t="s">
        <v>113</v>
      </c>
      <c r="H2360" s="1" t="str">
        <f>VLOOKUP(F2360,Countries!$A$1:$B$161,2,0)</f>
        <v>United States of America</v>
      </c>
    </row>
    <row r="2361" spans="1:8" x14ac:dyDescent="0.3">
      <c r="A2361" s="3">
        <v>46255.410046296303</v>
      </c>
      <c r="B2361" s="1">
        <v>6.37</v>
      </c>
      <c r="C2361" s="1">
        <v>5.44</v>
      </c>
      <c r="D2361" s="1">
        <v>0.54</v>
      </c>
      <c r="E2361" s="1" t="s">
        <v>113</v>
      </c>
      <c r="F2361" s="1" t="s">
        <v>113</v>
      </c>
      <c r="G2361" s="1" t="s">
        <v>113</v>
      </c>
      <c r="H2361" s="1" t="str">
        <f>VLOOKUP(F2361,Countries!$A$1:$B$161,2,0)</f>
        <v>United States of America</v>
      </c>
    </row>
    <row r="2362" spans="1:8" x14ac:dyDescent="0.3">
      <c r="A2362" s="3">
        <v>46255.409479166658</v>
      </c>
      <c r="B2362" s="1">
        <v>6.37</v>
      </c>
      <c r="C2362" s="1">
        <v>5.44</v>
      </c>
      <c r="D2362" s="1">
        <v>0.54</v>
      </c>
      <c r="E2362" s="1" t="s">
        <v>113</v>
      </c>
      <c r="F2362" s="1" t="s">
        <v>113</v>
      </c>
      <c r="G2362" s="1" t="s">
        <v>113</v>
      </c>
      <c r="H2362" s="1" t="str">
        <f>VLOOKUP(F2362,Countries!$A$1:$B$161,2,0)</f>
        <v>United States of America</v>
      </c>
    </row>
    <row r="2363" spans="1:8" x14ac:dyDescent="0.3">
      <c r="A2363" s="3">
        <v>46255.409398148149</v>
      </c>
      <c r="B2363" s="1">
        <v>6.3</v>
      </c>
      <c r="C2363" s="1">
        <v>5.38</v>
      </c>
      <c r="D2363" s="1">
        <v>0.53</v>
      </c>
      <c r="E2363" s="1" t="s">
        <v>132</v>
      </c>
      <c r="F2363" s="1" t="s">
        <v>132</v>
      </c>
      <c r="G2363" s="1" t="s">
        <v>132</v>
      </c>
      <c r="H2363" s="1" t="str">
        <f>VLOOKUP(F2363,Countries!$A$1:$B$161,2,0)</f>
        <v>Canada</v>
      </c>
    </row>
    <row r="2364" spans="1:8" x14ac:dyDescent="0.3">
      <c r="A2364" s="3">
        <v>46255.408900462957</v>
      </c>
      <c r="B2364" s="1">
        <v>2.99</v>
      </c>
      <c r="C2364" s="1">
        <v>2.5499999999999998</v>
      </c>
      <c r="D2364" s="1">
        <v>0.38</v>
      </c>
      <c r="E2364" s="1" t="s">
        <v>132</v>
      </c>
      <c r="F2364" s="1" t="s">
        <v>132</v>
      </c>
      <c r="G2364" s="1" t="s">
        <v>132</v>
      </c>
      <c r="H2364" s="1" t="str">
        <f>VLOOKUP(F2364,Countries!$A$1:$B$161,2,0)</f>
        <v>Canada</v>
      </c>
    </row>
    <row r="2365" spans="1:8" x14ac:dyDescent="0.3">
      <c r="A2365" s="3">
        <v>46255.408599537041</v>
      </c>
      <c r="B2365" s="1">
        <v>80.900000000000006</v>
      </c>
      <c r="C2365" s="1">
        <v>69.12</v>
      </c>
      <c r="D2365" s="1">
        <v>3.88</v>
      </c>
      <c r="E2365" s="1" t="s">
        <v>113</v>
      </c>
      <c r="F2365" s="1" t="s">
        <v>113</v>
      </c>
      <c r="G2365" s="1" t="s">
        <v>113</v>
      </c>
      <c r="H2365" s="1" t="str">
        <f>VLOOKUP(F2365,Countries!$A$1:$B$161,2,0)</f>
        <v>United States of America</v>
      </c>
    </row>
    <row r="2366" spans="1:8" x14ac:dyDescent="0.3">
      <c r="A2366" s="3">
        <v>46255.402488425927</v>
      </c>
      <c r="B2366" s="1">
        <v>42.54</v>
      </c>
      <c r="C2366" s="1">
        <v>36.340000000000003</v>
      </c>
      <c r="D2366" s="1">
        <v>2.16</v>
      </c>
      <c r="E2366" s="1" t="s">
        <v>113</v>
      </c>
      <c r="F2366" s="1" t="s">
        <v>113</v>
      </c>
      <c r="G2366" s="1" t="s">
        <v>113</v>
      </c>
      <c r="H2366" s="1" t="str">
        <f>VLOOKUP(F2366,Countries!$A$1:$B$161,2,0)</f>
        <v>United States of America</v>
      </c>
    </row>
    <row r="2367" spans="1:8" x14ac:dyDescent="0.3">
      <c r="A2367" s="3">
        <v>46255.401516203703</v>
      </c>
      <c r="B2367" s="1">
        <v>10.51</v>
      </c>
      <c r="C2367" s="1">
        <v>8.98</v>
      </c>
      <c r="D2367" s="1">
        <v>0.56000000000000005</v>
      </c>
      <c r="E2367" s="1" t="s">
        <v>201</v>
      </c>
      <c r="F2367" s="1" t="s">
        <v>201</v>
      </c>
      <c r="G2367" s="1" t="s">
        <v>201</v>
      </c>
      <c r="H2367" s="1" t="str">
        <f>VLOOKUP(F2367,Countries!$A$1:$B$161,2,0)</f>
        <v>Greece</v>
      </c>
    </row>
    <row r="2368" spans="1:8" x14ac:dyDescent="0.3">
      <c r="A2368" s="3">
        <v>46255.388252314813</v>
      </c>
      <c r="B2368" s="1">
        <v>21.62</v>
      </c>
      <c r="C2368" s="1">
        <v>18.47</v>
      </c>
      <c r="D2368" s="1">
        <v>1.22</v>
      </c>
      <c r="E2368" s="1" t="s">
        <v>130</v>
      </c>
      <c r="F2368" s="1" t="s">
        <v>130</v>
      </c>
      <c r="G2368" s="1" t="s">
        <v>130</v>
      </c>
      <c r="H2368" s="1" t="str">
        <f>VLOOKUP(F2368,Countries!$A$1:$B$161,2,0)</f>
        <v>Australia</v>
      </c>
    </row>
    <row r="2369" spans="1:8" x14ac:dyDescent="0.3">
      <c r="A2369" s="3">
        <v>46255.385416666657</v>
      </c>
      <c r="B2369" s="1">
        <v>11.1</v>
      </c>
      <c r="C2369" s="1">
        <v>9.48</v>
      </c>
      <c r="D2369" s="1">
        <v>0.75</v>
      </c>
      <c r="E2369" s="1" t="s">
        <v>130</v>
      </c>
      <c r="F2369" s="1" t="s">
        <v>130</v>
      </c>
      <c r="G2369" s="1" t="s">
        <v>130</v>
      </c>
      <c r="H2369" s="1" t="str">
        <f>VLOOKUP(F2369,Countries!$A$1:$B$161,2,0)</f>
        <v>Australia</v>
      </c>
    </row>
    <row r="2370" spans="1:8" x14ac:dyDescent="0.3">
      <c r="A2370" s="3">
        <v>46255.385069444441</v>
      </c>
      <c r="B2370" s="1">
        <v>10.63</v>
      </c>
      <c r="C2370" s="1">
        <v>9.08</v>
      </c>
      <c r="D2370" s="1">
        <v>0.73</v>
      </c>
      <c r="E2370" s="1" t="s">
        <v>113</v>
      </c>
      <c r="F2370" s="1" t="s">
        <v>113</v>
      </c>
      <c r="G2370" s="1" t="s">
        <v>113</v>
      </c>
      <c r="H2370" s="1" t="str">
        <f>VLOOKUP(F2370,Countries!$A$1:$B$161,2,0)</f>
        <v>United States of America</v>
      </c>
    </row>
    <row r="2371" spans="1:8" x14ac:dyDescent="0.3">
      <c r="A2371" s="3">
        <v>46255.382465277777</v>
      </c>
      <c r="B2371" s="1">
        <v>7.48</v>
      </c>
      <c r="C2371" s="1">
        <v>6.39</v>
      </c>
      <c r="D2371" s="1">
        <v>0.48</v>
      </c>
      <c r="E2371" s="1" t="s">
        <v>113</v>
      </c>
      <c r="F2371" s="1" t="s">
        <v>113</v>
      </c>
      <c r="G2371" s="1" t="s">
        <v>113</v>
      </c>
      <c r="H2371" s="1" t="str">
        <f>VLOOKUP(F2371,Countries!$A$1:$B$161,2,0)</f>
        <v>United States of America</v>
      </c>
    </row>
    <row r="2372" spans="1:8" x14ac:dyDescent="0.3">
      <c r="A2372" s="3">
        <v>46255.378865740742</v>
      </c>
      <c r="B2372" s="1">
        <v>42.54</v>
      </c>
      <c r="C2372" s="1">
        <v>36.340000000000003</v>
      </c>
      <c r="D2372" s="1">
        <v>2.16</v>
      </c>
      <c r="E2372" s="1" t="s">
        <v>113</v>
      </c>
      <c r="F2372" s="1" t="s">
        <v>113</v>
      </c>
      <c r="G2372" s="1" t="s">
        <v>113</v>
      </c>
      <c r="H2372" s="1" t="str">
        <f>VLOOKUP(F2372,Countries!$A$1:$B$161,2,0)</f>
        <v>United States of America</v>
      </c>
    </row>
    <row r="2373" spans="1:8" x14ac:dyDescent="0.3">
      <c r="A2373" s="3">
        <v>46255.376331018517</v>
      </c>
      <c r="B2373" s="1">
        <v>2.99</v>
      </c>
      <c r="C2373" s="1">
        <v>2.56</v>
      </c>
      <c r="D2373" s="1">
        <v>0.38</v>
      </c>
      <c r="E2373" s="1" t="s">
        <v>135</v>
      </c>
      <c r="F2373" s="1" t="s">
        <v>135</v>
      </c>
      <c r="G2373" s="1" t="s">
        <v>135</v>
      </c>
      <c r="H2373" s="1" t="str">
        <f>VLOOKUP(F2373,Countries!$A$1:$B$161,2,0)</f>
        <v>Kuwait</v>
      </c>
    </row>
    <row r="2374" spans="1:8" x14ac:dyDescent="0.3">
      <c r="A2374" s="3">
        <v>46255.373287037037</v>
      </c>
      <c r="B2374" s="1">
        <v>10.62</v>
      </c>
      <c r="C2374" s="1">
        <v>9.08</v>
      </c>
      <c r="D2374" s="1">
        <v>0.73</v>
      </c>
      <c r="E2374" s="1" t="s">
        <v>113</v>
      </c>
      <c r="F2374" s="1" t="s">
        <v>113</v>
      </c>
      <c r="G2374" s="1" t="s">
        <v>113</v>
      </c>
      <c r="H2374" s="1" t="str">
        <f>VLOOKUP(F2374,Countries!$A$1:$B$161,2,0)</f>
        <v>United States of America</v>
      </c>
    </row>
    <row r="2375" spans="1:8" x14ac:dyDescent="0.3">
      <c r="A2375" s="3">
        <v>46255.369953703703</v>
      </c>
      <c r="B2375" s="1">
        <v>3.18</v>
      </c>
      <c r="C2375" s="1">
        <v>2.72</v>
      </c>
      <c r="D2375" s="1">
        <v>0.39</v>
      </c>
      <c r="E2375" s="1" t="s">
        <v>113</v>
      </c>
      <c r="F2375" s="1" t="s">
        <v>113</v>
      </c>
      <c r="G2375" s="1" t="s">
        <v>113</v>
      </c>
      <c r="H2375" s="1" t="str">
        <f>VLOOKUP(F2375,Countries!$A$1:$B$161,2,0)</f>
        <v>United States of America</v>
      </c>
    </row>
    <row r="2376" spans="1:8" x14ac:dyDescent="0.3">
      <c r="A2376" s="3">
        <v>46255.368888888886</v>
      </c>
      <c r="B2376" s="1">
        <v>2.11</v>
      </c>
      <c r="C2376" s="1">
        <v>1.8</v>
      </c>
      <c r="D2376" s="1">
        <v>0.35</v>
      </c>
      <c r="E2376" s="1" t="s">
        <v>113</v>
      </c>
      <c r="F2376" s="1" t="s">
        <v>113</v>
      </c>
      <c r="G2376" s="1" t="s">
        <v>113</v>
      </c>
      <c r="H2376" s="1" t="str">
        <f>VLOOKUP(F2376,Countries!$A$1:$B$161,2,0)</f>
        <v>United States of America</v>
      </c>
    </row>
    <row r="2377" spans="1:8" x14ac:dyDescent="0.3">
      <c r="A2377" s="3">
        <v>46255.358923611107</v>
      </c>
      <c r="B2377" s="1">
        <v>2.99</v>
      </c>
      <c r="C2377" s="1">
        <v>2.56</v>
      </c>
      <c r="D2377" s="1">
        <v>0.38</v>
      </c>
      <c r="E2377" s="1" t="s">
        <v>113</v>
      </c>
      <c r="F2377" s="1" t="s">
        <v>113</v>
      </c>
      <c r="G2377" s="1" t="s">
        <v>113</v>
      </c>
      <c r="H2377" s="1" t="str">
        <f>VLOOKUP(F2377,Countries!$A$1:$B$161,2,0)</f>
        <v>United States of America</v>
      </c>
    </row>
    <row r="2378" spans="1:8" x14ac:dyDescent="0.3">
      <c r="A2378" s="3">
        <v>46255.342592592591</v>
      </c>
      <c r="B2378" s="1">
        <v>21.73</v>
      </c>
      <c r="C2378" s="1">
        <v>18.59</v>
      </c>
      <c r="D2378" s="1">
        <v>1.22</v>
      </c>
      <c r="E2378" s="1" t="s">
        <v>115</v>
      </c>
      <c r="F2378" s="1" t="s">
        <v>115</v>
      </c>
      <c r="G2378" s="1" t="s">
        <v>115</v>
      </c>
      <c r="H2378" s="1" t="str">
        <f>VLOOKUP(F2378,Countries!$A$1:$B$161,2,0)</f>
        <v>Switzerland</v>
      </c>
    </row>
    <row r="2379" spans="1:8" x14ac:dyDescent="0.3">
      <c r="A2379" s="3">
        <v>46255.329583333332</v>
      </c>
      <c r="B2379" s="1">
        <v>10.85</v>
      </c>
      <c r="C2379" s="1">
        <v>9.2799999999999994</v>
      </c>
      <c r="D2379" s="1">
        <v>0.74</v>
      </c>
      <c r="E2379" s="1" t="s">
        <v>115</v>
      </c>
      <c r="F2379" s="1" t="s">
        <v>115</v>
      </c>
      <c r="G2379" s="1" t="s">
        <v>115</v>
      </c>
      <c r="H2379" s="1" t="str">
        <f>VLOOKUP(F2379,Countries!$A$1:$B$161,2,0)</f>
        <v>Switzerland</v>
      </c>
    </row>
    <row r="2380" spans="1:8" x14ac:dyDescent="0.3">
      <c r="A2380" s="3">
        <v>46255.32775462963</v>
      </c>
      <c r="B2380" s="1">
        <v>21.73</v>
      </c>
      <c r="C2380" s="1">
        <v>18.579999999999998</v>
      </c>
      <c r="D2380" s="1">
        <v>1.22</v>
      </c>
      <c r="E2380" s="1" t="s">
        <v>115</v>
      </c>
      <c r="F2380" s="1" t="s">
        <v>115</v>
      </c>
      <c r="G2380" s="1" t="s">
        <v>115</v>
      </c>
      <c r="H2380" s="1" t="str">
        <f>VLOOKUP(F2380,Countries!$A$1:$B$161,2,0)</f>
        <v>Switzerland</v>
      </c>
    </row>
    <row r="2381" spans="1:8" x14ac:dyDescent="0.3">
      <c r="A2381" s="3">
        <v>46255.309814814813</v>
      </c>
      <c r="B2381" s="1">
        <v>14.77</v>
      </c>
      <c r="C2381" s="1">
        <v>12.63</v>
      </c>
      <c r="D2381" s="1">
        <v>0.91</v>
      </c>
      <c r="E2381" s="1" t="s">
        <v>113</v>
      </c>
      <c r="F2381" s="1" t="s">
        <v>113</v>
      </c>
      <c r="G2381" s="1" t="s">
        <v>113</v>
      </c>
      <c r="H2381" s="1" t="str">
        <f>VLOOKUP(F2381,Countries!$A$1:$B$161,2,0)</f>
        <v>United States of America</v>
      </c>
    </row>
    <row r="2382" spans="1:8" x14ac:dyDescent="0.3">
      <c r="A2382" s="3">
        <v>46255.309050925927</v>
      </c>
      <c r="B2382" s="1">
        <v>10.85</v>
      </c>
      <c r="C2382" s="1">
        <v>9.2799999999999994</v>
      </c>
      <c r="D2382" s="1">
        <v>0.74</v>
      </c>
      <c r="E2382" s="1" t="s">
        <v>115</v>
      </c>
      <c r="F2382" s="1" t="s">
        <v>115</v>
      </c>
      <c r="G2382" s="1" t="s">
        <v>115</v>
      </c>
      <c r="H2382" s="1" t="str">
        <f>VLOOKUP(F2382,Countries!$A$1:$B$161,2,0)</f>
        <v>Switzerland</v>
      </c>
    </row>
    <row r="2383" spans="1:8" x14ac:dyDescent="0.3">
      <c r="A2383" s="3">
        <v>46255.304768518523</v>
      </c>
      <c r="B2383" s="1">
        <v>23.65</v>
      </c>
      <c r="C2383" s="1">
        <v>20.22</v>
      </c>
      <c r="D2383" s="1">
        <v>1.31</v>
      </c>
      <c r="E2383" s="1" t="s">
        <v>113</v>
      </c>
      <c r="F2383" s="1" t="s">
        <v>113</v>
      </c>
      <c r="G2383" s="1" t="s">
        <v>113</v>
      </c>
      <c r="H2383" s="1" t="str">
        <f>VLOOKUP(F2383,Countries!$A$1:$B$161,2,0)</f>
        <v>United States of America</v>
      </c>
    </row>
    <row r="2384" spans="1:8" x14ac:dyDescent="0.3">
      <c r="A2384" s="3">
        <v>46255.304016203707</v>
      </c>
      <c r="B2384" s="1">
        <v>2.99</v>
      </c>
      <c r="C2384" s="1">
        <v>2.56</v>
      </c>
      <c r="D2384" s="1">
        <v>0.38</v>
      </c>
      <c r="E2384" s="1" t="s">
        <v>113</v>
      </c>
      <c r="F2384" s="1" t="s">
        <v>113</v>
      </c>
      <c r="G2384" s="1" t="s">
        <v>113</v>
      </c>
      <c r="H2384" s="1" t="str">
        <f>VLOOKUP(F2384,Countries!$A$1:$B$161,2,0)</f>
        <v>United States of America</v>
      </c>
    </row>
    <row r="2385" spans="1:8" x14ac:dyDescent="0.3">
      <c r="A2385" s="3">
        <v>46255.302384259259</v>
      </c>
      <c r="B2385" s="1">
        <v>66.540000000000006</v>
      </c>
      <c r="C2385" s="1">
        <v>56.88</v>
      </c>
      <c r="D2385" s="1">
        <v>3.24</v>
      </c>
      <c r="E2385" s="1" t="s">
        <v>113</v>
      </c>
      <c r="F2385" s="1" t="s">
        <v>113</v>
      </c>
      <c r="G2385" s="1" t="s">
        <v>113</v>
      </c>
      <c r="H2385" s="1" t="str">
        <f>VLOOKUP(F2385,Countries!$A$1:$B$161,2,0)</f>
        <v>United States of America</v>
      </c>
    </row>
    <row r="2386" spans="1:8" x14ac:dyDescent="0.3">
      <c r="A2386" s="3">
        <v>46255.302175925928</v>
      </c>
      <c r="B2386" s="1">
        <v>14.77</v>
      </c>
      <c r="C2386" s="1">
        <v>12.63</v>
      </c>
      <c r="D2386" s="1">
        <v>0.91</v>
      </c>
      <c r="E2386" s="1" t="s">
        <v>113</v>
      </c>
      <c r="F2386" s="1" t="s">
        <v>113</v>
      </c>
      <c r="G2386" s="1" t="s">
        <v>113</v>
      </c>
      <c r="H2386" s="1" t="str">
        <f>VLOOKUP(F2386,Countries!$A$1:$B$161,2,0)</f>
        <v>United States of America</v>
      </c>
    </row>
    <row r="2387" spans="1:8" x14ac:dyDescent="0.3">
      <c r="A2387" s="3">
        <v>46255.301423611112</v>
      </c>
      <c r="B2387" s="1">
        <v>6.65</v>
      </c>
      <c r="C2387" s="1">
        <v>5.68</v>
      </c>
      <c r="D2387" s="1">
        <v>0.54</v>
      </c>
      <c r="E2387" s="1" t="s">
        <v>130</v>
      </c>
      <c r="F2387" s="1" t="s">
        <v>130</v>
      </c>
      <c r="G2387" s="1" t="s">
        <v>130</v>
      </c>
      <c r="H2387" s="1" t="str">
        <f>VLOOKUP(F2387,Countries!$A$1:$B$161,2,0)</f>
        <v>Australia</v>
      </c>
    </row>
    <row r="2388" spans="1:8" x14ac:dyDescent="0.3">
      <c r="A2388" s="3">
        <v>46255.298807870371</v>
      </c>
      <c r="B2388" s="1">
        <v>10.85</v>
      </c>
      <c r="C2388" s="1">
        <v>9.2799999999999994</v>
      </c>
      <c r="D2388" s="1">
        <v>0.74</v>
      </c>
      <c r="E2388" s="1" t="s">
        <v>115</v>
      </c>
      <c r="F2388" s="1" t="s">
        <v>115</v>
      </c>
      <c r="G2388" s="1" t="s">
        <v>115</v>
      </c>
      <c r="H2388" s="1" t="str">
        <f>VLOOKUP(F2388,Countries!$A$1:$B$161,2,0)</f>
        <v>Switzerland</v>
      </c>
    </row>
    <row r="2389" spans="1:8" x14ac:dyDescent="0.3">
      <c r="A2389" s="3">
        <v>46255.295162037037</v>
      </c>
      <c r="B2389" s="1">
        <v>14.77</v>
      </c>
      <c r="C2389" s="1">
        <v>12.63</v>
      </c>
      <c r="D2389" s="1">
        <v>0.91</v>
      </c>
      <c r="E2389" s="1" t="s">
        <v>113</v>
      </c>
      <c r="F2389" s="1" t="s">
        <v>113</v>
      </c>
      <c r="G2389" s="1" t="s">
        <v>113</v>
      </c>
      <c r="H2389" s="1" t="str">
        <f>VLOOKUP(F2389,Countries!$A$1:$B$161,2,0)</f>
        <v>United States of America</v>
      </c>
    </row>
    <row r="2390" spans="1:8" x14ac:dyDescent="0.3">
      <c r="A2390" s="3">
        <v>46255.294259259259</v>
      </c>
      <c r="B2390" s="1">
        <v>26.61</v>
      </c>
      <c r="C2390" s="1">
        <v>22.75</v>
      </c>
      <c r="D2390" s="1">
        <v>1.45</v>
      </c>
      <c r="E2390" s="1" t="s">
        <v>113</v>
      </c>
      <c r="F2390" s="1" t="s">
        <v>113</v>
      </c>
      <c r="G2390" s="1" t="s">
        <v>113</v>
      </c>
      <c r="H2390" s="1" t="str">
        <f>VLOOKUP(F2390,Countries!$A$1:$B$161,2,0)</f>
        <v>United States of America</v>
      </c>
    </row>
    <row r="2391" spans="1:8" x14ac:dyDescent="0.3">
      <c r="A2391" s="3">
        <v>46255.293993055559</v>
      </c>
      <c r="B2391" s="1">
        <v>14.77</v>
      </c>
      <c r="C2391" s="1">
        <v>12.63</v>
      </c>
      <c r="D2391" s="1">
        <v>0.91</v>
      </c>
      <c r="E2391" s="1" t="s">
        <v>113</v>
      </c>
      <c r="F2391" s="1" t="s">
        <v>113</v>
      </c>
      <c r="G2391" s="1" t="s">
        <v>113</v>
      </c>
      <c r="H2391" s="1" t="str">
        <f>VLOOKUP(F2391,Countries!$A$1:$B$161,2,0)</f>
        <v>United States of America</v>
      </c>
    </row>
    <row r="2392" spans="1:8" x14ac:dyDescent="0.3">
      <c r="A2392" s="3">
        <v>46255.290775462963</v>
      </c>
      <c r="B2392" s="1">
        <v>17.739999999999998</v>
      </c>
      <c r="C2392" s="1">
        <v>15.17</v>
      </c>
      <c r="D2392" s="1">
        <v>1.04</v>
      </c>
      <c r="E2392" s="1" t="s">
        <v>113</v>
      </c>
      <c r="F2392" s="1" t="s">
        <v>113</v>
      </c>
      <c r="G2392" s="1" t="s">
        <v>113</v>
      </c>
      <c r="H2392" s="1" t="str">
        <f>VLOOKUP(F2392,Countries!$A$1:$B$161,2,0)</f>
        <v>United States of America</v>
      </c>
    </row>
    <row r="2393" spans="1:8" x14ac:dyDescent="0.3">
      <c r="A2393" s="3">
        <v>46255.290717592587</v>
      </c>
      <c r="B2393" s="1">
        <v>21.73</v>
      </c>
      <c r="C2393" s="1">
        <v>18.579999999999998</v>
      </c>
      <c r="D2393" s="1">
        <v>1.22</v>
      </c>
      <c r="E2393" s="1" t="s">
        <v>115</v>
      </c>
      <c r="F2393" s="1" t="s">
        <v>115</v>
      </c>
      <c r="G2393" s="1" t="s">
        <v>115</v>
      </c>
      <c r="H2393" s="1" t="str">
        <f>VLOOKUP(F2393,Countries!$A$1:$B$161,2,0)</f>
        <v>Switzerland</v>
      </c>
    </row>
    <row r="2394" spans="1:8" x14ac:dyDescent="0.3">
      <c r="A2394" s="3">
        <v>46255.290543981479</v>
      </c>
      <c r="B2394" s="1">
        <v>10.85</v>
      </c>
      <c r="C2394" s="1">
        <v>9.2799999999999994</v>
      </c>
      <c r="D2394" s="1">
        <v>0.74</v>
      </c>
      <c r="E2394" s="1" t="s">
        <v>115</v>
      </c>
      <c r="F2394" s="1" t="s">
        <v>115</v>
      </c>
      <c r="G2394" s="1" t="s">
        <v>115</v>
      </c>
      <c r="H2394" s="1" t="str">
        <f>VLOOKUP(F2394,Countries!$A$1:$B$161,2,0)</f>
        <v>Switzerland</v>
      </c>
    </row>
    <row r="2395" spans="1:8" x14ac:dyDescent="0.3">
      <c r="A2395" s="3">
        <v>46255.288761574076</v>
      </c>
      <c r="B2395" s="1">
        <v>6.37</v>
      </c>
      <c r="C2395" s="1">
        <v>5.45</v>
      </c>
      <c r="D2395" s="1">
        <v>0.54</v>
      </c>
      <c r="E2395" s="1" t="s">
        <v>113</v>
      </c>
      <c r="F2395" s="1" t="s">
        <v>113</v>
      </c>
      <c r="G2395" s="1" t="s">
        <v>113</v>
      </c>
      <c r="H2395" s="1" t="str">
        <f>VLOOKUP(F2395,Countries!$A$1:$B$161,2,0)</f>
        <v>United States of America</v>
      </c>
    </row>
    <row r="2396" spans="1:8" x14ac:dyDescent="0.3">
      <c r="A2396" s="3">
        <v>46255.287303240737</v>
      </c>
      <c r="B2396" s="1">
        <v>26.61</v>
      </c>
      <c r="C2396" s="1">
        <v>22.75</v>
      </c>
      <c r="D2396" s="1">
        <v>1.45</v>
      </c>
      <c r="E2396" s="1" t="s">
        <v>113</v>
      </c>
      <c r="F2396" s="1" t="s">
        <v>113</v>
      </c>
      <c r="G2396" s="1" t="s">
        <v>113</v>
      </c>
      <c r="H2396" s="1" t="str">
        <f>VLOOKUP(F2396,Countries!$A$1:$B$161,2,0)</f>
        <v>United States of America</v>
      </c>
    </row>
    <row r="2397" spans="1:8" x14ac:dyDescent="0.3">
      <c r="A2397" s="3">
        <v>46255.285949074067</v>
      </c>
      <c r="B2397" s="1">
        <v>26.61</v>
      </c>
      <c r="C2397" s="1">
        <v>22.75</v>
      </c>
      <c r="D2397" s="1">
        <v>1.45</v>
      </c>
      <c r="E2397" s="1" t="s">
        <v>113</v>
      </c>
      <c r="F2397" s="1" t="s">
        <v>113</v>
      </c>
      <c r="G2397" s="1" t="s">
        <v>113</v>
      </c>
      <c r="H2397" s="1" t="str">
        <f>VLOOKUP(F2397,Countries!$A$1:$B$161,2,0)</f>
        <v>United States of America</v>
      </c>
    </row>
    <row r="2398" spans="1:8" x14ac:dyDescent="0.3">
      <c r="A2398" s="3">
        <v>46255.284861111111</v>
      </c>
      <c r="B2398" s="1">
        <v>21.73</v>
      </c>
      <c r="C2398" s="1">
        <v>18.579999999999998</v>
      </c>
      <c r="D2398" s="1">
        <v>1.22</v>
      </c>
      <c r="E2398" s="1" t="s">
        <v>115</v>
      </c>
      <c r="F2398" s="1" t="s">
        <v>115</v>
      </c>
      <c r="G2398" s="1" t="s">
        <v>115</v>
      </c>
      <c r="H2398" s="1" t="str">
        <f>VLOOKUP(F2398,Countries!$A$1:$B$161,2,0)</f>
        <v>Switzerland</v>
      </c>
    </row>
    <row r="2399" spans="1:8" x14ac:dyDescent="0.3">
      <c r="A2399" s="3">
        <v>46255.280532407407</v>
      </c>
      <c r="B2399" s="1">
        <v>2.99</v>
      </c>
      <c r="C2399" s="1">
        <v>2.56</v>
      </c>
      <c r="D2399" s="1">
        <v>0.38</v>
      </c>
      <c r="E2399" s="1" t="s">
        <v>113</v>
      </c>
      <c r="F2399" s="1" t="s">
        <v>129</v>
      </c>
      <c r="G2399" s="1" t="s">
        <v>129</v>
      </c>
      <c r="H2399" s="1" t="str">
        <f>VLOOKUP(F2399,Countries!$A$1:$B$161,2,0)</f>
        <v>Qatar</v>
      </c>
    </row>
    <row r="2400" spans="1:8" x14ac:dyDescent="0.3">
      <c r="A2400" s="3">
        <v>46255.276203703703</v>
      </c>
      <c r="B2400" s="1">
        <v>10.85</v>
      </c>
      <c r="C2400" s="1">
        <v>9.2799999999999994</v>
      </c>
      <c r="D2400" s="1">
        <v>0.74</v>
      </c>
      <c r="E2400" s="1" t="s">
        <v>115</v>
      </c>
      <c r="F2400" s="1" t="s">
        <v>115</v>
      </c>
      <c r="G2400" s="1" t="s">
        <v>115</v>
      </c>
      <c r="H2400" s="1" t="str">
        <f>VLOOKUP(F2400,Countries!$A$1:$B$161,2,0)</f>
        <v>Switzerland</v>
      </c>
    </row>
    <row r="2401" spans="1:8" x14ac:dyDescent="0.3">
      <c r="A2401" s="3">
        <v>46255.271689814806</v>
      </c>
      <c r="B2401" s="1">
        <v>21.73</v>
      </c>
      <c r="C2401" s="1">
        <v>18.579999999999998</v>
      </c>
      <c r="D2401" s="1">
        <v>1.22</v>
      </c>
      <c r="E2401" s="1" t="s">
        <v>115</v>
      </c>
      <c r="F2401" s="1" t="s">
        <v>115</v>
      </c>
      <c r="G2401" s="1" t="s">
        <v>115</v>
      </c>
      <c r="H2401" s="1" t="str">
        <f>VLOOKUP(F2401,Countries!$A$1:$B$161,2,0)</f>
        <v>Switzerland</v>
      </c>
    </row>
    <row r="2402" spans="1:8" x14ac:dyDescent="0.3">
      <c r="A2402" s="3">
        <v>46255.263402777768</v>
      </c>
      <c r="B2402" s="1">
        <v>36.96</v>
      </c>
      <c r="C2402" s="1">
        <v>31.6</v>
      </c>
      <c r="D2402" s="1">
        <v>1.91</v>
      </c>
      <c r="E2402" s="1" t="s">
        <v>113</v>
      </c>
      <c r="F2402" s="1" t="s">
        <v>113</v>
      </c>
      <c r="G2402" s="1" t="s">
        <v>113</v>
      </c>
      <c r="H2402" s="1" t="str">
        <f>VLOOKUP(F2402,Countries!$A$1:$B$161,2,0)</f>
        <v>United States of America</v>
      </c>
    </row>
    <row r="2403" spans="1:8" x14ac:dyDescent="0.3">
      <c r="A2403" s="3">
        <v>46255.262685185182</v>
      </c>
      <c r="B2403" s="1">
        <v>6.37</v>
      </c>
      <c r="C2403" s="1">
        <v>5.45</v>
      </c>
      <c r="D2403" s="1">
        <v>0.54</v>
      </c>
      <c r="E2403" s="1" t="s">
        <v>113</v>
      </c>
      <c r="F2403" s="1" t="s">
        <v>113</v>
      </c>
      <c r="G2403" s="1" t="s">
        <v>113</v>
      </c>
      <c r="H2403" s="1" t="str">
        <f>VLOOKUP(F2403,Countries!$A$1:$B$161,2,0)</f>
        <v>United States of America</v>
      </c>
    </row>
    <row r="2404" spans="1:8" x14ac:dyDescent="0.3">
      <c r="A2404" s="3">
        <v>46255.261192129627</v>
      </c>
      <c r="B2404" s="1">
        <v>10.85</v>
      </c>
      <c r="C2404" s="1">
        <v>9.2799999999999994</v>
      </c>
      <c r="D2404" s="1">
        <v>0.74</v>
      </c>
      <c r="E2404" s="1" t="s">
        <v>115</v>
      </c>
      <c r="F2404" s="1" t="s">
        <v>115</v>
      </c>
      <c r="G2404" s="1" t="s">
        <v>115</v>
      </c>
      <c r="H2404" s="1" t="str">
        <f>VLOOKUP(F2404,Countries!$A$1:$B$161,2,0)</f>
        <v>Switzerland</v>
      </c>
    </row>
    <row r="2405" spans="1:8" x14ac:dyDescent="0.3">
      <c r="A2405" s="3">
        <v>46255.260138888887</v>
      </c>
      <c r="B2405" s="1">
        <v>1.99</v>
      </c>
      <c r="C2405" s="1">
        <v>1.7</v>
      </c>
      <c r="D2405" s="1">
        <v>0.34</v>
      </c>
      <c r="E2405" s="1" t="s">
        <v>127</v>
      </c>
      <c r="F2405" s="1" t="s">
        <v>127</v>
      </c>
      <c r="G2405" s="1" t="s">
        <v>127</v>
      </c>
      <c r="H2405" s="1" t="str">
        <f>VLOOKUP(F2405,Countries!$A$1:$B$161,2,0)</f>
        <v>Puerto Rico</v>
      </c>
    </row>
    <row r="2406" spans="1:8" x14ac:dyDescent="0.3">
      <c r="A2406" s="3">
        <v>46255.258032407408</v>
      </c>
      <c r="B2406" s="1">
        <v>21.73</v>
      </c>
      <c r="C2406" s="1">
        <v>18.579999999999998</v>
      </c>
      <c r="D2406" s="1">
        <v>1.22</v>
      </c>
      <c r="E2406" s="1" t="s">
        <v>115</v>
      </c>
      <c r="F2406" s="1" t="s">
        <v>115</v>
      </c>
      <c r="G2406" s="1" t="s">
        <v>115</v>
      </c>
      <c r="H2406" s="1" t="str">
        <f>VLOOKUP(F2406,Countries!$A$1:$B$161,2,0)</f>
        <v>Switzerland</v>
      </c>
    </row>
    <row r="2407" spans="1:8" x14ac:dyDescent="0.3">
      <c r="A2407" s="3">
        <v>46255.257569444453</v>
      </c>
      <c r="B2407" s="1">
        <v>1.99</v>
      </c>
      <c r="C2407" s="1">
        <v>1.7</v>
      </c>
      <c r="D2407" s="1">
        <v>0.34</v>
      </c>
      <c r="E2407" s="1" t="s">
        <v>182</v>
      </c>
      <c r="F2407" s="1" t="s">
        <v>182</v>
      </c>
      <c r="G2407" s="1" t="s">
        <v>182</v>
      </c>
      <c r="H2407" s="1" t="str">
        <f>VLOOKUP(F2407,Countries!$A$1:$B$161,2,0)</f>
        <v>Guatemala</v>
      </c>
    </row>
    <row r="2408" spans="1:8" x14ac:dyDescent="0.3">
      <c r="A2408" s="3">
        <v>46255.254571759258</v>
      </c>
      <c r="B2408" s="1">
        <v>10.85</v>
      </c>
      <c r="C2408" s="1">
        <v>9.2799999999999994</v>
      </c>
      <c r="D2408" s="1">
        <v>0.74</v>
      </c>
      <c r="E2408" s="1" t="s">
        <v>115</v>
      </c>
      <c r="F2408" s="1" t="s">
        <v>115</v>
      </c>
      <c r="G2408" s="1" t="s">
        <v>115</v>
      </c>
      <c r="H2408" s="1" t="str">
        <f>VLOOKUP(F2408,Countries!$A$1:$B$161,2,0)</f>
        <v>Switzerland</v>
      </c>
    </row>
    <row r="2409" spans="1:8" x14ac:dyDescent="0.3">
      <c r="A2409" s="3">
        <v>46255.254479166673</v>
      </c>
      <c r="B2409" s="1">
        <v>6.37</v>
      </c>
      <c r="C2409" s="1">
        <v>5.45</v>
      </c>
      <c r="D2409" s="1">
        <v>0.54</v>
      </c>
      <c r="E2409" s="1" t="s">
        <v>113</v>
      </c>
      <c r="F2409" s="1" t="s">
        <v>113</v>
      </c>
      <c r="G2409" s="1" t="s">
        <v>113</v>
      </c>
      <c r="H2409" s="1" t="str">
        <f>VLOOKUP(F2409,Countries!$A$1:$B$161,2,0)</f>
        <v>United States of America</v>
      </c>
    </row>
    <row r="2410" spans="1:8" x14ac:dyDescent="0.3">
      <c r="A2410" s="3">
        <v>46255.251157407409</v>
      </c>
      <c r="B2410" s="1">
        <v>21.73</v>
      </c>
      <c r="C2410" s="1">
        <v>18.579999999999998</v>
      </c>
      <c r="D2410" s="1">
        <v>1.22</v>
      </c>
      <c r="E2410" s="1" t="s">
        <v>115</v>
      </c>
      <c r="F2410" s="1" t="s">
        <v>115</v>
      </c>
      <c r="G2410" s="1" t="s">
        <v>115</v>
      </c>
      <c r="H2410" s="1" t="str">
        <f>VLOOKUP(F2410,Countries!$A$1:$B$161,2,0)</f>
        <v>Switzerland</v>
      </c>
    </row>
    <row r="2411" spans="1:8" x14ac:dyDescent="0.3">
      <c r="A2411" s="3">
        <v>46255.251064814824</v>
      </c>
      <c r="B2411" s="1">
        <v>2.11</v>
      </c>
      <c r="C2411" s="1">
        <v>1.8</v>
      </c>
      <c r="D2411" s="1">
        <v>0.35</v>
      </c>
      <c r="E2411" s="1" t="s">
        <v>113</v>
      </c>
      <c r="F2411" s="1" t="s">
        <v>113</v>
      </c>
      <c r="G2411" s="1" t="s">
        <v>113</v>
      </c>
      <c r="H2411" s="1" t="str">
        <f>VLOOKUP(F2411,Countries!$A$1:$B$161,2,0)</f>
        <v>United States of America</v>
      </c>
    </row>
    <row r="2412" spans="1:8" x14ac:dyDescent="0.3">
      <c r="A2412" s="3">
        <v>46255.245729166672</v>
      </c>
      <c r="B2412" s="1">
        <v>10.85</v>
      </c>
      <c r="C2412" s="1">
        <v>9.2799999999999994</v>
      </c>
      <c r="D2412" s="1">
        <v>0.74</v>
      </c>
      <c r="E2412" s="1" t="s">
        <v>115</v>
      </c>
      <c r="F2412" s="1" t="s">
        <v>115</v>
      </c>
      <c r="G2412" s="1" t="s">
        <v>115</v>
      </c>
      <c r="H2412" s="1" t="str">
        <f>VLOOKUP(F2412,Countries!$A$1:$B$161,2,0)</f>
        <v>Switzerland</v>
      </c>
    </row>
    <row r="2413" spans="1:8" x14ac:dyDescent="0.3">
      <c r="A2413" s="3">
        <v>46255.245555555557</v>
      </c>
      <c r="B2413" s="1">
        <v>21.73</v>
      </c>
      <c r="C2413" s="1">
        <v>18.579999999999998</v>
      </c>
      <c r="D2413" s="1">
        <v>1.22</v>
      </c>
      <c r="E2413" s="1" t="s">
        <v>115</v>
      </c>
      <c r="F2413" s="1" t="s">
        <v>115</v>
      </c>
      <c r="G2413" s="1" t="s">
        <v>115</v>
      </c>
      <c r="H2413" s="1" t="str">
        <f>VLOOKUP(F2413,Countries!$A$1:$B$161,2,0)</f>
        <v>Switzerland</v>
      </c>
    </row>
    <row r="2414" spans="1:8" x14ac:dyDescent="0.3">
      <c r="A2414" s="3">
        <v>46255.240057870367</v>
      </c>
      <c r="B2414" s="1">
        <v>21.73</v>
      </c>
      <c r="C2414" s="1">
        <v>18.579999999999998</v>
      </c>
      <c r="D2414" s="1">
        <v>1.22</v>
      </c>
      <c r="E2414" s="1" t="s">
        <v>115</v>
      </c>
      <c r="F2414" s="1" t="s">
        <v>115</v>
      </c>
      <c r="G2414" s="1" t="s">
        <v>115</v>
      </c>
      <c r="H2414" s="1" t="str">
        <f>VLOOKUP(F2414,Countries!$A$1:$B$161,2,0)</f>
        <v>Switzerland</v>
      </c>
    </row>
    <row r="2415" spans="1:8" x14ac:dyDescent="0.3">
      <c r="A2415" s="3">
        <v>46255.238645833328</v>
      </c>
      <c r="B2415" s="1">
        <v>6.37</v>
      </c>
      <c r="C2415" s="1">
        <v>5.45</v>
      </c>
      <c r="D2415" s="1">
        <v>0.54</v>
      </c>
      <c r="E2415" s="1" t="s">
        <v>113</v>
      </c>
      <c r="F2415" s="1" t="s">
        <v>113</v>
      </c>
      <c r="G2415" s="1" t="s">
        <v>113</v>
      </c>
      <c r="H2415" s="1" t="str">
        <f>VLOOKUP(F2415,Countries!$A$1:$B$161,2,0)</f>
        <v>United States of America</v>
      </c>
    </row>
    <row r="2416" spans="1:8" x14ac:dyDescent="0.3">
      <c r="A2416" s="3">
        <v>46255.238634259258</v>
      </c>
      <c r="B2416" s="1">
        <v>10.85</v>
      </c>
      <c r="C2416" s="1">
        <v>9.2799999999999994</v>
      </c>
      <c r="D2416" s="1">
        <v>0.74</v>
      </c>
      <c r="E2416" s="1" t="s">
        <v>115</v>
      </c>
      <c r="F2416" s="1" t="s">
        <v>115</v>
      </c>
      <c r="G2416" s="1" t="s">
        <v>115</v>
      </c>
      <c r="H2416" s="1" t="str">
        <f>VLOOKUP(F2416,Countries!$A$1:$B$161,2,0)</f>
        <v>Switzerland</v>
      </c>
    </row>
    <row r="2417" spans="1:8" x14ac:dyDescent="0.3">
      <c r="A2417" s="3">
        <v>46255.23709490741</v>
      </c>
      <c r="B2417" s="1">
        <v>6.37</v>
      </c>
      <c r="C2417" s="1">
        <v>5.45</v>
      </c>
      <c r="D2417" s="1">
        <v>0.54</v>
      </c>
      <c r="E2417" s="1" t="s">
        <v>113</v>
      </c>
      <c r="F2417" s="1" t="s">
        <v>113</v>
      </c>
      <c r="G2417" s="1" t="s">
        <v>113</v>
      </c>
      <c r="H2417" s="1" t="str">
        <f>VLOOKUP(F2417,Countries!$A$1:$B$161,2,0)</f>
        <v>United States of America</v>
      </c>
    </row>
    <row r="2418" spans="1:8" x14ac:dyDescent="0.3">
      <c r="A2418" s="3">
        <v>46255.232604166667</v>
      </c>
      <c r="B2418" s="1">
        <v>10.85</v>
      </c>
      <c r="C2418" s="1">
        <v>9.2799999999999994</v>
      </c>
      <c r="D2418" s="1">
        <v>0.74</v>
      </c>
      <c r="E2418" s="1" t="s">
        <v>115</v>
      </c>
      <c r="F2418" s="1" t="s">
        <v>115</v>
      </c>
      <c r="G2418" s="1" t="s">
        <v>115</v>
      </c>
      <c r="H2418" s="1" t="str">
        <f>VLOOKUP(F2418,Countries!$A$1:$B$161,2,0)</f>
        <v>Switzerland</v>
      </c>
    </row>
    <row r="2419" spans="1:8" x14ac:dyDescent="0.3">
      <c r="A2419" s="3">
        <v>46255.227210648147</v>
      </c>
      <c r="B2419" s="1">
        <v>6.3</v>
      </c>
      <c r="C2419" s="1">
        <v>5.39</v>
      </c>
      <c r="D2419" s="1">
        <v>0.54</v>
      </c>
      <c r="E2419" s="1" t="s">
        <v>132</v>
      </c>
      <c r="F2419" s="1" t="s">
        <v>132</v>
      </c>
      <c r="G2419" s="1" t="s">
        <v>132</v>
      </c>
      <c r="H2419" s="1" t="str">
        <f>VLOOKUP(F2419,Countries!$A$1:$B$161,2,0)</f>
        <v>Canada</v>
      </c>
    </row>
    <row r="2420" spans="1:8" x14ac:dyDescent="0.3">
      <c r="A2420" s="3">
        <v>46255.225844907407</v>
      </c>
      <c r="B2420" s="1">
        <v>21.73</v>
      </c>
      <c r="C2420" s="1">
        <v>18.579999999999998</v>
      </c>
      <c r="D2420" s="1">
        <v>1.22</v>
      </c>
      <c r="E2420" s="1" t="s">
        <v>115</v>
      </c>
      <c r="F2420" s="1" t="s">
        <v>115</v>
      </c>
      <c r="G2420" s="1" t="s">
        <v>115</v>
      </c>
      <c r="H2420" s="1" t="str">
        <f>VLOOKUP(F2420,Countries!$A$1:$B$161,2,0)</f>
        <v>Switzerland</v>
      </c>
    </row>
    <row r="2421" spans="1:8" x14ac:dyDescent="0.3">
      <c r="A2421" s="3">
        <v>46255.224687499998</v>
      </c>
      <c r="B2421" s="1">
        <v>10.85</v>
      </c>
      <c r="C2421" s="1">
        <v>9.2799999999999994</v>
      </c>
      <c r="D2421" s="1">
        <v>0.74</v>
      </c>
      <c r="E2421" s="1" t="s">
        <v>115</v>
      </c>
      <c r="F2421" s="1" t="s">
        <v>115</v>
      </c>
      <c r="G2421" s="1" t="s">
        <v>115</v>
      </c>
      <c r="H2421" s="1" t="str">
        <f>VLOOKUP(F2421,Countries!$A$1:$B$161,2,0)</f>
        <v>Switzerland</v>
      </c>
    </row>
    <row r="2422" spans="1:8" x14ac:dyDescent="0.3">
      <c r="A2422" s="3">
        <v>46255.219456018523</v>
      </c>
      <c r="B2422" s="1">
        <v>6.37</v>
      </c>
      <c r="C2422" s="1">
        <v>5.45</v>
      </c>
      <c r="D2422" s="1">
        <v>0.54</v>
      </c>
      <c r="E2422" s="1" t="s">
        <v>113</v>
      </c>
      <c r="F2422" s="1" t="s">
        <v>113</v>
      </c>
      <c r="G2422" s="1" t="s">
        <v>113</v>
      </c>
      <c r="H2422" s="1" t="str">
        <f>VLOOKUP(F2422,Countries!$A$1:$B$161,2,0)</f>
        <v>United States of America</v>
      </c>
    </row>
    <row r="2423" spans="1:8" x14ac:dyDescent="0.3">
      <c r="A2423" s="3">
        <v>46255.217962962961</v>
      </c>
      <c r="B2423" s="1">
        <v>5.99</v>
      </c>
      <c r="C2423" s="1">
        <v>5.12</v>
      </c>
      <c r="D2423" s="1">
        <v>0.52</v>
      </c>
      <c r="E2423" s="1" t="s">
        <v>134</v>
      </c>
      <c r="F2423" s="1" t="s">
        <v>134</v>
      </c>
      <c r="G2423" s="1" t="s">
        <v>134</v>
      </c>
      <c r="H2423" s="1" t="str">
        <f>VLOOKUP(F2423,Countries!$A$1:$B$161,2,0)</f>
        <v>Hong Kong</v>
      </c>
    </row>
    <row r="2424" spans="1:8" x14ac:dyDescent="0.3">
      <c r="A2424" s="3">
        <v>46255.216678240737</v>
      </c>
      <c r="B2424" s="1">
        <v>10.85</v>
      </c>
      <c r="C2424" s="1">
        <v>9.2799999999999994</v>
      </c>
      <c r="D2424" s="1">
        <v>0.74</v>
      </c>
      <c r="E2424" s="1" t="s">
        <v>115</v>
      </c>
      <c r="F2424" s="1" t="s">
        <v>115</v>
      </c>
      <c r="G2424" s="1" t="s">
        <v>115</v>
      </c>
      <c r="H2424" s="1" t="str">
        <f>VLOOKUP(F2424,Countries!$A$1:$B$161,2,0)</f>
        <v>Switzerland</v>
      </c>
    </row>
    <row r="2425" spans="1:8" x14ac:dyDescent="0.3">
      <c r="A2425" s="3">
        <v>46255.21601851852</v>
      </c>
      <c r="B2425" s="1">
        <v>2.99</v>
      </c>
      <c r="C2425" s="1">
        <v>2.56</v>
      </c>
      <c r="D2425" s="1">
        <v>0.38</v>
      </c>
      <c r="E2425" s="1" t="s">
        <v>113</v>
      </c>
      <c r="F2425" s="1" t="s">
        <v>113</v>
      </c>
      <c r="G2425" s="1" t="s">
        <v>113</v>
      </c>
      <c r="H2425" s="1" t="str">
        <f>VLOOKUP(F2425,Countries!$A$1:$B$161,2,0)</f>
        <v>United States of America</v>
      </c>
    </row>
    <row r="2426" spans="1:8" x14ac:dyDescent="0.3">
      <c r="A2426" s="3">
        <v>46255.212962962964</v>
      </c>
      <c r="B2426" s="1">
        <v>6.37</v>
      </c>
      <c r="C2426" s="1">
        <v>5.45</v>
      </c>
      <c r="D2426" s="1">
        <v>0.54</v>
      </c>
      <c r="E2426" s="1" t="s">
        <v>113</v>
      </c>
      <c r="F2426" s="1" t="s">
        <v>113</v>
      </c>
      <c r="G2426" s="1" t="s">
        <v>113</v>
      </c>
      <c r="H2426" s="1" t="str">
        <f>VLOOKUP(F2426,Countries!$A$1:$B$161,2,0)</f>
        <v>United States of America</v>
      </c>
    </row>
    <row r="2427" spans="1:8" x14ac:dyDescent="0.3">
      <c r="A2427" s="3">
        <v>46255.212604166663</v>
      </c>
      <c r="B2427" s="1">
        <v>6.3</v>
      </c>
      <c r="C2427" s="1">
        <v>5.39</v>
      </c>
      <c r="D2427" s="1">
        <v>0.54</v>
      </c>
      <c r="E2427" s="1" t="s">
        <v>132</v>
      </c>
      <c r="F2427" s="1" t="s">
        <v>132</v>
      </c>
      <c r="G2427" s="1" t="s">
        <v>132</v>
      </c>
      <c r="H2427" s="1" t="str">
        <f>VLOOKUP(F2427,Countries!$A$1:$B$161,2,0)</f>
        <v>Canada</v>
      </c>
    </row>
    <row r="2428" spans="1:8" x14ac:dyDescent="0.3">
      <c r="A2428" s="3">
        <v>46255.21166666667</v>
      </c>
      <c r="B2428" s="1">
        <v>6.37</v>
      </c>
      <c r="C2428" s="1">
        <v>5.45</v>
      </c>
      <c r="D2428" s="1">
        <v>0.54</v>
      </c>
      <c r="E2428" s="1" t="s">
        <v>113</v>
      </c>
      <c r="F2428" s="1" t="s">
        <v>113</v>
      </c>
      <c r="G2428" s="1" t="s">
        <v>113</v>
      </c>
      <c r="H2428" s="1" t="str">
        <f>VLOOKUP(F2428,Countries!$A$1:$B$161,2,0)</f>
        <v>United States of America</v>
      </c>
    </row>
    <row r="2429" spans="1:8" x14ac:dyDescent="0.3">
      <c r="A2429" s="3">
        <v>46255.210243055553</v>
      </c>
      <c r="B2429" s="1">
        <v>26.59</v>
      </c>
      <c r="C2429" s="1">
        <v>22.74</v>
      </c>
      <c r="D2429" s="1">
        <v>1.44</v>
      </c>
      <c r="E2429" s="1" t="s">
        <v>113</v>
      </c>
      <c r="F2429" s="1" t="s">
        <v>113</v>
      </c>
      <c r="G2429" s="1" t="s">
        <v>113</v>
      </c>
      <c r="H2429" s="1" t="str">
        <f>VLOOKUP(F2429,Countries!$A$1:$B$161,2,0)</f>
        <v>United States of America</v>
      </c>
    </row>
    <row r="2430" spans="1:8" x14ac:dyDescent="0.3">
      <c r="A2430" s="3">
        <v>46255.208379629628</v>
      </c>
      <c r="B2430" s="1">
        <v>2.11</v>
      </c>
      <c r="C2430" s="1">
        <v>1.8</v>
      </c>
      <c r="D2430" s="1">
        <v>0.35</v>
      </c>
      <c r="E2430" s="1" t="s">
        <v>113</v>
      </c>
      <c r="F2430" s="1" t="s">
        <v>113</v>
      </c>
      <c r="G2430" s="1" t="s">
        <v>113</v>
      </c>
      <c r="H2430" s="1" t="str">
        <f>VLOOKUP(F2430,Countries!$A$1:$B$161,2,0)</f>
        <v>United States of America</v>
      </c>
    </row>
    <row r="2431" spans="1:8" x14ac:dyDescent="0.3">
      <c r="A2431" s="3">
        <v>46255.15934027778</v>
      </c>
      <c r="B2431" s="1">
        <v>7.04</v>
      </c>
      <c r="C2431" s="1">
        <v>6.02</v>
      </c>
      <c r="D2431" s="1">
        <v>0.56999999999999995</v>
      </c>
      <c r="E2431" s="1" t="s">
        <v>163</v>
      </c>
      <c r="F2431" s="1" t="s">
        <v>163</v>
      </c>
      <c r="G2431" s="1" t="s">
        <v>163</v>
      </c>
      <c r="H2431" s="1" t="str">
        <f>VLOOKUP(F2431,Countries!$A$1:$B$161,2,0)</f>
        <v>Saudi Arabia</v>
      </c>
    </row>
    <row r="2432" spans="1:8" x14ac:dyDescent="0.3">
      <c r="A2432" s="3">
        <v>46255.13994212963</v>
      </c>
      <c r="B2432" s="1">
        <v>1.99</v>
      </c>
      <c r="C2432" s="1">
        <v>1.7</v>
      </c>
      <c r="D2432" s="1">
        <v>0.34</v>
      </c>
      <c r="E2432" s="1" t="s">
        <v>163</v>
      </c>
      <c r="F2432" s="1" t="s">
        <v>163</v>
      </c>
      <c r="G2432" s="1" t="s">
        <v>163</v>
      </c>
      <c r="H2432" s="1" t="str">
        <f>VLOOKUP(F2432,Countries!$A$1:$B$161,2,0)</f>
        <v>Saudi Arabia</v>
      </c>
    </row>
    <row r="2433" spans="1:8" x14ac:dyDescent="0.3">
      <c r="A2433" s="3">
        <v>46255.139282407406</v>
      </c>
      <c r="B2433" s="1">
        <v>81.319999999999993</v>
      </c>
      <c r="C2433" s="1">
        <v>69.52</v>
      </c>
      <c r="D2433" s="1">
        <v>3.9</v>
      </c>
      <c r="E2433" s="1" t="s">
        <v>113</v>
      </c>
      <c r="F2433" s="1" t="s">
        <v>113</v>
      </c>
      <c r="G2433" s="1" t="s">
        <v>113</v>
      </c>
      <c r="H2433" s="1" t="str">
        <f>VLOOKUP(F2433,Countries!$A$1:$B$161,2,0)</f>
        <v>United States of America</v>
      </c>
    </row>
    <row r="2434" spans="1:8" x14ac:dyDescent="0.3">
      <c r="A2434" s="3">
        <v>46255.138090277767</v>
      </c>
      <c r="B2434" s="1">
        <v>2.11</v>
      </c>
      <c r="C2434" s="1">
        <v>1.8</v>
      </c>
      <c r="D2434" s="1">
        <v>0.35</v>
      </c>
      <c r="E2434" s="1" t="s">
        <v>113</v>
      </c>
      <c r="F2434" s="1" t="s">
        <v>113</v>
      </c>
      <c r="G2434" s="1" t="s">
        <v>113</v>
      </c>
      <c r="H2434" s="1" t="str">
        <f>VLOOKUP(F2434,Countries!$A$1:$B$161,2,0)</f>
        <v>United States of America</v>
      </c>
    </row>
    <row r="2435" spans="1:8" x14ac:dyDescent="0.3">
      <c r="A2435" s="3">
        <v>46255.136307870373</v>
      </c>
      <c r="B2435" s="1">
        <v>29.57</v>
      </c>
      <c r="C2435" s="1">
        <v>25.28</v>
      </c>
      <c r="D2435" s="1">
        <v>1.58</v>
      </c>
      <c r="E2435" s="1" t="s">
        <v>113</v>
      </c>
      <c r="F2435" s="1" t="s">
        <v>113</v>
      </c>
      <c r="G2435" s="1" t="s">
        <v>113</v>
      </c>
      <c r="H2435" s="1" t="str">
        <f>VLOOKUP(F2435,Countries!$A$1:$B$161,2,0)</f>
        <v>United States of America</v>
      </c>
    </row>
    <row r="2436" spans="1:8" x14ac:dyDescent="0.3">
      <c r="A2436" s="3">
        <v>46255.134618055563</v>
      </c>
      <c r="B2436" s="1">
        <v>2.48</v>
      </c>
      <c r="C2436" s="1">
        <v>2.12</v>
      </c>
      <c r="D2436" s="1">
        <v>0.34</v>
      </c>
      <c r="E2436" s="1" t="s">
        <v>176</v>
      </c>
      <c r="F2436" s="1" t="s">
        <v>119</v>
      </c>
      <c r="G2436" s="1" t="s">
        <v>119</v>
      </c>
      <c r="H2436" s="1" t="str">
        <f>VLOOKUP(F2436,Countries!$A$1:$B$161,2,0)</f>
        <v>Great Britain (United Kingdom)</v>
      </c>
    </row>
    <row r="2437" spans="1:8" x14ac:dyDescent="0.3">
      <c r="A2437" s="3">
        <v>46255.129166666673</v>
      </c>
      <c r="B2437" s="1">
        <v>14.77</v>
      </c>
      <c r="C2437" s="1">
        <v>12.63</v>
      </c>
      <c r="D2437" s="1">
        <v>0.91</v>
      </c>
      <c r="E2437" s="1" t="s">
        <v>113</v>
      </c>
      <c r="F2437" s="1" t="s">
        <v>113</v>
      </c>
      <c r="G2437" s="1" t="s">
        <v>113</v>
      </c>
      <c r="H2437" s="1" t="str">
        <f>VLOOKUP(F2437,Countries!$A$1:$B$161,2,0)</f>
        <v>United States of America</v>
      </c>
    </row>
    <row r="2438" spans="1:8" x14ac:dyDescent="0.3">
      <c r="A2438" s="3">
        <v>46255.12877314815</v>
      </c>
      <c r="B2438" s="1">
        <v>14.77</v>
      </c>
      <c r="C2438" s="1">
        <v>12.63</v>
      </c>
      <c r="D2438" s="1">
        <v>0.91</v>
      </c>
      <c r="E2438" s="1" t="s">
        <v>113</v>
      </c>
      <c r="F2438" s="1" t="s">
        <v>113</v>
      </c>
      <c r="G2438" s="1" t="s">
        <v>113</v>
      </c>
      <c r="H2438" s="1" t="str">
        <f>VLOOKUP(F2438,Countries!$A$1:$B$161,2,0)</f>
        <v>United States of America</v>
      </c>
    </row>
    <row r="2439" spans="1:8" x14ac:dyDescent="0.3">
      <c r="A2439" s="3">
        <v>46255.121423611112</v>
      </c>
      <c r="B2439" s="1">
        <v>110.9</v>
      </c>
      <c r="C2439" s="1">
        <v>94.87</v>
      </c>
      <c r="D2439" s="1">
        <v>5.23</v>
      </c>
      <c r="E2439" s="1" t="s">
        <v>113</v>
      </c>
      <c r="F2439" s="1" t="s">
        <v>113</v>
      </c>
      <c r="G2439" s="1" t="s">
        <v>113</v>
      </c>
      <c r="H2439" s="1" t="str">
        <f>VLOOKUP(F2439,Countries!$A$1:$B$161,2,0)</f>
        <v>United States of America</v>
      </c>
    </row>
    <row r="2440" spans="1:8" x14ac:dyDescent="0.3">
      <c r="A2440" s="3">
        <v>46255.118217592593</v>
      </c>
      <c r="B2440" s="1">
        <v>51.75</v>
      </c>
      <c r="C2440" s="1">
        <v>44.27</v>
      </c>
      <c r="D2440" s="1">
        <v>2.58</v>
      </c>
      <c r="E2440" s="1" t="s">
        <v>113</v>
      </c>
      <c r="F2440" s="1" t="s">
        <v>113</v>
      </c>
      <c r="G2440" s="1" t="s">
        <v>113</v>
      </c>
      <c r="H2440" s="1" t="str">
        <f>VLOOKUP(F2440,Countries!$A$1:$B$161,2,0)</f>
        <v>United States of America</v>
      </c>
    </row>
    <row r="2441" spans="1:8" x14ac:dyDescent="0.3">
      <c r="A2441" s="3">
        <v>46255.116261574083</v>
      </c>
      <c r="B2441" s="1">
        <v>6.37</v>
      </c>
      <c r="C2441" s="1">
        <v>5.45</v>
      </c>
      <c r="D2441" s="1">
        <v>0.54</v>
      </c>
      <c r="E2441" s="1" t="s">
        <v>113</v>
      </c>
      <c r="F2441" s="1" t="s">
        <v>113</v>
      </c>
      <c r="G2441" s="1" t="s">
        <v>113</v>
      </c>
      <c r="H2441" s="1" t="str">
        <f>VLOOKUP(F2441,Countries!$A$1:$B$161,2,0)</f>
        <v>United States of America</v>
      </c>
    </row>
    <row r="2442" spans="1:8" x14ac:dyDescent="0.3">
      <c r="A2442" s="3">
        <v>46255.114629629628</v>
      </c>
      <c r="B2442" s="1">
        <v>14.77</v>
      </c>
      <c r="C2442" s="1">
        <v>12.64</v>
      </c>
      <c r="D2442" s="1">
        <v>0.91</v>
      </c>
      <c r="E2442" s="1" t="s">
        <v>113</v>
      </c>
      <c r="F2442" s="1" t="s">
        <v>113</v>
      </c>
      <c r="G2442" s="1" t="s">
        <v>113</v>
      </c>
      <c r="H2442" s="1" t="str">
        <f>VLOOKUP(F2442,Countries!$A$1:$B$161,2,0)</f>
        <v>United States of America</v>
      </c>
    </row>
    <row r="2443" spans="1:8" x14ac:dyDescent="0.3">
      <c r="A2443" s="3">
        <v>46255.114236111112</v>
      </c>
      <c r="B2443" s="1">
        <v>14.77</v>
      </c>
      <c r="C2443" s="1">
        <v>12.64</v>
      </c>
      <c r="D2443" s="1">
        <v>0.91</v>
      </c>
      <c r="E2443" s="1" t="s">
        <v>113</v>
      </c>
      <c r="F2443" s="1" t="s">
        <v>113</v>
      </c>
      <c r="G2443" s="1" t="s">
        <v>113</v>
      </c>
      <c r="H2443" s="1" t="str">
        <f>VLOOKUP(F2443,Countries!$A$1:$B$161,2,0)</f>
        <v>United States of America</v>
      </c>
    </row>
    <row r="2444" spans="1:8" x14ac:dyDescent="0.3">
      <c r="A2444" s="3">
        <v>46255.111840277779</v>
      </c>
      <c r="B2444" s="1">
        <v>22.18</v>
      </c>
      <c r="C2444" s="1">
        <v>18.97</v>
      </c>
      <c r="D2444" s="1">
        <v>1.25</v>
      </c>
      <c r="E2444" s="1" t="s">
        <v>113</v>
      </c>
      <c r="F2444" s="1" t="s">
        <v>113</v>
      </c>
      <c r="G2444" s="1" t="s">
        <v>113</v>
      </c>
      <c r="H2444" s="1" t="str">
        <f>VLOOKUP(F2444,Countries!$A$1:$B$161,2,0)</f>
        <v>United States of America</v>
      </c>
    </row>
    <row r="2445" spans="1:8" x14ac:dyDescent="0.3">
      <c r="A2445" s="3">
        <v>46255.097199074073</v>
      </c>
      <c r="B2445" s="1">
        <v>7.48</v>
      </c>
      <c r="C2445" s="1">
        <v>6.4</v>
      </c>
      <c r="D2445" s="1">
        <v>0.54</v>
      </c>
      <c r="E2445" s="1" t="s">
        <v>119</v>
      </c>
      <c r="F2445" s="1" t="s">
        <v>119</v>
      </c>
      <c r="G2445" s="1" t="s">
        <v>119</v>
      </c>
      <c r="H2445" s="1" t="str">
        <f>VLOOKUP(F2445,Countries!$A$1:$B$161,2,0)</f>
        <v>Great Britain (United Kingdom)</v>
      </c>
    </row>
    <row r="2446" spans="1:8" x14ac:dyDescent="0.3">
      <c r="A2446" s="3">
        <v>46255.094039351847</v>
      </c>
      <c r="B2446" s="1">
        <v>3.99</v>
      </c>
      <c r="C2446" s="1">
        <v>3.41</v>
      </c>
      <c r="D2446" s="1">
        <v>0.43</v>
      </c>
      <c r="E2446" s="1" t="s">
        <v>113</v>
      </c>
      <c r="F2446" s="1" t="s">
        <v>113</v>
      </c>
      <c r="G2446" s="1" t="s">
        <v>113</v>
      </c>
      <c r="H2446" s="1" t="str">
        <f>VLOOKUP(F2446,Countries!$A$1:$B$161,2,0)</f>
        <v>United States of America</v>
      </c>
    </row>
    <row r="2447" spans="1:8" x14ac:dyDescent="0.3">
      <c r="A2447" s="3">
        <v>46255.090428240743</v>
      </c>
      <c r="B2447" s="1">
        <v>6.37</v>
      </c>
      <c r="C2447" s="1">
        <v>5.45</v>
      </c>
      <c r="D2447" s="1">
        <v>0.54</v>
      </c>
      <c r="E2447" s="1" t="s">
        <v>113</v>
      </c>
      <c r="F2447" s="1" t="s">
        <v>113</v>
      </c>
      <c r="G2447" s="1" t="s">
        <v>113</v>
      </c>
      <c r="H2447" s="1" t="str">
        <f>VLOOKUP(F2447,Countries!$A$1:$B$161,2,0)</f>
        <v>United States of America</v>
      </c>
    </row>
    <row r="2448" spans="1:8" x14ac:dyDescent="0.3">
      <c r="A2448" s="3">
        <v>46255.084618055553</v>
      </c>
      <c r="B2448" s="1">
        <v>2.5099999999999998</v>
      </c>
      <c r="C2448" s="1">
        <v>2.15</v>
      </c>
      <c r="D2448" s="1">
        <v>0.32</v>
      </c>
      <c r="E2448" s="1" t="s">
        <v>151</v>
      </c>
      <c r="F2448" s="1" t="s">
        <v>151</v>
      </c>
      <c r="G2448" s="1" t="s">
        <v>151</v>
      </c>
      <c r="H2448" s="1" t="str">
        <f>VLOOKUP(F2448,Countries!$A$1:$B$161,2,0)</f>
        <v>Netherlands (Holland)</v>
      </c>
    </row>
    <row r="2449" spans="1:8" x14ac:dyDescent="0.3">
      <c r="A2449" s="3">
        <v>46255.077997685177</v>
      </c>
      <c r="B2449" s="1">
        <v>7.04</v>
      </c>
      <c r="C2449" s="1">
        <v>6.03</v>
      </c>
      <c r="D2449" s="1">
        <v>0.56999999999999995</v>
      </c>
      <c r="E2449" s="1" t="s">
        <v>163</v>
      </c>
      <c r="F2449" s="1" t="s">
        <v>163</v>
      </c>
      <c r="G2449" s="1" t="s">
        <v>163</v>
      </c>
      <c r="H2449" s="1" t="str">
        <f>VLOOKUP(F2449,Countries!$A$1:$B$161,2,0)</f>
        <v>Saudi Arabia</v>
      </c>
    </row>
    <row r="2450" spans="1:8" x14ac:dyDescent="0.3">
      <c r="A2450" s="3">
        <v>46255.058680555558</v>
      </c>
      <c r="B2450" s="1">
        <v>22.18</v>
      </c>
      <c r="C2450" s="1">
        <v>18.98</v>
      </c>
      <c r="D2450" s="1">
        <v>1.25</v>
      </c>
      <c r="E2450" s="1" t="s">
        <v>113</v>
      </c>
      <c r="F2450" s="1" t="s">
        <v>113</v>
      </c>
      <c r="G2450" s="1" t="s">
        <v>113</v>
      </c>
      <c r="H2450" s="1" t="str">
        <f>VLOOKUP(F2450,Countries!$A$1:$B$161,2,0)</f>
        <v>United States of America</v>
      </c>
    </row>
    <row r="2451" spans="1:8" x14ac:dyDescent="0.3">
      <c r="A2451" s="3">
        <v>46255.055763888893</v>
      </c>
      <c r="B2451" s="1">
        <v>3.14</v>
      </c>
      <c r="C2451" s="1">
        <v>2.69</v>
      </c>
      <c r="D2451" s="1">
        <v>0.39</v>
      </c>
      <c r="E2451" s="1" t="s">
        <v>132</v>
      </c>
      <c r="F2451" s="1" t="s">
        <v>132</v>
      </c>
      <c r="G2451" s="1" t="s">
        <v>132</v>
      </c>
      <c r="H2451" s="1" t="str">
        <f>VLOOKUP(F2451,Countries!$A$1:$B$161,2,0)</f>
        <v>Canada</v>
      </c>
    </row>
    <row r="2452" spans="1:8" x14ac:dyDescent="0.3">
      <c r="A2452" s="3">
        <v>46255.052974537037</v>
      </c>
      <c r="B2452" s="1">
        <v>6.37</v>
      </c>
      <c r="C2452" s="1">
        <v>5.45</v>
      </c>
      <c r="D2452" s="1">
        <v>0.54</v>
      </c>
      <c r="E2452" s="1" t="s">
        <v>196</v>
      </c>
      <c r="F2452" s="1" t="s">
        <v>196</v>
      </c>
      <c r="G2452" s="1" t="s">
        <v>196</v>
      </c>
      <c r="H2452" s="1" t="str">
        <f>VLOOKUP(F2452,Countries!$A$1:$B$161,2,0)</f>
        <v>Kazakhstan</v>
      </c>
    </row>
    <row r="2453" spans="1:8" x14ac:dyDescent="0.3">
      <c r="A2453" s="3">
        <v>46255.044409722221</v>
      </c>
      <c r="B2453" s="1">
        <v>6.37</v>
      </c>
      <c r="C2453" s="1">
        <v>5.45</v>
      </c>
      <c r="D2453" s="1">
        <v>0.54</v>
      </c>
      <c r="E2453" s="1" t="s">
        <v>113</v>
      </c>
      <c r="F2453" s="1" t="s">
        <v>113</v>
      </c>
      <c r="G2453" s="1" t="s">
        <v>113</v>
      </c>
      <c r="H2453" s="1" t="str">
        <f>VLOOKUP(F2453,Countries!$A$1:$B$161,2,0)</f>
        <v>United States of America</v>
      </c>
    </row>
    <row r="2454" spans="1:8" x14ac:dyDescent="0.3">
      <c r="A2454" s="3">
        <v>46255.041435185187</v>
      </c>
      <c r="B2454" s="1">
        <v>13.89</v>
      </c>
      <c r="C2454" s="1">
        <v>11.88</v>
      </c>
      <c r="D2454" s="1">
        <v>0.88</v>
      </c>
      <c r="E2454" s="1" t="s">
        <v>156</v>
      </c>
      <c r="F2454" s="1" t="s">
        <v>156</v>
      </c>
      <c r="G2454" s="1" t="s">
        <v>156</v>
      </c>
      <c r="H2454" s="1" t="str">
        <f>VLOOKUP(F2454,Countries!$A$1:$B$161,2,0)</f>
        <v>Cote d'Ivoire</v>
      </c>
    </row>
    <row r="2455" spans="1:8" x14ac:dyDescent="0.3">
      <c r="A2455" s="3">
        <v>46255.036608796298</v>
      </c>
      <c r="B2455" s="1">
        <v>14.77</v>
      </c>
      <c r="C2455" s="1">
        <v>12.64</v>
      </c>
      <c r="D2455" s="1">
        <v>0.91</v>
      </c>
      <c r="E2455" s="1" t="s">
        <v>113</v>
      </c>
      <c r="F2455" s="1" t="s">
        <v>113</v>
      </c>
      <c r="G2455" s="1" t="s">
        <v>113</v>
      </c>
      <c r="H2455" s="1" t="str">
        <f>VLOOKUP(F2455,Countries!$A$1:$B$161,2,0)</f>
        <v>United States of America</v>
      </c>
    </row>
    <row r="2456" spans="1:8" x14ac:dyDescent="0.3">
      <c r="A2456" s="3">
        <v>46255.035624999997</v>
      </c>
      <c r="B2456" s="1">
        <v>6.37</v>
      </c>
      <c r="C2456" s="1">
        <v>5.45</v>
      </c>
      <c r="D2456" s="1">
        <v>0.54</v>
      </c>
      <c r="E2456" s="1" t="s">
        <v>113</v>
      </c>
      <c r="F2456" s="1" t="s">
        <v>113</v>
      </c>
      <c r="G2456" s="1" t="s">
        <v>113</v>
      </c>
      <c r="H2456" s="1" t="str">
        <f>VLOOKUP(F2456,Countries!$A$1:$B$161,2,0)</f>
        <v>United States of America</v>
      </c>
    </row>
    <row r="2457" spans="1:8" x14ac:dyDescent="0.3">
      <c r="A2457" s="3">
        <v>46255.02380787037</v>
      </c>
      <c r="B2457" s="1">
        <v>3.99</v>
      </c>
      <c r="C2457" s="1">
        <v>3.41</v>
      </c>
      <c r="D2457" s="1">
        <v>0.43</v>
      </c>
      <c r="E2457" s="1" t="s">
        <v>113</v>
      </c>
      <c r="F2457" s="1" t="s">
        <v>113</v>
      </c>
      <c r="G2457" s="1" t="s">
        <v>113</v>
      </c>
      <c r="H2457" s="1" t="str">
        <f>VLOOKUP(F2457,Countries!$A$1:$B$161,2,0)</f>
        <v>United States of America</v>
      </c>
    </row>
    <row r="2458" spans="1:8" x14ac:dyDescent="0.3">
      <c r="A2458" s="3">
        <v>46255.019629629627</v>
      </c>
      <c r="B2458" s="1">
        <v>6.37</v>
      </c>
      <c r="C2458" s="1">
        <v>5.45</v>
      </c>
      <c r="D2458" s="1">
        <v>0.54</v>
      </c>
      <c r="E2458" s="1" t="s">
        <v>113</v>
      </c>
      <c r="F2458" s="1" t="s">
        <v>113</v>
      </c>
      <c r="G2458" s="1" t="s">
        <v>113</v>
      </c>
      <c r="H2458" s="1" t="str">
        <f>VLOOKUP(F2458,Countries!$A$1:$B$161,2,0)</f>
        <v>United States of America</v>
      </c>
    </row>
    <row r="2459" spans="1:8" x14ac:dyDescent="0.3">
      <c r="A2459" s="3">
        <v>46255.014837962961</v>
      </c>
      <c r="B2459" s="1">
        <v>6.37</v>
      </c>
      <c r="C2459" s="1">
        <v>5.45</v>
      </c>
      <c r="D2459" s="1">
        <v>0.54</v>
      </c>
      <c r="E2459" s="1" t="s">
        <v>113</v>
      </c>
      <c r="F2459" s="1" t="s">
        <v>113</v>
      </c>
      <c r="G2459" s="1" t="s">
        <v>113</v>
      </c>
      <c r="H2459" s="1" t="str">
        <f>VLOOKUP(F2459,Countries!$A$1:$B$161,2,0)</f>
        <v>United States of America</v>
      </c>
    </row>
    <row r="2460" spans="1:8" x14ac:dyDescent="0.3">
      <c r="A2460" s="3">
        <v>46255.00708333333</v>
      </c>
      <c r="B2460" s="1">
        <v>9.07</v>
      </c>
      <c r="C2460" s="1">
        <v>7.76</v>
      </c>
      <c r="D2460" s="1">
        <v>0.66</v>
      </c>
      <c r="E2460" s="1" t="s">
        <v>114</v>
      </c>
      <c r="F2460" s="1" t="s">
        <v>114</v>
      </c>
      <c r="G2460" s="1" t="s">
        <v>114</v>
      </c>
      <c r="H2460" s="1" t="str">
        <f>VLOOKUP(F2460,Countries!$A$1:$B$161,2,0)</f>
        <v>Philippines</v>
      </c>
    </row>
    <row r="2461" spans="1:8" x14ac:dyDescent="0.3">
      <c r="A2461" s="3">
        <v>46255.006782407407</v>
      </c>
      <c r="B2461" s="1">
        <v>13.89</v>
      </c>
      <c r="C2461" s="1">
        <v>11.88</v>
      </c>
      <c r="D2461" s="1">
        <v>0.88</v>
      </c>
      <c r="E2461" s="1" t="s">
        <v>156</v>
      </c>
      <c r="F2461" s="1" t="s">
        <v>156</v>
      </c>
      <c r="G2461" s="1" t="s">
        <v>156</v>
      </c>
      <c r="H2461" s="1" t="str">
        <f>VLOOKUP(F2461,Countries!$A$1:$B$161,2,0)</f>
        <v>Cote d'Ivoire</v>
      </c>
    </row>
    <row r="2462" spans="1:8" x14ac:dyDescent="0.3">
      <c r="A2462" s="3">
        <v>46255.002326388887</v>
      </c>
      <c r="B2462" s="1">
        <v>14.77</v>
      </c>
      <c r="C2462" s="1">
        <v>12.64</v>
      </c>
      <c r="D2462" s="1">
        <v>0.91</v>
      </c>
      <c r="E2462" s="1" t="s">
        <v>113</v>
      </c>
      <c r="F2462" s="1" t="s">
        <v>113</v>
      </c>
      <c r="G2462" s="1" t="s">
        <v>113</v>
      </c>
      <c r="H2462" s="1" t="str">
        <f>VLOOKUP(F2462,Countries!$A$1:$B$161,2,0)</f>
        <v>United States of America</v>
      </c>
    </row>
    <row r="2463" spans="1:8" x14ac:dyDescent="0.3">
      <c r="A2463" s="3">
        <v>46254.987986111111</v>
      </c>
      <c r="B2463" s="1">
        <v>6.37</v>
      </c>
      <c r="C2463" s="1">
        <v>5.45</v>
      </c>
      <c r="D2463" s="1">
        <v>0.54</v>
      </c>
      <c r="E2463" s="1" t="s">
        <v>113</v>
      </c>
      <c r="F2463" s="1" t="s">
        <v>113</v>
      </c>
      <c r="G2463" s="1" t="s">
        <v>113</v>
      </c>
      <c r="H2463" s="1" t="str">
        <f>VLOOKUP(F2463,Countries!$A$1:$B$161,2,0)</f>
        <v>United States of America</v>
      </c>
    </row>
    <row r="2464" spans="1:8" x14ac:dyDescent="0.3">
      <c r="A2464" s="3">
        <v>46254.981203703697</v>
      </c>
      <c r="B2464" s="1">
        <v>6.37</v>
      </c>
      <c r="C2464" s="1">
        <v>5.45</v>
      </c>
      <c r="D2464" s="1">
        <v>0.54</v>
      </c>
      <c r="E2464" s="1" t="s">
        <v>113</v>
      </c>
      <c r="F2464" s="1" t="s">
        <v>113</v>
      </c>
      <c r="G2464" s="1" t="s">
        <v>113</v>
      </c>
      <c r="H2464" s="1" t="str">
        <f>VLOOKUP(F2464,Countries!$A$1:$B$161,2,0)</f>
        <v>United States of America</v>
      </c>
    </row>
    <row r="2465" spans="1:8" x14ac:dyDescent="0.3">
      <c r="A2465" s="3">
        <v>46254.978206018517</v>
      </c>
      <c r="B2465" s="1">
        <v>3.99</v>
      </c>
      <c r="C2465" s="1">
        <v>3.42</v>
      </c>
      <c r="D2465" s="1">
        <v>0.43</v>
      </c>
      <c r="E2465" s="1" t="s">
        <v>113</v>
      </c>
      <c r="F2465" s="1" t="s">
        <v>113</v>
      </c>
      <c r="G2465" s="1" t="s">
        <v>113</v>
      </c>
      <c r="H2465" s="1" t="str">
        <f>VLOOKUP(F2465,Countries!$A$1:$B$161,2,0)</f>
        <v>United States of America</v>
      </c>
    </row>
    <row r="2466" spans="1:8" x14ac:dyDescent="0.3">
      <c r="A2466" s="3">
        <v>46254.976678240739</v>
      </c>
      <c r="B2466" s="1">
        <v>3.18</v>
      </c>
      <c r="C2466" s="1">
        <v>2.72</v>
      </c>
      <c r="D2466" s="1">
        <v>0.34</v>
      </c>
      <c r="E2466" s="1" t="s">
        <v>151</v>
      </c>
      <c r="F2466" s="1" t="s">
        <v>151</v>
      </c>
      <c r="G2466" s="1" t="s">
        <v>151</v>
      </c>
      <c r="H2466" s="1" t="str">
        <f>VLOOKUP(F2466,Countries!$A$1:$B$161,2,0)</f>
        <v>Netherlands (Holland)</v>
      </c>
    </row>
    <row r="2467" spans="1:8" x14ac:dyDescent="0.3">
      <c r="A2467" s="3">
        <v>46254.972569444442</v>
      </c>
      <c r="B2467" s="1">
        <v>10.85</v>
      </c>
      <c r="C2467" s="1">
        <v>9.2899999999999991</v>
      </c>
      <c r="D2467" s="1">
        <v>0.74</v>
      </c>
      <c r="E2467" s="1" t="s">
        <v>115</v>
      </c>
      <c r="F2467" s="1" t="s">
        <v>115</v>
      </c>
      <c r="G2467" s="1" t="s">
        <v>115</v>
      </c>
      <c r="H2467" s="1" t="str">
        <f>VLOOKUP(F2467,Countries!$A$1:$B$161,2,0)</f>
        <v>Switzerland</v>
      </c>
    </row>
    <row r="2468" spans="1:8" x14ac:dyDescent="0.3">
      <c r="A2468" s="3">
        <v>46254.971655092602</v>
      </c>
      <c r="B2468" s="1">
        <v>7.58</v>
      </c>
      <c r="C2468" s="1">
        <v>6.49</v>
      </c>
      <c r="D2468" s="1">
        <v>0.48</v>
      </c>
      <c r="E2468" s="1" t="s">
        <v>113</v>
      </c>
      <c r="F2468" s="1" t="s">
        <v>113</v>
      </c>
      <c r="G2468" s="1" t="s">
        <v>113</v>
      </c>
      <c r="H2468" s="1" t="str">
        <f>VLOOKUP(F2468,Countries!$A$1:$B$161,2,0)</f>
        <v>United States of America</v>
      </c>
    </row>
    <row r="2469" spans="1:8" x14ac:dyDescent="0.3">
      <c r="A2469" s="3">
        <v>46254.971284722233</v>
      </c>
      <c r="B2469" s="1">
        <v>1.99</v>
      </c>
      <c r="C2469" s="1">
        <v>1.7</v>
      </c>
      <c r="D2469" s="1">
        <v>0.32</v>
      </c>
      <c r="E2469" s="1" t="s">
        <v>119</v>
      </c>
      <c r="F2469" s="1" t="s">
        <v>119</v>
      </c>
      <c r="G2469" s="1" t="s">
        <v>119</v>
      </c>
      <c r="H2469" s="1" t="str">
        <f>VLOOKUP(F2469,Countries!$A$1:$B$161,2,0)</f>
        <v>Great Britain (United Kingdom)</v>
      </c>
    </row>
    <row r="2470" spans="1:8" x14ac:dyDescent="0.3">
      <c r="A2470" s="3">
        <v>46254.968263888892</v>
      </c>
      <c r="B2470" s="1">
        <v>10.85</v>
      </c>
      <c r="C2470" s="1">
        <v>9.2899999999999991</v>
      </c>
      <c r="D2470" s="1">
        <v>0.74</v>
      </c>
      <c r="E2470" s="1" t="s">
        <v>115</v>
      </c>
      <c r="F2470" s="1" t="s">
        <v>115</v>
      </c>
      <c r="G2470" s="1" t="s">
        <v>115</v>
      </c>
      <c r="H2470" s="1" t="str">
        <f>VLOOKUP(F2470,Countries!$A$1:$B$161,2,0)</f>
        <v>Switzerland</v>
      </c>
    </row>
    <row r="2471" spans="1:8" x14ac:dyDescent="0.3">
      <c r="A2471" s="3">
        <v>46254.965879629628</v>
      </c>
      <c r="B2471" s="1">
        <v>8.5</v>
      </c>
      <c r="C2471" s="1">
        <v>7.28</v>
      </c>
      <c r="D2471" s="1">
        <v>0.64</v>
      </c>
      <c r="E2471" s="1" t="s">
        <v>113</v>
      </c>
      <c r="F2471" s="1" t="s">
        <v>113</v>
      </c>
      <c r="G2471" s="1" t="s">
        <v>113</v>
      </c>
      <c r="H2471" s="1" t="str">
        <f>VLOOKUP(F2471,Countries!$A$1:$B$161,2,0)</f>
        <v>United States of America</v>
      </c>
    </row>
    <row r="2472" spans="1:8" x14ac:dyDescent="0.3">
      <c r="A2472" s="3">
        <v>46254.965671296297</v>
      </c>
      <c r="B2472" s="1">
        <v>6.37</v>
      </c>
      <c r="C2472" s="1">
        <v>5.45</v>
      </c>
      <c r="D2472" s="1">
        <v>0.54</v>
      </c>
      <c r="E2472" s="1" t="s">
        <v>113</v>
      </c>
      <c r="F2472" s="1" t="s">
        <v>113</v>
      </c>
      <c r="G2472" s="1" t="s">
        <v>113</v>
      </c>
      <c r="H2472" s="1" t="str">
        <f>VLOOKUP(F2472,Countries!$A$1:$B$161,2,0)</f>
        <v>United States of America</v>
      </c>
    </row>
    <row r="2473" spans="1:8" x14ac:dyDescent="0.3">
      <c r="A2473" s="3">
        <v>46254.963182870371</v>
      </c>
      <c r="B2473" s="1">
        <v>140.49</v>
      </c>
      <c r="C2473" s="1">
        <v>120.25</v>
      </c>
      <c r="D2473" s="1">
        <v>4.46</v>
      </c>
      <c r="E2473" s="1" t="s">
        <v>113</v>
      </c>
      <c r="F2473" s="1" t="s">
        <v>113</v>
      </c>
      <c r="G2473" s="1" t="s">
        <v>113</v>
      </c>
      <c r="H2473" s="1" t="str">
        <f>VLOOKUP(F2473,Countries!$A$1:$B$161,2,0)</f>
        <v>United States of America</v>
      </c>
    </row>
    <row r="2474" spans="1:8" x14ac:dyDescent="0.3">
      <c r="A2474" s="3">
        <v>46254.962916666656</v>
      </c>
      <c r="B2474" s="1">
        <v>10.85</v>
      </c>
      <c r="C2474" s="1">
        <v>9.2899999999999991</v>
      </c>
      <c r="D2474" s="1">
        <v>0.74</v>
      </c>
      <c r="E2474" s="1" t="s">
        <v>115</v>
      </c>
      <c r="F2474" s="1" t="s">
        <v>115</v>
      </c>
      <c r="G2474" s="1" t="s">
        <v>115</v>
      </c>
      <c r="H2474" s="1" t="str">
        <f>VLOOKUP(F2474,Countries!$A$1:$B$161,2,0)</f>
        <v>Switzerland</v>
      </c>
    </row>
    <row r="2475" spans="1:8" x14ac:dyDescent="0.3">
      <c r="A2475" s="3">
        <v>46254.960729166669</v>
      </c>
      <c r="B2475" s="1">
        <v>6.37</v>
      </c>
      <c r="C2475" s="1">
        <v>5.45</v>
      </c>
      <c r="D2475" s="1">
        <v>0.54</v>
      </c>
      <c r="E2475" s="1" t="s">
        <v>113</v>
      </c>
      <c r="F2475" s="1" t="s">
        <v>113</v>
      </c>
      <c r="G2475" s="1" t="s">
        <v>113</v>
      </c>
      <c r="H2475" s="1" t="str">
        <f>VLOOKUP(F2475,Countries!$A$1:$B$161,2,0)</f>
        <v>United States of America</v>
      </c>
    </row>
    <row r="2476" spans="1:8" x14ac:dyDescent="0.3">
      <c r="A2476" s="3">
        <v>46254.941400462973</v>
      </c>
      <c r="B2476" s="1">
        <v>17.010000000000002</v>
      </c>
      <c r="C2476" s="1">
        <v>14.57</v>
      </c>
      <c r="D2476" s="1">
        <v>1.01</v>
      </c>
      <c r="E2476" s="1" t="s">
        <v>113</v>
      </c>
      <c r="F2476" s="1" t="s">
        <v>113</v>
      </c>
      <c r="G2476" s="1" t="s">
        <v>113</v>
      </c>
      <c r="H2476" s="1" t="str">
        <f>VLOOKUP(F2476,Countries!$A$1:$B$161,2,0)</f>
        <v>United States of America</v>
      </c>
    </row>
    <row r="2477" spans="1:8" x14ac:dyDescent="0.3">
      <c r="A2477" s="3">
        <v>46254.941400462973</v>
      </c>
      <c r="B2477" s="1">
        <v>10.85</v>
      </c>
      <c r="C2477" s="1">
        <v>9.2899999999999991</v>
      </c>
      <c r="D2477" s="1">
        <v>0.74</v>
      </c>
      <c r="E2477" s="1" t="s">
        <v>115</v>
      </c>
      <c r="F2477" s="1" t="s">
        <v>115</v>
      </c>
      <c r="G2477" s="1" t="s">
        <v>115</v>
      </c>
      <c r="H2477" s="1" t="str">
        <f>VLOOKUP(F2477,Countries!$A$1:$B$161,2,0)</f>
        <v>Switzerland</v>
      </c>
    </row>
    <row r="2478" spans="1:8" x14ac:dyDescent="0.3">
      <c r="A2478" s="3">
        <v>46254.935752314806</v>
      </c>
      <c r="B2478" s="1">
        <v>10.85</v>
      </c>
      <c r="C2478" s="1">
        <v>9.2899999999999991</v>
      </c>
      <c r="D2478" s="1">
        <v>0.74</v>
      </c>
      <c r="E2478" s="1" t="s">
        <v>115</v>
      </c>
      <c r="F2478" s="1" t="s">
        <v>115</v>
      </c>
      <c r="G2478" s="1" t="s">
        <v>115</v>
      </c>
      <c r="H2478" s="1" t="str">
        <f>VLOOKUP(F2478,Countries!$A$1:$B$161,2,0)</f>
        <v>Switzerland</v>
      </c>
    </row>
    <row r="2479" spans="1:8" x14ac:dyDescent="0.3">
      <c r="A2479" s="3">
        <v>46254.929456018523</v>
      </c>
      <c r="B2479" s="1">
        <v>1.99</v>
      </c>
      <c r="C2479" s="1">
        <v>1.7</v>
      </c>
      <c r="D2479" s="1">
        <v>0.34</v>
      </c>
      <c r="E2479" s="1" t="s">
        <v>113</v>
      </c>
      <c r="F2479" s="1" t="s">
        <v>127</v>
      </c>
      <c r="G2479" s="1" t="s">
        <v>127</v>
      </c>
      <c r="H2479" s="1" t="str">
        <f>VLOOKUP(F2479,Countries!$A$1:$B$161,2,0)</f>
        <v>Puerto Rico</v>
      </c>
    </row>
    <row r="2480" spans="1:8" x14ac:dyDescent="0.3">
      <c r="A2480" s="3">
        <v>46254.927488425928</v>
      </c>
      <c r="B2480" s="1">
        <v>6.37</v>
      </c>
      <c r="C2480" s="1">
        <v>5.45</v>
      </c>
      <c r="D2480" s="1">
        <v>0.54</v>
      </c>
      <c r="E2480" s="1" t="s">
        <v>113</v>
      </c>
      <c r="F2480" s="1" t="s">
        <v>113</v>
      </c>
      <c r="G2480" s="1" t="s">
        <v>113</v>
      </c>
      <c r="H2480" s="1" t="str">
        <f>VLOOKUP(F2480,Countries!$A$1:$B$161,2,0)</f>
        <v>United States of America</v>
      </c>
    </row>
    <row r="2481" spans="1:8" x14ac:dyDescent="0.3">
      <c r="A2481" s="3">
        <v>46254.925868055558</v>
      </c>
      <c r="B2481" s="1">
        <v>10.85</v>
      </c>
      <c r="C2481" s="1">
        <v>9.2899999999999991</v>
      </c>
      <c r="D2481" s="1">
        <v>0.74</v>
      </c>
      <c r="E2481" s="1" t="s">
        <v>115</v>
      </c>
      <c r="F2481" s="1" t="s">
        <v>115</v>
      </c>
      <c r="G2481" s="1" t="s">
        <v>115</v>
      </c>
      <c r="H2481" s="1" t="str">
        <f>VLOOKUP(F2481,Countries!$A$1:$B$161,2,0)</f>
        <v>Switzerland</v>
      </c>
    </row>
    <row r="2482" spans="1:8" x14ac:dyDescent="0.3">
      <c r="A2482" s="3">
        <v>46254.925335648149</v>
      </c>
      <c r="B2482" s="1">
        <v>6.65</v>
      </c>
      <c r="C2482" s="1">
        <v>5.69</v>
      </c>
      <c r="D2482" s="1">
        <v>0.54</v>
      </c>
      <c r="E2482" s="1" t="s">
        <v>121</v>
      </c>
      <c r="F2482" s="1" t="s">
        <v>121</v>
      </c>
      <c r="G2482" s="1" t="s">
        <v>121</v>
      </c>
      <c r="H2482" s="1" t="str">
        <f>VLOOKUP(F2482,Countries!$A$1:$B$161,2,0)</f>
        <v>Japan</v>
      </c>
    </row>
    <row r="2483" spans="1:8" x14ac:dyDescent="0.3">
      <c r="A2483" s="3">
        <v>46254.923877314817</v>
      </c>
      <c r="B2483" s="1">
        <v>2.99</v>
      </c>
      <c r="C2483" s="1">
        <v>2.56</v>
      </c>
      <c r="D2483" s="1">
        <v>0.38</v>
      </c>
      <c r="E2483" s="1" t="s">
        <v>113</v>
      </c>
      <c r="F2483" s="1" t="s">
        <v>113</v>
      </c>
      <c r="G2483" s="1" t="s">
        <v>113</v>
      </c>
      <c r="H2483" s="1" t="str">
        <f>VLOOKUP(F2483,Countries!$A$1:$B$161,2,0)</f>
        <v>United States of America</v>
      </c>
    </row>
    <row r="2484" spans="1:8" x14ac:dyDescent="0.3">
      <c r="A2484" s="3">
        <v>46254.922650462962</v>
      </c>
      <c r="B2484" s="1">
        <v>17.579999999999998</v>
      </c>
      <c r="C2484" s="1">
        <v>15.05</v>
      </c>
      <c r="D2484" s="1">
        <v>0.78</v>
      </c>
      <c r="E2484" s="1" t="s">
        <v>113</v>
      </c>
      <c r="F2484" s="1" t="s">
        <v>113</v>
      </c>
      <c r="G2484" s="1" t="s">
        <v>113</v>
      </c>
      <c r="H2484" s="1" t="str">
        <f>VLOOKUP(F2484,Countries!$A$1:$B$161,2,0)</f>
        <v>United States of America</v>
      </c>
    </row>
    <row r="2485" spans="1:8" x14ac:dyDescent="0.3">
      <c r="A2485" s="3">
        <v>46254.922268518523</v>
      </c>
      <c r="B2485" s="1">
        <v>21.73</v>
      </c>
      <c r="C2485" s="1">
        <v>18.61</v>
      </c>
      <c r="D2485" s="1">
        <v>1.22</v>
      </c>
      <c r="E2485" s="1" t="s">
        <v>115</v>
      </c>
      <c r="F2485" s="1" t="s">
        <v>115</v>
      </c>
      <c r="G2485" s="1" t="s">
        <v>115</v>
      </c>
      <c r="H2485" s="1" t="str">
        <f>VLOOKUP(F2485,Countries!$A$1:$B$161,2,0)</f>
        <v>Switzerland</v>
      </c>
    </row>
    <row r="2486" spans="1:8" x14ac:dyDescent="0.3">
      <c r="A2486" s="3">
        <v>46254.912361111114</v>
      </c>
      <c r="B2486" s="1">
        <v>17.579999999999998</v>
      </c>
      <c r="C2486" s="1">
        <v>15.05</v>
      </c>
      <c r="D2486" s="1">
        <v>0.78</v>
      </c>
      <c r="E2486" s="1" t="s">
        <v>113</v>
      </c>
      <c r="F2486" s="1" t="s">
        <v>113</v>
      </c>
      <c r="G2486" s="1" t="s">
        <v>113</v>
      </c>
      <c r="H2486" s="1" t="str">
        <f>VLOOKUP(F2486,Countries!$A$1:$B$161,2,0)</f>
        <v>United States of America</v>
      </c>
    </row>
    <row r="2487" spans="1:8" x14ac:dyDescent="0.3">
      <c r="A2487" s="3">
        <v>46254.905532407407</v>
      </c>
      <c r="B2487" s="1">
        <v>10.85</v>
      </c>
      <c r="C2487" s="1">
        <v>9.2899999999999991</v>
      </c>
      <c r="D2487" s="1">
        <v>0.74</v>
      </c>
      <c r="E2487" s="1" t="s">
        <v>115</v>
      </c>
      <c r="F2487" s="1" t="s">
        <v>115</v>
      </c>
      <c r="G2487" s="1" t="s">
        <v>115</v>
      </c>
      <c r="H2487" s="1" t="str">
        <f>VLOOKUP(F2487,Countries!$A$1:$B$161,2,0)</f>
        <v>Switzerland</v>
      </c>
    </row>
    <row r="2488" spans="1:8" x14ac:dyDescent="0.3">
      <c r="A2488" s="3">
        <v>46254.90079861111</v>
      </c>
      <c r="B2488" s="1">
        <v>6.37</v>
      </c>
      <c r="C2488" s="1">
        <v>5.45</v>
      </c>
      <c r="D2488" s="1">
        <v>0.54</v>
      </c>
      <c r="E2488" s="1" t="s">
        <v>113</v>
      </c>
      <c r="F2488" s="1" t="s">
        <v>113</v>
      </c>
      <c r="G2488" s="1" t="s">
        <v>113</v>
      </c>
      <c r="H2488" s="1" t="str">
        <f>VLOOKUP(F2488,Countries!$A$1:$B$161,2,0)</f>
        <v>United States of America</v>
      </c>
    </row>
    <row r="2489" spans="1:8" x14ac:dyDescent="0.3">
      <c r="A2489" s="3">
        <v>46254.899965277778</v>
      </c>
      <c r="B2489" s="1">
        <v>52.78</v>
      </c>
      <c r="C2489" s="1">
        <v>45.2</v>
      </c>
      <c r="D2489" s="1">
        <v>1.83</v>
      </c>
      <c r="E2489" s="1" t="s">
        <v>113</v>
      </c>
      <c r="F2489" s="1" t="s">
        <v>113</v>
      </c>
      <c r="G2489" s="1" t="s">
        <v>113</v>
      </c>
      <c r="H2489" s="1" t="str">
        <f>VLOOKUP(F2489,Countries!$A$1:$B$161,2,0)</f>
        <v>United States of America</v>
      </c>
    </row>
    <row r="2490" spans="1:8" x14ac:dyDescent="0.3">
      <c r="A2490" s="3">
        <v>46254.89980324074</v>
      </c>
      <c r="B2490" s="1">
        <v>10.85</v>
      </c>
      <c r="C2490" s="1">
        <v>9.2899999999999991</v>
      </c>
      <c r="D2490" s="1">
        <v>0.74</v>
      </c>
      <c r="E2490" s="1" t="s">
        <v>115</v>
      </c>
      <c r="F2490" s="1" t="s">
        <v>115</v>
      </c>
      <c r="G2490" s="1" t="s">
        <v>115</v>
      </c>
      <c r="H2490" s="1" t="str">
        <f>VLOOKUP(F2490,Countries!$A$1:$B$161,2,0)</f>
        <v>Switzerland</v>
      </c>
    </row>
    <row r="2491" spans="1:8" x14ac:dyDescent="0.3">
      <c r="A2491" s="3">
        <v>46254.899467592593</v>
      </c>
      <c r="B2491" s="1">
        <v>6.37</v>
      </c>
      <c r="C2491" s="1">
        <v>5.45</v>
      </c>
      <c r="D2491" s="1">
        <v>0.54</v>
      </c>
      <c r="E2491" s="1" t="s">
        <v>113</v>
      </c>
      <c r="F2491" s="1" t="s">
        <v>113</v>
      </c>
      <c r="G2491" s="1" t="s">
        <v>113</v>
      </c>
      <c r="H2491" s="1" t="str">
        <f>VLOOKUP(F2491,Countries!$A$1:$B$161,2,0)</f>
        <v>United States of America</v>
      </c>
    </row>
    <row r="2492" spans="1:8" x14ac:dyDescent="0.3">
      <c r="A2492" s="3">
        <v>46254.894675925927</v>
      </c>
      <c r="B2492" s="1">
        <v>26.39</v>
      </c>
      <c r="C2492" s="1">
        <v>22.6</v>
      </c>
      <c r="D2492" s="1">
        <v>1.04</v>
      </c>
      <c r="E2492" s="1" t="s">
        <v>113</v>
      </c>
      <c r="F2492" s="1" t="s">
        <v>113</v>
      </c>
      <c r="G2492" s="1" t="s">
        <v>113</v>
      </c>
      <c r="H2492" s="1" t="str">
        <f>VLOOKUP(F2492,Countries!$A$1:$B$161,2,0)</f>
        <v>United States of America</v>
      </c>
    </row>
    <row r="2493" spans="1:8" x14ac:dyDescent="0.3">
      <c r="A2493" s="3">
        <v>46254.891458333332</v>
      </c>
      <c r="B2493" s="1">
        <v>10.85</v>
      </c>
      <c r="C2493" s="1">
        <v>9.2899999999999991</v>
      </c>
      <c r="D2493" s="1">
        <v>0.74</v>
      </c>
      <c r="E2493" s="1" t="s">
        <v>115</v>
      </c>
      <c r="F2493" s="1" t="s">
        <v>115</v>
      </c>
      <c r="G2493" s="1" t="s">
        <v>115</v>
      </c>
      <c r="H2493" s="1" t="str">
        <f>VLOOKUP(F2493,Countries!$A$1:$B$161,2,0)</f>
        <v>Switzerland</v>
      </c>
    </row>
    <row r="2494" spans="1:8" x14ac:dyDescent="0.3">
      <c r="A2494" s="3">
        <v>46254.889386574083</v>
      </c>
      <c r="B2494" s="1">
        <v>79.17</v>
      </c>
      <c r="C2494" s="1">
        <v>67.790000000000006</v>
      </c>
      <c r="D2494" s="1">
        <v>2.63</v>
      </c>
      <c r="E2494" s="1" t="s">
        <v>113</v>
      </c>
      <c r="F2494" s="1" t="s">
        <v>113</v>
      </c>
      <c r="G2494" s="1" t="s">
        <v>113</v>
      </c>
      <c r="H2494" s="1" t="str">
        <f>VLOOKUP(F2494,Countries!$A$1:$B$161,2,0)</f>
        <v>United States of America</v>
      </c>
    </row>
    <row r="2495" spans="1:8" x14ac:dyDescent="0.3">
      <c r="A2495" s="3">
        <v>46254.888055555559</v>
      </c>
      <c r="B2495" s="1">
        <v>2.5099999999999998</v>
      </c>
      <c r="C2495" s="1">
        <v>2.15</v>
      </c>
      <c r="D2495" s="1">
        <v>0.32</v>
      </c>
      <c r="E2495" s="1" t="s">
        <v>151</v>
      </c>
      <c r="F2495" s="1" t="s">
        <v>151</v>
      </c>
      <c r="G2495" s="1" t="s">
        <v>151</v>
      </c>
      <c r="H2495" s="1" t="str">
        <f>VLOOKUP(F2495,Countries!$A$1:$B$161,2,0)</f>
        <v>Netherlands (Holland)</v>
      </c>
    </row>
    <row r="2496" spans="1:8" x14ac:dyDescent="0.3">
      <c r="A2496" s="3">
        <v>46254.88553240741</v>
      </c>
      <c r="B2496" s="1">
        <v>2.5099999999999998</v>
      </c>
      <c r="C2496" s="1">
        <v>2.15</v>
      </c>
      <c r="D2496" s="1">
        <v>0.32</v>
      </c>
      <c r="E2496" s="1" t="s">
        <v>151</v>
      </c>
      <c r="F2496" s="1" t="s">
        <v>151</v>
      </c>
      <c r="G2496" s="1" t="s">
        <v>151</v>
      </c>
      <c r="H2496" s="1" t="str">
        <f>VLOOKUP(F2496,Countries!$A$1:$B$161,2,0)</f>
        <v>Netherlands (Holland)</v>
      </c>
    </row>
    <row r="2497" spans="1:8" x14ac:dyDescent="0.3">
      <c r="A2497" s="3">
        <v>46254.885335648149</v>
      </c>
      <c r="B2497" s="1">
        <v>6.37</v>
      </c>
      <c r="C2497" s="1">
        <v>5.45</v>
      </c>
      <c r="D2497" s="1">
        <v>0.54</v>
      </c>
      <c r="E2497" s="1" t="s">
        <v>113</v>
      </c>
      <c r="F2497" s="1" t="s">
        <v>113</v>
      </c>
      <c r="G2497" s="1" t="s">
        <v>113</v>
      </c>
      <c r="H2497" s="1" t="str">
        <f>VLOOKUP(F2497,Countries!$A$1:$B$161,2,0)</f>
        <v>United States of America</v>
      </c>
    </row>
    <row r="2498" spans="1:8" x14ac:dyDescent="0.3">
      <c r="A2498" s="3">
        <v>46254.880879629629</v>
      </c>
      <c r="B2498" s="1">
        <v>12.97</v>
      </c>
      <c r="C2498" s="1">
        <v>11.11</v>
      </c>
      <c r="D2498" s="1">
        <v>0.64</v>
      </c>
      <c r="E2498" s="1" t="s">
        <v>137</v>
      </c>
      <c r="F2498" s="1" t="s">
        <v>137</v>
      </c>
      <c r="G2498" s="1" t="s">
        <v>137</v>
      </c>
      <c r="H2498" s="1" t="str">
        <f>VLOOKUP(F2498,Countries!$A$1:$B$161,2,0)</f>
        <v>Poland</v>
      </c>
    </row>
    <row r="2499" spans="1:8" x14ac:dyDescent="0.3">
      <c r="A2499" s="3">
        <v>46254.880289351851</v>
      </c>
      <c r="B2499" s="1">
        <v>3.18</v>
      </c>
      <c r="C2499" s="1">
        <v>2.72</v>
      </c>
      <c r="D2499" s="1">
        <v>0.39</v>
      </c>
      <c r="E2499" s="1" t="s">
        <v>113</v>
      </c>
      <c r="F2499" s="1" t="s">
        <v>113</v>
      </c>
      <c r="G2499" s="1" t="s">
        <v>113</v>
      </c>
      <c r="H2499" s="1" t="str">
        <f>VLOOKUP(F2499,Countries!$A$1:$B$161,2,0)</f>
        <v>United States of America</v>
      </c>
    </row>
    <row r="2500" spans="1:8" x14ac:dyDescent="0.3">
      <c r="A2500" s="3">
        <v>46254.877303240741</v>
      </c>
      <c r="B2500" s="1">
        <v>10.85</v>
      </c>
      <c r="C2500" s="1">
        <v>9.2899999999999991</v>
      </c>
      <c r="D2500" s="1">
        <v>0.74</v>
      </c>
      <c r="E2500" s="1" t="s">
        <v>115</v>
      </c>
      <c r="F2500" s="1" t="s">
        <v>115</v>
      </c>
      <c r="G2500" s="1" t="s">
        <v>115</v>
      </c>
      <c r="H2500" s="1" t="str">
        <f>VLOOKUP(F2500,Countries!$A$1:$B$161,2,0)</f>
        <v>Switzerland</v>
      </c>
    </row>
    <row r="2501" spans="1:8" x14ac:dyDescent="0.3">
      <c r="A2501" s="3">
        <v>46254.873113425929</v>
      </c>
      <c r="B2501" s="1">
        <v>17.010000000000002</v>
      </c>
      <c r="C2501" s="1">
        <v>14.57</v>
      </c>
      <c r="D2501" s="1">
        <v>1.01</v>
      </c>
      <c r="E2501" s="1" t="s">
        <v>113</v>
      </c>
      <c r="F2501" s="1" t="s">
        <v>113</v>
      </c>
      <c r="G2501" s="1" t="s">
        <v>113</v>
      </c>
      <c r="H2501" s="1" t="str">
        <f>VLOOKUP(F2501,Countries!$A$1:$B$161,2,0)</f>
        <v>United States of America</v>
      </c>
    </row>
    <row r="2502" spans="1:8" x14ac:dyDescent="0.3">
      <c r="A2502" s="3">
        <v>46254.872083333343</v>
      </c>
      <c r="B2502" s="1">
        <v>6.37</v>
      </c>
      <c r="C2502" s="1">
        <v>5.45</v>
      </c>
      <c r="D2502" s="1">
        <v>0.54</v>
      </c>
      <c r="E2502" s="1" t="s">
        <v>183</v>
      </c>
      <c r="F2502" s="1" t="s">
        <v>183</v>
      </c>
      <c r="G2502" s="1" t="s">
        <v>183</v>
      </c>
      <c r="H2502" s="1" t="str">
        <f>VLOOKUP(F2502,Countries!$A$1:$B$161,2,0)</f>
        <v>Malaysia</v>
      </c>
    </row>
    <row r="2503" spans="1:8" x14ac:dyDescent="0.3">
      <c r="A2503" s="3">
        <v>46254.870949074073</v>
      </c>
      <c r="B2503" s="1">
        <v>10.85</v>
      </c>
      <c r="C2503" s="1">
        <v>9.2899999999999991</v>
      </c>
      <c r="D2503" s="1">
        <v>0.74</v>
      </c>
      <c r="E2503" s="1" t="s">
        <v>115</v>
      </c>
      <c r="F2503" s="1" t="s">
        <v>115</v>
      </c>
      <c r="G2503" s="1" t="s">
        <v>115</v>
      </c>
      <c r="H2503" s="1" t="str">
        <f>VLOOKUP(F2503,Countries!$A$1:$B$161,2,0)</f>
        <v>Switzerland</v>
      </c>
    </row>
    <row r="2504" spans="1:8" x14ac:dyDescent="0.3">
      <c r="A2504" s="3">
        <v>46254.869780092587</v>
      </c>
      <c r="B2504" s="1">
        <v>6.37</v>
      </c>
      <c r="C2504" s="1">
        <v>5.45</v>
      </c>
      <c r="D2504" s="1">
        <v>0.54</v>
      </c>
      <c r="E2504" s="1" t="s">
        <v>113</v>
      </c>
      <c r="F2504" s="1" t="s">
        <v>113</v>
      </c>
      <c r="G2504" s="1" t="s">
        <v>113</v>
      </c>
      <c r="H2504" s="1" t="str">
        <f>VLOOKUP(F2504,Countries!$A$1:$B$161,2,0)</f>
        <v>United States of America</v>
      </c>
    </row>
    <row r="2505" spans="1:8" x14ac:dyDescent="0.3">
      <c r="A2505" s="3">
        <v>46254.865543981483</v>
      </c>
      <c r="B2505" s="1">
        <v>21.11</v>
      </c>
      <c r="C2505" s="1">
        <v>18.079999999999998</v>
      </c>
      <c r="D2505" s="1">
        <v>0.88</v>
      </c>
      <c r="E2505" s="1" t="s">
        <v>116</v>
      </c>
      <c r="F2505" s="1" t="s">
        <v>116</v>
      </c>
      <c r="G2505" s="1" t="s">
        <v>116</v>
      </c>
      <c r="H2505" s="1" t="str">
        <f>VLOOKUP(F2505,Countries!$A$1:$B$161,2,0)</f>
        <v>Spain</v>
      </c>
    </row>
    <row r="2506" spans="1:8" x14ac:dyDescent="0.3">
      <c r="A2506" s="3">
        <v>46254.864259259259</v>
      </c>
      <c r="B2506" s="1">
        <v>12.64</v>
      </c>
      <c r="C2506" s="1">
        <v>10.82</v>
      </c>
      <c r="D2506" s="1">
        <v>0.63</v>
      </c>
      <c r="E2506" s="1" t="s">
        <v>116</v>
      </c>
      <c r="F2506" s="1" t="s">
        <v>116</v>
      </c>
      <c r="G2506" s="1" t="s">
        <v>116</v>
      </c>
      <c r="H2506" s="1" t="str">
        <f>VLOOKUP(F2506,Countries!$A$1:$B$161,2,0)</f>
        <v>Spain</v>
      </c>
    </row>
    <row r="2507" spans="1:8" x14ac:dyDescent="0.3">
      <c r="A2507" s="3">
        <v>46254.862870370373</v>
      </c>
      <c r="B2507" s="1">
        <v>7.58</v>
      </c>
      <c r="C2507" s="1">
        <v>6.49</v>
      </c>
      <c r="D2507" s="1">
        <v>0.48</v>
      </c>
      <c r="E2507" s="1" t="s">
        <v>116</v>
      </c>
      <c r="F2507" s="1" t="s">
        <v>116</v>
      </c>
      <c r="G2507" s="1" t="s">
        <v>116</v>
      </c>
      <c r="H2507" s="1" t="str">
        <f>VLOOKUP(F2507,Countries!$A$1:$B$161,2,0)</f>
        <v>Spain</v>
      </c>
    </row>
    <row r="2508" spans="1:8" x14ac:dyDescent="0.3">
      <c r="A2508" s="3">
        <v>46254.847650462973</v>
      </c>
      <c r="B2508" s="1">
        <v>10.85</v>
      </c>
      <c r="C2508" s="1">
        <v>9.2899999999999991</v>
      </c>
      <c r="D2508" s="1">
        <v>0.74</v>
      </c>
      <c r="E2508" s="1" t="s">
        <v>115</v>
      </c>
      <c r="F2508" s="1" t="s">
        <v>115</v>
      </c>
      <c r="G2508" s="1" t="s">
        <v>115</v>
      </c>
      <c r="H2508" s="1" t="str">
        <f>VLOOKUP(F2508,Countries!$A$1:$B$161,2,0)</f>
        <v>Switzerland</v>
      </c>
    </row>
    <row r="2509" spans="1:8" x14ac:dyDescent="0.3">
      <c r="A2509" s="3">
        <v>46254.840925925928</v>
      </c>
      <c r="B2509" s="1">
        <v>14.77</v>
      </c>
      <c r="C2509" s="1">
        <v>12.65</v>
      </c>
      <c r="D2509" s="1">
        <v>0.91</v>
      </c>
      <c r="E2509" s="1" t="s">
        <v>113</v>
      </c>
      <c r="F2509" s="1" t="s">
        <v>113</v>
      </c>
      <c r="G2509" s="1" t="s">
        <v>113</v>
      </c>
      <c r="H2509" s="1" t="str">
        <f>VLOOKUP(F2509,Countries!$A$1:$B$161,2,0)</f>
        <v>United States of America</v>
      </c>
    </row>
    <row r="2510" spans="1:8" x14ac:dyDescent="0.3">
      <c r="A2510" s="3">
        <v>46254.840381944443</v>
      </c>
      <c r="B2510" s="1">
        <v>10.85</v>
      </c>
      <c r="C2510" s="1">
        <v>9.2899999999999991</v>
      </c>
      <c r="D2510" s="1">
        <v>0.74</v>
      </c>
      <c r="E2510" s="1" t="s">
        <v>115</v>
      </c>
      <c r="F2510" s="1" t="s">
        <v>115</v>
      </c>
      <c r="G2510" s="1" t="s">
        <v>115</v>
      </c>
      <c r="H2510" s="1" t="str">
        <f>VLOOKUP(F2510,Countries!$A$1:$B$161,2,0)</f>
        <v>Switzerland</v>
      </c>
    </row>
    <row r="2511" spans="1:8" x14ac:dyDescent="0.3">
      <c r="A2511" s="3">
        <v>46254.837789351863</v>
      </c>
      <c r="B2511" s="1">
        <v>15.43</v>
      </c>
      <c r="C2511" s="1">
        <v>13.21</v>
      </c>
      <c r="D2511" s="1">
        <v>0.94</v>
      </c>
      <c r="E2511" s="1" t="s">
        <v>130</v>
      </c>
      <c r="F2511" s="1" t="s">
        <v>130</v>
      </c>
      <c r="G2511" s="1" t="s">
        <v>130</v>
      </c>
      <c r="H2511" s="1" t="str">
        <f>VLOOKUP(F2511,Countries!$A$1:$B$161,2,0)</f>
        <v>Australia</v>
      </c>
    </row>
    <row r="2512" spans="1:8" x14ac:dyDescent="0.3">
      <c r="A2512" s="3">
        <v>46254.836087962962</v>
      </c>
      <c r="B2512" s="1">
        <v>27.8</v>
      </c>
      <c r="C2512" s="1">
        <v>23.81</v>
      </c>
      <c r="D2512" s="1">
        <v>1.5</v>
      </c>
      <c r="E2512" s="1" t="s">
        <v>130</v>
      </c>
      <c r="F2512" s="1" t="s">
        <v>130</v>
      </c>
      <c r="G2512" s="1" t="s">
        <v>130</v>
      </c>
      <c r="H2512" s="1" t="str">
        <f>VLOOKUP(F2512,Countries!$A$1:$B$161,2,0)</f>
        <v>Australia</v>
      </c>
    </row>
    <row r="2513" spans="1:8" x14ac:dyDescent="0.3">
      <c r="A2513" s="3">
        <v>46254.830879629633</v>
      </c>
      <c r="B2513" s="1">
        <v>15.43</v>
      </c>
      <c r="C2513" s="1">
        <v>13.22</v>
      </c>
      <c r="D2513" s="1">
        <v>0.94</v>
      </c>
      <c r="E2513" s="1" t="s">
        <v>130</v>
      </c>
      <c r="F2513" s="1" t="s">
        <v>130</v>
      </c>
      <c r="G2513" s="1" t="s">
        <v>130</v>
      </c>
      <c r="H2513" s="1" t="str">
        <f>VLOOKUP(F2513,Countries!$A$1:$B$161,2,0)</f>
        <v>Australia</v>
      </c>
    </row>
    <row r="2514" spans="1:8" x14ac:dyDescent="0.3">
      <c r="A2514" s="3">
        <v>46254.829074074078</v>
      </c>
      <c r="B2514" s="1">
        <v>6.37</v>
      </c>
      <c r="C2514" s="1">
        <v>5.46</v>
      </c>
      <c r="D2514" s="1">
        <v>0.54</v>
      </c>
      <c r="E2514" s="1" t="s">
        <v>113</v>
      </c>
      <c r="F2514" s="1" t="s">
        <v>113</v>
      </c>
      <c r="G2514" s="1" t="s">
        <v>113</v>
      </c>
      <c r="H2514" s="1" t="str">
        <f>VLOOKUP(F2514,Countries!$A$1:$B$161,2,0)</f>
        <v>United States of America</v>
      </c>
    </row>
    <row r="2515" spans="1:8" x14ac:dyDescent="0.3">
      <c r="A2515" s="3">
        <v>46254.826469907413</v>
      </c>
      <c r="B2515" s="1">
        <v>27.8</v>
      </c>
      <c r="C2515" s="1">
        <v>23.81</v>
      </c>
      <c r="D2515" s="1">
        <v>1.5</v>
      </c>
      <c r="E2515" s="1" t="s">
        <v>130</v>
      </c>
      <c r="F2515" s="1" t="s">
        <v>130</v>
      </c>
      <c r="G2515" s="1" t="s">
        <v>130</v>
      </c>
      <c r="H2515" s="1" t="str">
        <f>VLOOKUP(F2515,Countries!$A$1:$B$161,2,0)</f>
        <v>Australia</v>
      </c>
    </row>
    <row r="2516" spans="1:8" x14ac:dyDescent="0.3">
      <c r="A2516" s="3">
        <v>46254.824224537027</v>
      </c>
      <c r="B2516" s="1">
        <v>15.43</v>
      </c>
      <c r="C2516" s="1">
        <v>13.22</v>
      </c>
      <c r="D2516" s="1">
        <v>0.94</v>
      </c>
      <c r="E2516" s="1" t="s">
        <v>130</v>
      </c>
      <c r="F2516" s="1" t="s">
        <v>130</v>
      </c>
      <c r="G2516" s="1" t="s">
        <v>130</v>
      </c>
      <c r="H2516" s="1" t="str">
        <f>VLOOKUP(F2516,Countries!$A$1:$B$161,2,0)</f>
        <v>Australia</v>
      </c>
    </row>
    <row r="2517" spans="1:8" x14ac:dyDescent="0.3">
      <c r="A2517" s="3">
        <v>46254.823217592602</v>
      </c>
      <c r="B2517" s="1">
        <v>6.37</v>
      </c>
      <c r="C2517" s="1">
        <v>5.46</v>
      </c>
      <c r="D2517" s="1">
        <v>0.54</v>
      </c>
      <c r="E2517" s="1" t="s">
        <v>113</v>
      </c>
      <c r="F2517" s="1" t="s">
        <v>113</v>
      </c>
      <c r="G2517" s="1" t="s">
        <v>113</v>
      </c>
      <c r="H2517" s="1" t="str">
        <f>VLOOKUP(F2517,Countries!$A$1:$B$161,2,0)</f>
        <v>United States of America</v>
      </c>
    </row>
    <row r="2518" spans="1:8" x14ac:dyDescent="0.3">
      <c r="A2518" s="3">
        <v>46254.81726851852</v>
      </c>
      <c r="B2518" s="1">
        <v>15.43</v>
      </c>
      <c r="C2518" s="1">
        <v>13.22</v>
      </c>
      <c r="D2518" s="1">
        <v>0.94</v>
      </c>
      <c r="E2518" s="1" t="s">
        <v>130</v>
      </c>
      <c r="F2518" s="1" t="s">
        <v>130</v>
      </c>
      <c r="G2518" s="1" t="s">
        <v>130</v>
      </c>
      <c r="H2518" s="1" t="str">
        <f>VLOOKUP(F2518,Countries!$A$1:$B$161,2,0)</f>
        <v>Australia</v>
      </c>
    </row>
    <row r="2519" spans="1:8" x14ac:dyDescent="0.3">
      <c r="A2519" s="3">
        <v>46254.81449074074</v>
      </c>
      <c r="B2519" s="1">
        <v>10.85</v>
      </c>
      <c r="C2519" s="1">
        <v>9.2899999999999991</v>
      </c>
      <c r="D2519" s="1">
        <v>0.74</v>
      </c>
      <c r="E2519" s="1" t="s">
        <v>115</v>
      </c>
      <c r="F2519" s="1" t="s">
        <v>115</v>
      </c>
      <c r="G2519" s="1" t="s">
        <v>115</v>
      </c>
      <c r="H2519" s="1" t="str">
        <f>VLOOKUP(F2519,Countries!$A$1:$B$161,2,0)</f>
        <v>Switzerland</v>
      </c>
    </row>
    <row r="2520" spans="1:8" x14ac:dyDescent="0.3">
      <c r="A2520" s="3">
        <v>46254.812384259261</v>
      </c>
      <c r="B2520" s="1">
        <v>3.73</v>
      </c>
      <c r="C2520" s="1">
        <v>3.19</v>
      </c>
      <c r="D2520" s="1">
        <v>0.39</v>
      </c>
      <c r="E2520" s="1" t="s">
        <v>119</v>
      </c>
      <c r="F2520" s="1" t="s">
        <v>119</v>
      </c>
      <c r="G2520" s="1" t="s">
        <v>119</v>
      </c>
      <c r="H2520" s="1" t="str">
        <f>VLOOKUP(F2520,Countries!$A$1:$B$161,2,0)</f>
        <v>Great Britain (United Kingdom)</v>
      </c>
    </row>
    <row r="2521" spans="1:8" x14ac:dyDescent="0.3">
      <c r="A2521" s="3">
        <v>46254.810497685183</v>
      </c>
      <c r="B2521" s="1">
        <v>6.37</v>
      </c>
      <c r="C2521" s="1">
        <v>5.46</v>
      </c>
      <c r="D2521" s="1">
        <v>0.54</v>
      </c>
      <c r="E2521" s="1" t="s">
        <v>113</v>
      </c>
      <c r="F2521" s="1" t="s">
        <v>113</v>
      </c>
      <c r="G2521" s="1" t="s">
        <v>113</v>
      </c>
      <c r="H2521" s="1" t="str">
        <f>VLOOKUP(F2521,Countries!$A$1:$B$161,2,0)</f>
        <v>United States of America</v>
      </c>
    </row>
    <row r="2522" spans="1:8" x14ac:dyDescent="0.3">
      <c r="A2522" s="3">
        <v>46254.803611111107</v>
      </c>
      <c r="B2522" s="1">
        <v>10.85</v>
      </c>
      <c r="C2522" s="1">
        <v>9.2899999999999991</v>
      </c>
      <c r="D2522" s="1">
        <v>0.74</v>
      </c>
      <c r="E2522" s="1" t="s">
        <v>115</v>
      </c>
      <c r="F2522" s="1" t="s">
        <v>115</v>
      </c>
      <c r="G2522" s="1" t="s">
        <v>115</v>
      </c>
      <c r="H2522" s="1" t="str">
        <f>VLOOKUP(F2522,Countries!$A$1:$B$161,2,0)</f>
        <v>Switzerland</v>
      </c>
    </row>
    <row r="2523" spans="1:8" x14ac:dyDescent="0.3">
      <c r="A2523" s="3">
        <v>46254.792962962973</v>
      </c>
      <c r="B2523" s="1">
        <v>6.37</v>
      </c>
      <c r="C2523" s="1">
        <v>5.46</v>
      </c>
      <c r="D2523" s="1">
        <v>0.54</v>
      </c>
      <c r="E2523" s="1" t="s">
        <v>113</v>
      </c>
      <c r="F2523" s="1" t="s">
        <v>113</v>
      </c>
      <c r="G2523" s="1" t="s">
        <v>113</v>
      </c>
      <c r="H2523" s="1" t="str">
        <f>VLOOKUP(F2523,Countries!$A$1:$B$161,2,0)</f>
        <v>United States of America</v>
      </c>
    </row>
    <row r="2524" spans="1:8" x14ac:dyDescent="0.3">
      <c r="A2524" s="3">
        <v>46254.792430555557</v>
      </c>
      <c r="B2524" s="1">
        <v>10.85</v>
      </c>
      <c r="C2524" s="1">
        <v>9.2899999999999991</v>
      </c>
      <c r="D2524" s="1">
        <v>0.74</v>
      </c>
      <c r="E2524" s="1" t="s">
        <v>115</v>
      </c>
      <c r="F2524" s="1" t="s">
        <v>115</v>
      </c>
      <c r="G2524" s="1" t="s">
        <v>115</v>
      </c>
      <c r="H2524" s="1" t="str">
        <f>VLOOKUP(F2524,Countries!$A$1:$B$161,2,0)</f>
        <v>Switzerland</v>
      </c>
    </row>
    <row r="2525" spans="1:8" x14ac:dyDescent="0.3">
      <c r="A2525" s="3">
        <v>46254.788217592592</v>
      </c>
      <c r="B2525" s="1">
        <v>6.3</v>
      </c>
      <c r="C2525" s="1">
        <v>5.4</v>
      </c>
      <c r="D2525" s="1">
        <v>0.54</v>
      </c>
      <c r="E2525" s="1" t="s">
        <v>143</v>
      </c>
      <c r="F2525" s="1" t="s">
        <v>143</v>
      </c>
      <c r="G2525" s="1" t="s">
        <v>143</v>
      </c>
      <c r="H2525" s="1" t="str">
        <f>VLOOKUP(F2525,Countries!$A$1:$B$161,2,0)</f>
        <v>United Arab Emirates</v>
      </c>
    </row>
    <row r="2526" spans="1:8" x14ac:dyDescent="0.3">
      <c r="A2526" s="3">
        <v>46254.774409722217</v>
      </c>
      <c r="B2526" s="1">
        <v>4.99</v>
      </c>
      <c r="C2526" s="1">
        <v>4.2699999999999996</v>
      </c>
      <c r="D2526" s="1">
        <v>0.48</v>
      </c>
      <c r="E2526" s="1" t="s">
        <v>113</v>
      </c>
      <c r="F2526" s="1" t="s">
        <v>113</v>
      </c>
      <c r="G2526" s="1" t="s">
        <v>113</v>
      </c>
      <c r="H2526" s="1" t="str">
        <f>VLOOKUP(F2526,Countries!$A$1:$B$161,2,0)</f>
        <v>United States of America</v>
      </c>
    </row>
    <row r="2527" spans="1:8" x14ac:dyDescent="0.3">
      <c r="A2527" s="3">
        <v>46254.771412037036</v>
      </c>
      <c r="B2527" s="1">
        <v>2.11</v>
      </c>
      <c r="C2527" s="1">
        <v>1.81</v>
      </c>
      <c r="D2527" s="1">
        <v>0.35</v>
      </c>
      <c r="E2527" s="1" t="s">
        <v>113</v>
      </c>
      <c r="F2527" s="1" t="s">
        <v>113</v>
      </c>
      <c r="G2527" s="1" t="s">
        <v>113</v>
      </c>
      <c r="H2527" s="1" t="str">
        <f>VLOOKUP(F2527,Countries!$A$1:$B$161,2,0)</f>
        <v>United States of America</v>
      </c>
    </row>
    <row r="2528" spans="1:8" x14ac:dyDescent="0.3">
      <c r="A2528" s="3">
        <v>46254.769560185188</v>
      </c>
      <c r="B2528" s="1">
        <v>6.37</v>
      </c>
      <c r="C2528" s="1">
        <v>5.46</v>
      </c>
      <c r="D2528" s="1">
        <v>0.54</v>
      </c>
      <c r="E2528" s="1" t="s">
        <v>183</v>
      </c>
      <c r="F2528" s="1" t="s">
        <v>183</v>
      </c>
      <c r="G2528" s="1" t="s">
        <v>183</v>
      </c>
      <c r="H2528" s="1" t="str">
        <f>VLOOKUP(F2528,Countries!$A$1:$B$161,2,0)</f>
        <v>Malaysia</v>
      </c>
    </row>
    <row r="2529" spans="1:8" x14ac:dyDescent="0.3">
      <c r="A2529" s="3">
        <v>46254.769293981481</v>
      </c>
      <c r="B2529" s="1">
        <v>2.99</v>
      </c>
      <c r="C2529" s="1">
        <v>2.56</v>
      </c>
      <c r="D2529" s="1">
        <v>0.38</v>
      </c>
      <c r="E2529" s="1" t="s">
        <v>113</v>
      </c>
      <c r="F2529" s="1" t="s">
        <v>113</v>
      </c>
      <c r="G2529" s="1" t="s">
        <v>113</v>
      </c>
      <c r="H2529" s="1" t="str">
        <f>VLOOKUP(F2529,Countries!$A$1:$B$161,2,0)</f>
        <v>United States of America</v>
      </c>
    </row>
    <row r="2530" spans="1:8" x14ac:dyDescent="0.3">
      <c r="A2530" s="3">
        <v>46254.766087962962</v>
      </c>
      <c r="B2530" s="1">
        <v>14.62</v>
      </c>
      <c r="C2530" s="1">
        <v>12.52</v>
      </c>
      <c r="D2530" s="1">
        <v>0.91</v>
      </c>
      <c r="E2530" s="1" t="s">
        <v>143</v>
      </c>
      <c r="F2530" s="1" t="s">
        <v>143</v>
      </c>
      <c r="G2530" s="1" t="s">
        <v>143</v>
      </c>
      <c r="H2530" s="1" t="str">
        <f>VLOOKUP(F2530,Countries!$A$1:$B$161,2,0)</f>
        <v>United Arab Emirates</v>
      </c>
    </row>
    <row r="2531" spans="1:8" x14ac:dyDescent="0.3">
      <c r="A2531" s="3">
        <v>46254.765173611107</v>
      </c>
      <c r="B2531" s="1">
        <v>3.78</v>
      </c>
      <c r="C2531" s="1">
        <v>3.24</v>
      </c>
      <c r="D2531" s="1">
        <v>0.36</v>
      </c>
      <c r="E2531" s="1" t="s">
        <v>116</v>
      </c>
      <c r="F2531" s="1" t="s">
        <v>116</v>
      </c>
      <c r="G2531" s="1" t="s">
        <v>116</v>
      </c>
      <c r="H2531" s="1" t="str">
        <f>VLOOKUP(F2531,Countries!$A$1:$B$161,2,0)</f>
        <v>Spain</v>
      </c>
    </row>
    <row r="2532" spans="1:8" x14ac:dyDescent="0.3">
      <c r="A2532" s="3">
        <v>46254.759421296287</v>
      </c>
      <c r="B2532" s="1">
        <v>2.99</v>
      </c>
      <c r="C2532" s="1">
        <v>2.56</v>
      </c>
      <c r="D2532" s="1">
        <v>0.38</v>
      </c>
      <c r="E2532" s="1" t="s">
        <v>113</v>
      </c>
      <c r="F2532" s="1" t="s">
        <v>113</v>
      </c>
      <c r="G2532" s="1" t="s">
        <v>113</v>
      </c>
      <c r="H2532" s="1" t="str">
        <f>VLOOKUP(F2532,Countries!$A$1:$B$161,2,0)</f>
        <v>United States of America</v>
      </c>
    </row>
    <row r="2533" spans="1:8" x14ac:dyDescent="0.3">
      <c r="A2533" s="3">
        <v>46254.751712962963</v>
      </c>
      <c r="B2533" s="1">
        <v>7.58</v>
      </c>
      <c r="C2533" s="1">
        <v>6.49</v>
      </c>
      <c r="D2533" s="1">
        <v>0.48</v>
      </c>
      <c r="E2533" s="1" t="s">
        <v>116</v>
      </c>
      <c r="F2533" s="1" t="s">
        <v>116</v>
      </c>
      <c r="G2533" s="1" t="s">
        <v>116</v>
      </c>
      <c r="H2533" s="1" t="str">
        <f>VLOOKUP(F2533,Countries!$A$1:$B$161,2,0)</f>
        <v>Spain</v>
      </c>
    </row>
    <row r="2534" spans="1:8" x14ac:dyDescent="0.3">
      <c r="A2534" s="3">
        <v>46254.746099537027</v>
      </c>
      <c r="B2534" s="1">
        <v>10.62</v>
      </c>
      <c r="C2534" s="1">
        <v>9.1</v>
      </c>
      <c r="D2534" s="1">
        <v>0.73</v>
      </c>
      <c r="E2534" s="1" t="s">
        <v>113</v>
      </c>
      <c r="F2534" s="1" t="s">
        <v>113</v>
      </c>
      <c r="G2534" s="1" t="s">
        <v>113</v>
      </c>
      <c r="H2534" s="1" t="str">
        <f>VLOOKUP(F2534,Countries!$A$1:$B$161,2,0)</f>
        <v>United States of America</v>
      </c>
    </row>
    <row r="2535" spans="1:8" x14ac:dyDescent="0.3">
      <c r="A2535" s="3">
        <v>46254.744768518518</v>
      </c>
      <c r="B2535" s="1">
        <v>6.65</v>
      </c>
      <c r="C2535" s="1">
        <v>5.7</v>
      </c>
      <c r="D2535" s="1">
        <v>0.55000000000000004</v>
      </c>
      <c r="E2535" s="1" t="s">
        <v>121</v>
      </c>
      <c r="F2535" s="1" t="s">
        <v>121</v>
      </c>
      <c r="G2535" s="1" t="s">
        <v>121</v>
      </c>
      <c r="H2535" s="1" t="str">
        <f>VLOOKUP(F2535,Countries!$A$1:$B$161,2,0)</f>
        <v>Japan</v>
      </c>
    </row>
    <row r="2536" spans="1:8" x14ac:dyDescent="0.3">
      <c r="A2536" s="3">
        <v>46254.74355324074</v>
      </c>
      <c r="B2536" s="1">
        <v>2.48</v>
      </c>
      <c r="C2536" s="1">
        <v>2.12</v>
      </c>
      <c r="D2536" s="1">
        <v>0.34</v>
      </c>
      <c r="E2536" s="1" t="s">
        <v>119</v>
      </c>
      <c r="F2536" s="1" t="s">
        <v>119</v>
      </c>
      <c r="G2536" s="1" t="s">
        <v>119</v>
      </c>
      <c r="H2536" s="1" t="str">
        <f>VLOOKUP(F2536,Countries!$A$1:$B$161,2,0)</f>
        <v>Great Britain (United Kingdom)</v>
      </c>
    </row>
    <row r="2537" spans="1:8" x14ac:dyDescent="0.3">
      <c r="A2537" s="3">
        <v>46254.741886574076</v>
      </c>
      <c r="B2537" s="1">
        <v>2.34</v>
      </c>
      <c r="C2537" s="1">
        <v>2</v>
      </c>
      <c r="D2537" s="1">
        <v>0.36</v>
      </c>
      <c r="E2537" s="1" t="s">
        <v>128</v>
      </c>
      <c r="F2537" s="1" t="s">
        <v>128</v>
      </c>
      <c r="G2537" s="1" t="s">
        <v>128</v>
      </c>
      <c r="H2537" s="1" t="str">
        <f>VLOOKUP(F2537,Countries!$A$1:$B$161,2,0)</f>
        <v>South Africa</v>
      </c>
    </row>
    <row r="2538" spans="1:8" x14ac:dyDescent="0.3">
      <c r="A2538" s="3">
        <v>46254.739664351851</v>
      </c>
      <c r="B2538" s="1">
        <v>3.18</v>
      </c>
      <c r="C2538" s="1">
        <v>2.72</v>
      </c>
      <c r="D2538" s="1">
        <v>0.39</v>
      </c>
      <c r="E2538" s="1" t="s">
        <v>113</v>
      </c>
      <c r="F2538" s="1" t="s">
        <v>113</v>
      </c>
      <c r="G2538" s="1" t="s">
        <v>113</v>
      </c>
      <c r="H2538" s="1" t="str">
        <f>VLOOKUP(F2538,Countries!$A$1:$B$161,2,0)</f>
        <v>United States of America</v>
      </c>
    </row>
    <row r="2539" spans="1:8" x14ac:dyDescent="0.3">
      <c r="A2539" s="3">
        <v>46254.734780092593</v>
      </c>
      <c r="B2539" s="1">
        <v>7.98</v>
      </c>
      <c r="C2539" s="1">
        <v>6.84</v>
      </c>
      <c r="D2539" s="1">
        <v>0.49</v>
      </c>
      <c r="E2539" s="1" t="s">
        <v>116</v>
      </c>
      <c r="F2539" s="1" t="s">
        <v>133</v>
      </c>
      <c r="G2539" s="1" t="s">
        <v>133</v>
      </c>
      <c r="H2539" s="1" t="str">
        <f>VLOOKUP(F2539,Countries!$A$1:$B$161,2,0)</f>
        <v>Denmark</v>
      </c>
    </row>
    <row r="2540" spans="1:8" x14ac:dyDescent="0.3">
      <c r="A2540" s="3">
        <v>46254.728009259263</v>
      </c>
      <c r="B2540" s="1">
        <v>6.65</v>
      </c>
      <c r="C2540" s="1">
        <v>5.7</v>
      </c>
      <c r="D2540" s="1">
        <v>0.55000000000000004</v>
      </c>
      <c r="E2540" s="1" t="s">
        <v>130</v>
      </c>
      <c r="F2540" s="1" t="s">
        <v>130</v>
      </c>
      <c r="G2540" s="1" t="s">
        <v>130</v>
      </c>
      <c r="H2540" s="1" t="str">
        <f>VLOOKUP(F2540,Countries!$A$1:$B$161,2,0)</f>
        <v>Australia</v>
      </c>
    </row>
    <row r="2541" spans="1:8" x14ac:dyDescent="0.3">
      <c r="A2541" s="3">
        <v>46254.724826388891</v>
      </c>
      <c r="B2541" s="1">
        <v>2.99</v>
      </c>
      <c r="C2541" s="1">
        <v>2.56</v>
      </c>
      <c r="D2541" s="1">
        <v>0.38</v>
      </c>
      <c r="E2541" s="1" t="s">
        <v>142</v>
      </c>
      <c r="F2541" s="1" t="s">
        <v>142</v>
      </c>
      <c r="G2541" s="1" t="s">
        <v>142</v>
      </c>
      <c r="H2541" s="1" t="str">
        <f>VLOOKUP(F2541,Countries!$A$1:$B$161,2,0)</f>
        <v>India</v>
      </c>
    </row>
    <row r="2542" spans="1:8" x14ac:dyDescent="0.3">
      <c r="A2542" s="3">
        <v>46254.723981481482</v>
      </c>
      <c r="B2542" s="1">
        <v>29.57</v>
      </c>
      <c r="C2542" s="1">
        <v>25.33</v>
      </c>
      <c r="D2542" s="1">
        <v>1.58</v>
      </c>
      <c r="E2542" s="1" t="s">
        <v>113</v>
      </c>
      <c r="F2542" s="1" t="s">
        <v>113</v>
      </c>
      <c r="G2542" s="1" t="s">
        <v>113</v>
      </c>
      <c r="H2542" s="1" t="str">
        <f>VLOOKUP(F2542,Countries!$A$1:$B$161,2,0)</f>
        <v>United States of America</v>
      </c>
    </row>
    <row r="2543" spans="1:8" x14ac:dyDescent="0.3">
      <c r="A2543" s="3">
        <v>46254.720462962963</v>
      </c>
      <c r="B2543" s="1">
        <v>22.18</v>
      </c>
      <c r="C2543" s="1">
        <v>19</v>
      </c>
      <c r="D2543" s="1">
        <v>1.25</v>
      </c>
      <c r="E2543" s="1" t="s">
        <v>113</v>
      </c>
      <c r="F2543" s="1" t="s">
        <v>113</v>
      </c>
      <c r="G2543" s="1" t="s">
        <v>113</v>
      </c>
      <c r="H2543" s="1" t="str">
        <f>VLOOKUP(F2543,Countries!$A$1:$B$161,2,0)</f>
        <v>United States of America</v>
      </c>
    </row>
    <row r="2544" spans="1:8" x14ac:dyDescent="0.3">
      <c r="A2544" s="3">
        <v>46254.717106481483</v>
      </c>
      <c r="B2544" s="1">
        <v>6.37</v>
      </c>
      <c r="C2544" s="1">
        <v>5.46</v>
      </c>
      <c r="D2544" s="1">
        <v>0.54</v>
      </c>
      <c r="E2544" s="1" t="s">
        <v>113</v>
      </c>
      <c r="F2544" s="1" t="s">
        <v>113</v>
      </c>
      <c r="G2544" s="1" t="s">
        <v>113</v>
      </c>
      <c r="H2544" s="1" t="str">
        <f>VLOOKUP(F2544,Countries!$A$1:$B$161,2,0)</f>
        <v>United States of America</v>
      </c>
    </row>
    <row r="2545" spans="1:8" x14ac:dyDescent="0.3">
      <c r="A2545" s="3">
        <v>46254.716516203713</v>
      </c>
      <c r="B2545" s="1">
        <v>6.37</v>
      </c>
      <c r="C2545" s="1">
        <v>5.46</v>
      </c>
      <c r="D2545" s="1">
        <v>0.54</v>
      </c>
      <c r="E2545" s="1" t="s">
        <v>113</v>
      </c>
      <c r="F2545" s="1" t="s">
        <v>113</v>
      </c>
      <c r="G2545" s="1" t="s">
        <v>113</v>
      </c>
      <c r="H2545" s="1" t="str">
        <f>VLOOKUP(F2545,Countries!$A$1:$B$161,2,0)</f>
        <v>United States of America</v>
      </c>
    </row>
    <row r="2546" spans="1:8" x14ac:dyDescent="0.3">
      <c r="A2546" s="3">
        <v>46254.709166666667</v>
      </c>
      <c r="B2546" s="1">
        <v>6.37</v>
      </c>
      <c r="C2546" s="1">
        <v>5.45</v>
      </c>
      <c r="D2546" s="1">
        <v>0.54</v>
      </c>
      <c r="E2546" s="1" t="s">
        <v>113</v>
      </c>
      <c r="F2546" s="1" t="s">
        <v>113</v>
      </c>
      <c r="G2546" s="1" t="s">
        <v>113</v>
      </c>
      <c r="H2546" s="1" t="str">
        <f>VLOOKUP(F2546,Countries!$A$1:$B$161,2,0)</f>
        <v>United States of America</v>
      </c>
    </row>
    <row r="2547" spans="1:8" x14ac:dyDescent="0.3">
      <c r="A2547" s="3">
        <v>46254.693877314807</v>
      </c>
      <c r="B2547" s="1">
        <v>6.37</v>
      </c>
      <c r="C2547" s="1">
        <v>5.45</v>
      </c>
      <c r="D2547" s="1">
        <v>0.54</v>
      </c>
      <c r="E2547" s="1" t="s">
        <v>113</v>
      </c>
      <c r="F2547" s="1" t="s">
        <v>113</v>
      </c>
      <c r="G2547" s="1" t="s">
        <v>113</v>
      </c>
      <c r="H2547" s="1" t="str">
        <f>VLOOKUP(F2547,Countries!$A$1:$B$161,2,0)</f>
        <v>United States of America</v>
      </c>
    </row>
    <row r="2548" spans="1:8" x14ac:dyDescent="0.3">
      <c r="A2548" s="3">
        <v>46254.68822916667</v>
      </c>
      <c r="B2548" s="1">
        <v>3.99</v>
      </c>
      <c r="C2548" s="1">
        <v>3.42</v>
      </c>
      <c r="D2548" s="1">
        <v>0.43</v>
      </c>
      <c r="E2548" s="1" t="s">
        <v>165</v>
      </c>
      <c r="F2548" s="1" t="s">
        <v>165</v>
      </c>
      <c r="G2548" s="1" t="s">
        <v>165</v>
      </c>
      <c r="H2548" s="1" t="str">
        <f>VLOOKUP(F2548,Countries!$A$1:$B$161,2,0)</f>
        <v>Israel</v>
      </c>
    </row>
    <row r="2549" spans="1:8" x14ac:dyDescent="0.3">
      <c r="A2549" s="3">
        <v>46254.684861111113</v>
      </c>
      <c r="B2549" s="1">
        <v>3.88</v>
      </c>
      <c r="C2549" s="1">
        <v>3.32</v>
      </c>
      <c r="D2549" s="1">
        <v>0.37</v>
      </c>
      <c r="E2549" s="1" t="s">
        <v>180</v>
      </c>
      <c r="F2549" s="1" t="s">
        <v>180</v>
      </c>
      <c r="G2549" s="1" t="s">
        <v>180</v>
      </c>
      <c r="H2549" s="1" t="str">
        <f>VLOOKUP(F2549,Countries!$A$1:$B$161,2,0)</f>
        <v>Portugal</v>
      </c>
    </row>
    <row r="2550" spans="1:8" x14ac:dyDescent="0.3">
      <c r="A2550" s="3">
        <v>46254.679837962962</v>
      </c>
      <c r="B2550" s="1">
        <v>14.77</v>
      </c>
      <c r="C2550" s="1">
        <v>12.65</v>
      </c>
      <c r="D2550" s="1">
        <v>0.91</v>
      </c>
      <c r="E2550" s="1" t="s">
        <v>113</v>
      </c>
      <c r="F2550" s="1" t="s">
        <v>113</v>
      </c>
      <c r="G2550" s="1" t="s">
        <v>113</v>
      </c>
      <c r="H2550" s="1" t="str">
        <f>VLOOKUP(F2550,Countries!$A$1:$B$161,2,0)</f>
        <v>United States of America</v>
      </c>
    </row>
    <row r="2551" spans="1:8" x14ac:dyDescent="0.3">
      <c r="A2551" s="3">
        <v>46254.672233796293</v>
      </c>
      <c r="B2551" s="1">
        <v>3.18</v>
      </c>
      <c r="C2551" s="1">
        <v>2.72</v>
      </c>
      <c r="D2551" s="1">
        <v>0.39</v>
      </c>
      <c r="E2551" s="1" t="s">
        <v>113</v>
      </c>
      <c r="F2551" s="1" t="s">
        <v>113</v>
      </c>
      <c r="G2551" s="1" t="s">
        <v>113</v>
      </c>
      <c r="H2551" s="1" t="str">
        <f>VLOOKUP(F2551,Countries!$A$1:$B$161,2,0)</f>
        <v>United States of America</v>
      </c>
    </row>
    <row r="2552" spans="1:8" x14ac:dyDescent="0.3">
      <c r="A2552" s="3">
        <v>46254.655243055553</v>
      </c>
      <c r="B2552" s="1">
        <v>6.37</v>
      </c>
      <c r="C2552" s="1">
        <v>5.45</v>
      </c>
      <c r="D2552" s="1">
        <v>0.54</v>
      </c>
      <c r="E2552" s="1" t="s">
        <v>113</v>
      </c>
      <c r="F2552" s="1" t="s">
        <v>113</v>
      </c>
      <c r="G2552" s="1" t="s">
        <v>113</v>
      </c>
      <c r="H2552" s="1" t="str">
        <f>VLOOKUP(F2552,Countries!$A$1:$B$161,2,0)</f>
        <v>United States of America</v>
      </c>
    </row>
    <row r="2553" spans="1:8" x14ac:dyDescent="0.3">
      <c r="A2553" s="3">
        <v>46254.644305555557</v>
      </c>
      <c r="B2553" s="1">
        <v>6.37</v>
      </c>
      <c r="C2553" s="1">
        <v>5.45</v>
      </c>
      <c r="D2553" s="1">
        <v>0.54</v>
      </c>
      <c r="E2553" s="1" t="s">
        <v>113</v>
      </c>
      <c r="F2553" s="1" t="s">
        <v>113</v>
      </c>
      <c r="G2553" s="1" t="s">
        <v>113</v>
      </c>
      <c r="H2553" s="1" t="str">
        <f>VLOOKUP(F2553,Countries!$A$1:$B$161,2,0)</f>
        <v>United States of America</v>
      </c>
    </row>
    <row r="2554" spans="1:8" x14ac:dyDescent="0.3">
      <c r="A2554" s="3">
        <v>46254.637662037043</v>
      </c>
      <c r="B2554" s="1">
        <v>17.010000000000002</v>
      </c>
      <c r="C2554" s="1">
        <v>14.56</v>
      </c>
      <c r="D2554" s="1">
        <v>1.01</v>
      </c>
      <c r="E2554" s="1" t="s">
        <v>113</v>
      </c>
      <c r="F2554" s="1" t="s">
        <v>113</v>
      </c>
      <c r="G2554" s="1" t="s">
        <v>113</v>
      </c>
      <c r="H2554" s="1" t="str">
        <f>VLOOKUP(F2554,Countries!$A$1:$B$161,2,0)</f>
        <v>United States of America</v>
      </c>
    </row>
    <row r="2555" spans="1:8" x14ac:dyDescent="0.3">
      <c r="A2555" s="3">
        <v>46254.63753472222</v>
      </c>
      <c r="B2555" s="1">
        <v>8.5</v>
      </c>
      <c r="C2555" s="1">
        <v>7.28</v>
      </c>
      <c r="D2555" s="1">
        <v>0.64</v>
      </c>
      <c r="E2555" s="1" t="s">
        <v>113</v>
      </c>
      <c r="F2555" s="1" t="s">
        <v>113</v>
      </c>
      <c r="G2555" s="1" t="s">
        <v>113</v>
      </c>
      <c r="H2555" s="1" t="str">
        <f>VLOOKUP(F2555,Countries!$A$1:$B$161,2,0)</f>
        <v>United States of America</v>
      </c>
    </row>
    <row r="2556" spans="1:8" x14ac:dyDescent="0.3">
      <c r="A2556" s="3">
        <v>46254.633414351847</v>
      </c>
      <c r="B2556" s="1">
        <v>3.32</v>
      </c>
      <c r="C2556" s="1">
        <v>2.84</v>
      </c>
      <c r="D2556" s="1">
        <v>0.4</v>
      </c>
      <c r="E2556" s="1" t="s">
        <v>121</v>
      </c>
      <c r="F2556" s="1" t="s">
        <v>121</v>
      </c>
      <c r="G2556" s="1" t="s">
        <v>121</v>
      </c>
      <c r="H2556" s="1" t="str">
        <f>VLOOKUP(F2556,Countries!$A$1:$B$161,2,0)</f>
        <v>Japan</v>
      </c>
    </row>
    <row r="2557" spans="1:8" x14ac:dyDescent="0.3">
      <c r="A2557" s="3">
        <v>46254.622152777767</v>
      </c>
      <c r="B2557" s="1">
        <v>6.37</v>
      </c>
      <c r="C2557" s="1">
        <v>5.46</v>
      </c>
      <c r="D2557" s="1">
        <v>0.54</v>
      </c>
      <c r="E2557" s="1" t="s">
        <v>113</v>
      </c>
      <c r="F2557" s="1" t="s">
        <v>113</v>
      </c>
      <c r="G2557" s="1" t="s">
        <v>113</v>
      </c>
      <c r="H2557" s="1" t="str">
        <f>VLOOKUP(F2557,Countries!$A$1:$B$161,2,0)</f>
        <v>United States of America</v>
      </c>
    </row>
    <row r="2558" spans="1:8" x14ac:dyDescent="0.3">
      <c r="A2558" s="3">
        <v>46254.61482638889</v>
      </c>
      <c r="B2558" s="1">
        <v>7.48</v>
      </c>
      <c r="C2558" s="1">
        <v>6.41</v>
      </c>
      <c r="D2558" s="1">
        <v>0.54</v>
      </c>
      <c r="E2558" s="1" t="s">
        <v>119</v>
      </c>
      <c r="F2558" s="1" t="s">
        <v>119</v>
      </c>
      <c r="G2558" s="1" t="s">
        <v>119</v>
      </c>
      <c r="H2558" s="1" t="str">
        <f>VLOOKUP(F2558,Countries!$A$1:$B$161,2,0)</f>
        <v>Great Britain (United Kingdom)</v>
      </c>
    </row>
    <row r="2559" spans="1:8" x14ac:dyDescent="0.3">
      <c r="A2559" s="3">
        <v>46254.612384259257</v>
      </c>
      <c r="B2559" s="1">
        <v>62.37</v>
      </c>
      <c r="C2559" s="1">
        <v>53.42</v>
      </c>
      <c r="D2559" s="1">
        <v>2.12</v>
      </c>
      <c r="E2559" s="1" t="s">
        <v>113</v>
      </c>
      <c r="F2559" s="1" t="s">
        <v>113</v>
      </c>
      <c r="G2559" s="1" t="s">
        <v>113</v>
      </c>
      <c r="H2559" s="1" t="str">
        <f>VLOOKUP(F2559,Countries!$A$1:$B$161,2,0)</f>
        <v>United States of America</v>
      </c>
    </row>
    <row r="2560" spans="1:8" x14ac:dyDescent="0.3">
      <c r="A2560" s="3">
        <v>46254.603136574071</v>
      </c>
      <c r="B2560" s="1">
        <v>62.37</v>
      </c>
      <c r="C2560" s="1">
        <v>53.42</v>
      </c>
      <c r="D2560" s="1">
        <v>2.12</v>
      </c>
      <c r="E2560" s="1" t="s">
        <v>113</v>
      </c>
      <c r="F2560" s="1" t="s">
        <v>113</v>
      </c>
      <c r="G2560" s="1" t="s">
        <v>113</v>
      </c>
      <c r="H2560" s="1" t="str">
        <f>VLOOKUP(F2560,Countries!$A$1:$B$161,2,0)</f>
        <v>United States of America</v>
      </c>
    </row>
    <row r="2561" spans="1:8" x14ac:dyDescent="0.3">
      <c r="A2561" s="3">
        <v>46254.601145833331</v>
      </c>
      <c r="B2561" s="1">
        <v>2.21</v>
      </c>
      <c r="C2561" s="1">
        <v>1.89</v>
      </c>
      <c r="D2561" s="1">
        <v>0.35</v>
      </c>
      <c r="E2561" s="1" t="s">
        <v>130</v>
      </c>
      <c r="F2561" s="1" t="s">
        <v>130</v>
      </c>
      <c r="G2561" s="1" t="s">
        <v>130</v>
      </c>
      <c r="H2561" s="1" t="str">
        <f>VLOOKUP(F2561,Countries!$A$1:$B$161,2,0)</f>
        <v>Australia</v>
      </c>
    </row>
    <row r="2562" spans="1:8" x14ac:dyDescent="0.3">
      <c r="A2562" s="3">
        <v>46254.60019675926</v>
      </c>
      <c r="B2562" s="1">
        <v>7.77</v>
      </c>
      <c r="C2562" s="1">
        <v>6.65</v>
      </c>
      <c r="D2562" s="1">
        <v>0.48</v>
      </c>
      <c r="E2562" s="1" t="s">
        <v>137</v>
      </c>
      <c r="F2562" s="1" t="s">
        <v>137</v>
      </c>
      <c r="G2562" s="1" t="s">
        <v>137</v>
      </c>
      <c r="H2562" s="1" t="str">
        <f>VLOOKUP(F2562,Countries!$A$1:$B$161,2,0)</f>
        <v>Poland</v>
      </c>
    </row>
    <row r="2563" spans="1:8" x14ac:dyDescent="0.3">
      <c r="A2563" s="3">
        <v>46254.580682870372</v>
      </c>
      <c r="B2563" s="1">
        <v>2.21</v>
      </c>
      <c r="C2563" s="1">
        <v>1.89</v>
      </c>
      <c r="D2563" s="1">
        <v>0.35</v>
      </c>
      <c r="E2563" s="1" t="s">
        <v>171</v>
      </c>
      <c r="F2563" s="1" t="s">
        <v>171</v>
      </c>
      <c r="G2563" s="1" t="s">
        <v>171</v>
      </c>
      <c r="H2563" s="1" t="str">
        <f>VLOOKUP(F2563,Countries!$A$1:$B$161,2,0)</f>
        <v>Korea (South)</v>
      </c>
    </row>
    <row r="2564" spans="1:8" x14ac:dyDescent="0.3">
      <c r="A2564" s="3">
        <v>46254.577951388892</v>
      </c>
      <c r="B2564" s="1">
        <v>10.85</v>
      </c>
      <c r="C2564" s="1">
        <v>9.2799999999999994</v>
      </c>
      <c r="D2564" s="1">
        <v>0.74</v>
      </c>
      <c r="E2564" s="1" t="s">
        <v>115</v>
      </c>
      <c r="F2564" s="1" t="s">
        <v>115</v>
      </c>
      <c r="G2564" s="1" t="s">
        <v>115</v>
      </c>
      <c r="H2564" s="1" t="str">
        <f>VLOOKUP(F2564,Countries!$A$1:$B$161,2,0)</f>
        <v>Switzerland</v>
      </c>
    </row>
    <row r="2565" spans="1:8" x14ac:dyDescent="0.3">
      <c r="A2565" s="3">
        <v>46254.572858796288</v>
      </c>
      <c r="B2565" s="1">
        <v>2.99</v>
      </c>
      <c r="C2565" s="1">
        <v>2.56</v>
      </c>
      <c r="D2565" s="1">
        <v>0.38</v>
      </c>
      <c r="E2565" s="1" t="s">
        <v>130</v>
      </c>
      <c r="F2565" s="1" t="s">
        <v>130</v>
      </c>
      <c r="G2565" s="1" t="s">
        <v>130</v>
      </c>
      <c r="H2565" s="1" t="str">
        <f>VLOOKUP(F2565,Countries!$A$1:$B$161,2,0)</f>
        <v>Australia</v>
      </c>
    </row>
    <row r="2566" spans="1:8" x14ac:dyDescent="0.3">
      <c r="A2566" s="3">
        <v>46254.569548611107</v>
      </c>
      <c r="B2566" s="1">
        <v>1.99</v>
      </c>
      <c r="C2566" s="1">
        <v>1.7</v>
      </c>
      <c r="D2566" s="1">
        <v>0.31</v>
      </c>
      <c r="E2566" s="1" t="s">
        <v>113</v>
      </c>
      <c r="F2566" s="1" t="s">
        <v>113</v>
      </c>
      <c r="G2566" s="1" t="s">
        <v>113</v>
      </c>
      <c r="H2566" s="1" t="str">
        <f>VLOOKUP(F2566,Countries!$A$1:$B$161,2,0)</f>
        <v>United States of America</v>
      </c>
    </row>
    <row r="2567" spans="1:8" x14ac:dyDescent="0.3">
      <c r="A2567" s="3">
        <v>46254.568437499998</v>
      </c>
      <c r="B2567" s="1">
        <v>6.37</v>
      </c>
      <c r="C2567" s="1">
        <v>5.45</v>
      </c>
      <c r="D2567" s="1">
        <v>0.54</v>
      </c>
      <c r="E2567" s="1" t="s">
        <v>113</v>
      </c>
      <c r="F2567" s="1" t="s">
        <v>113</v>
      </c>
      <c r="G2567" s="1" t="s">
        <v>113</v>
      </c>
      <c r="H2567" s="1" t="str">
        <f>VLOOKUP(F2567,Countries!$A$1:$B$161,2,0)</f>
        <v>United States of America</v>
      </c>
    </row>
    <row r="2568" spans="1:8" x14ac:dyDescent="0.3">
      <c r="A2568" s="3">
        <v>46254.558009259257</v>
      </c>
      <c r="B2568" s="1">
        <v>12.48</v>
      </c>
      <c r="C2568" s="1">
        <v>10.68</v>
      </c>
      <c r="D2568" s="1">
        <v>0.73</v>
      </c>
      <c r="E2568" s="1" t="s">
        <v>119</v>
      </c>
      <c r="F2568" s="1" t="s">
        <v>119</v>
      </c>
      <c r="G2568" s="1" t="s">
        <v>119</v>
      </c>
      <c r="H2568" s="1" t="str">
        <f>VLOOKUP(F2568,Countries!$A$1:$B$161,2,0)</f>
        <v>Great Britain (United Kingdom)</v>
      </c>
    </row>
    <row r="2569" spans="1:8" x14ac:dyDescent="0.3">
      <c r="A2569" s="3">
        <v>46254.538229166668</v>
      </c>
      <c r="B2569" s="1">
        <v>7.77</v>
      </c>
      <c r="C2569" s="1">
        <v>6.65</v>
      </c>
      <c r="D2569" s="1">
        <v>0.48</v>
      </c>
      <c r="E2569" s="1" t="s">
        <v>137</v>
      </c>
      <c r="F2569" s="1" t="s">
        <v>137</v>
      </c>
      <c r="G2569" s="1" t="s">
        <v>137</v>
      </c>
      <c r="H2569" s="1" t="str">
        <f>VLOOKUP(F2569,Countries!$A$1:$B$161,2,0)</f>
        <v>Poland</v>
      </c>
    </row>
    <row r="2570" spans="1:8" x14ac:dyDescent="0.3">
      <c r="A2570" s="3">
        <v>46254.537812499999</v>
      </c>
      <c r="B2570" s="1">
        <v>2.99</v>
      </c>
      <c r="C2570" s="1">
        <v>2.56</v>
      </c>
      <c r="D2570" s="1">
        <v>0.38</v>
      </c>
      <c r="E2570" s="1" t="s">
        <v>113</v>
      </c>
      <c r="F2570" s="1" t="s">
        <v>113</v>
      </c>
      <c r="G2570" s="1" t="s">
        <v>113</v>
      </c>
      <c r="H2570" s="1" t="str">
        <f>VLOOKUP(F2570,Countries!$A$1:$B$161,2,0)</f>
        <v>United States of America</v>
      </c>
    </row>
    <row r="2571" spans="1:8" x14ac:dyDescent="0.3">
      <c r="A2571" s="3">
        <v>46254.532881944448</v>
      </c>
      <c r="B2571" s="1">
        <v>2.09</v>
      </c>
      <c r="C2571" s="1">
        <v>1.79</v>
      </c>
      <c r="D2571" s="1">
        <v>0.35</v>
      </c>
      <c r="E2571" s="1" t="s">
        <v>132</v>
      </c>
      <c r="F2571" s="1" t="s">
        <v>132</v>
      </c>
      <c r="G2571" s="1" t="s">
        <v>132</v>
      </c>
      <c r="H2571" s="1" t="str">
        <f>VLOOKUP(F2571,Countries!$A$1:$B$161,2,0)</f>
        <v>Canada</v>
      </c>
    </row>
    <row r="2572" spans="1:8" x14ac:dyDescent="0.3">
      <c r="A2572" s="3">
        <v>46254.531631944446</v>
      </c>
      <c r="B2572" s="1">
        <v>10.85</v>
      </c>
      <c r="C2572" s="1">
        <v>9.2899999999999991</v>
      </c>
      <c r="D2572" s="1">
        <v>0.74</v>
      </c>
      <c r="E2572" s="1" t="s">
        <v>115</v>
      </c>
      <c r="F2572" s="1" t="s">
        <v>115</v>
      </c>
      <c r="G2572" s="1" t="s">
        <v>115</v>
      </c>
      <c r="H2572" s="1" t="str">
        <f>VLOOKUP(F2572,Countries!$A$1:$B$161,2,0)</f>
        <v>Switzerland</v>
      </c>
    </row>
    <row r="2573" spans="1:8" x14ac:dyDescent="0.3">
      <c r="A2573" s="3">
        <v>46254.525671296287</v>
      </c>
      <c r="B2573" s="1">
        <v>14.77</v>
      </c>
      <c r="C2573" s="1">
        <v>12.64</v>
      </c>
      <c r="D2573" s="1">
        <v>0.91</v>
      </c>
      <c r="E2573" s="1" t="s">
        <v>183</v>
      </c>
      <c r="F2573" s="1" t="s">
        <v>183</v>
      </c>
      <c r="G2573" s="1" t="s">
        <v>183</v>
      </c>
      <c r="H2573" s="1" t="str">
        <f>VLOOKUP(F2573,Countries!$A$1:$B$161,2,0)</f>
        <v>Malaysia</v>
      </c>
    </row>
    <row r="2574" spans="1:8" x14ac:dyDescent="0.3">
      <c r="A2574" s="3">
        <v>46254.523935185192</v>
      </c>
      <c r="B2574" s="1">
        <v>6.37</v>
      </c>
      <c r="C2574" s="1">
        <v>5.45</v>
      </c>
      <c r="D2574" s="1">
        <v>0.54</v>
      </c>
      <c r="E2574" s="1" t="s">
        <v>113</v>
      </c>
      <c r="F2574" s="1" t="s">
        <v>113</v>
      </c>
      <c r="G2574" s="1" t="s">
        <v>113</v>
      </c>
      <c r="H2574" s="1" t="str">
        <f>VLOOKUP(F2574,Countries!$A$1:$B$161,2,0)</f>
        <v>United States of America</v>
      </c>
    </row>
    <row r="2575" spans="1:8" x14ac:dyDescent="0.3">
      <c r="A2575" s="3">
        <v>46254.523240740738</v>
      </c>
      <c r="B2575" s="1">
        <v>10.85</v>
      </c>
      <c r="C2575" s="1">
        <v>9.2899999999999991</v>
      </c>
      <c r="D2575" s="1">
        <v>0.74</v>
      </c>
      <c r="E2575" s="1" t="s">
        <v>115</v>
      </c>
      <c r="F2575" s="1" t="s">
        <v>115</v>
      </c>
      <c r="G2575" s="1" t="s">
        <v>115</v>
      </c>
      <c r="H2575" s="1" t="str">
        <f>VLOOKUP(F2575,Countries!$A$1:$B$161,2,0)</f>
        <v>Switzerland</v>
      </c>
    </row>
    <row r="2576" spans="1:8" x14ac:dyDescent="0.3">
      <c r="A2576" s="3">
        <v>46254.513009259259</v>
      </c>
      <c r="B2576" s="1">
        <v>12.8</v>
      </c>
      <c r="C2576" s="1">
        <v>10.95</v>
      </c>
      <c r="D2576" s="1">
        <v>0.63</v>
      </c>
      <c r="E2576" s="1" t="s">
        <v>124</v>
      </c>
      <c r="F2576" s="1" t="s">
        <v>124</v>
      </c>
      <c r="G2576" s="1" t="s">
        <v>124</v>
      </c>
      <c r="H2576" s="1" t="str">
        <f>VLOOKUP(F2576,Countries!$A$1:$B$161,2,0)</f>
        <v>Italy</v>
      </c>
    </row>
    <row r="2577" spans="1:8" x14ac:dyDescent="0.3">
      <c r="A2577" s="3">
        <v>46254.501944444448</v>
      </c>
      <c r="B2577" s="1">
        <v>6.37</v>
      </c>
      <c r="C2577" s="1">
        <v>5.45</v>
      </c>
      <c r="D2577" s="1">
        <v>0.54</v>
      </c>
      <c r="E2577" s="1" t="s">
        <v>113</v>
      </c>
      <c r="F2577" s="1" t="s">
        <v>113</v>
      </c>
      <c r="G2577" s="1" t="s">
        <v>113</v>
      </c>
      <c r="H2577" s="1" t="str">
        <f>VLOOKUP(F2577,Countries!$A$1:$B$161,2,0)</f>
        <v>United States of America</v>
      </c>
    </row>
    <row r="2578" spans="1:8" x14ac:dyDescent="0.3">
      <c r="A2578" s="3">
        <v>46254.500243055547</v>
      </c>
      <c r="B2578" s="1">
        <v>10.62</v>
      </c>
      <c r="C2578" s="1">
        <v>9.08</v>
      </c>
      <c r="D2578" s="1">
        <v>0.73</v>
      </c>
      <c r="E2578" s="1" t="s">
        <v>183</v>
      </c>
      <c r="F2578" s="1" t="s">
        <v>183</v>
      </c>
      <c r="G2578" s="1" t="s">
        <v>183</v>
      </c>
      <c r="H2578" s="1" t="str">
        <f>VLOOKUP(F2578,Countries!$A$1:$B$161,2,0)</f>
        <v>Malaysia</v>
      </c>
    </row>
    <row r="2579" spans="1:8" x14ac:dyDescent="0.3">
      <c r="A2579" s="3">
        <v>46254.495775462958</v>
      </c>
      <c r="B2579" s="1">
        <v>6.37</v>
      </c>
      <c r="C2579" s="1">
        <v>5.45</v>
      </c>
      <c r="D2579" s="1">
        <v>0.54</v>
      </c>
      <c r="E2579" s="1" t="s">
        <v>183</v>
      </c>
      <c r="F2579" s="1" t="s">
        <v>183</v>
      </c>
      <c r="G2579" s="1" t="s">
        <v>183</v>
      </c>
      <c r="H2579" s="1" t="str">
        <f>VLOOKUP(F2579,Countries!$A$1:$B$161,2,0)</f>
        <v>Malaysia</v>
      </c>
    </row>
    <row r="2580" spans="1:8" x14ac:dyDescent="0.3">
      <c r="A2580" s="3">
        <v>46254.49391203704</v>
      </c>
      <c r="B2580" s="1">
        <v>61.65</v>
      </c>
      <c r="C2580" s="1">
        <v>52.71</v>
      </c>
      <c r="D2580" s="1">
        <v>3.01</v>
      </c>
      <c r="E2580" s="1" t="s">
        <v>130</v>
      </c>
      <c r="F2580" s="1" t="s">
        <v>130</v>
      </c>
      <c r="G2580" s="1" t="s">
        <v>130</v>
      </c>
      <c r="H2580" s="1" t="str">
        <f>VLOOKUP(F2580,Countries!$A$1:$B$161,2,0)</f>
        <v>Australia</v>
      </c>
    </row>
    <row r="2581" spans="1:8" x14ac:dyDescent="0.3">
      <c r="A2581" s="3">
        <v>46254.485949074071</v>
      </c>
      <c r="B2581" s="1">
        <v>10.62</v>
      </c>
      <c r="C2581" s="1">
        <v>9.08</v>
      </c>
      <c r="D2581" s="1">
        <v>0.73</v>
      </c>
      <c r="E2581" s="1" t="s">
        <v>113</v>
      </c>
      <c r="F2581" s="1" t="s">
        <v>113</v>
      </c>
      <c r="G2581" s="1" t="s">
        <v>113</v>
      </c>
      <c r="H2581" s="1" t="str">
        <f>VLOOKUP(F2581,Countries!$A$1:$B$161,2,0)</f>
        <v>United States of America</v>
      </c>
    </row>
    <row r="2582" spans="1:8" x14ac:dyDescent="0.3">
      <c r="A2582" s="3">
        <v>46254.465775462973</v>
      </c>
      <c r="B2582" s="1">
        <v>6.37</v>
      </c>
      <c r="C2582" s="1">
        <v>5.45</v>
      </c>
      <c r="D2582" s="1">
        <v>0.54</v>
      </c>
      <c r="E2582" s="1" t="s">
        <v>113</v>
      </c>
      <c r="F2582" s="1" t="s">
        <v>113</v>
      </c>
      <c r="G2582" s="1" t="s">
        <v>113</v>
      </c>
      <c r="H2582" s="1" t="str">
        <f>VLOOKUP(F2582,Countries!$A$1:$B$161,2,0)</f>
        <v>United States of America</v>
      </c>
    </row>
    <row r="2583" spans="1:8" x14ac:dyDescent="0.3">
      <c r="A2583" s="3">
        <v>46254.460648148153</v>
      </c>
      <c r="B2583" s="1">
        <v>17.010000000000002</v>
      </c>
      <c r="C2583" s="1">
        <v>14.54</v>
      </c>
      <c r="D2583" s="1">
        <v>1.01</v>
      </c>
      <c r="E2583" s="1" t="s">
        <v>113</v>
      </c>
      <c r="F2583" s="1" t="s">
        <v>113</v>
      </c>
      <c r="G2583" s="1" t="s">
        <v>113</v>
      </c>
      <c r="H2583" s="1" t="str">
        <f>VLOOKUP(F2583,Countries!$A$1:$B$161,2,0)</f>
        <v>United States of America</v>
      </c>
    </row>
    <row r="2584" spans="1:8" x14ac:dyDescent="0.3">
      <c r="A2584" s="3">
        <v>46254.459976851853</v>
      </c>
      <c r="B2584" s="1">
        <v>5.99</v>
      </c>
      <c r="C2584" s="1">
        <v>5.12</v>
      </c>
      <c r="D2584" s="1">
        <v>0.52</v>
      </c>
      <c r="E2584" s="1" t="s">
        <v>169</v>
      </c>
      <c r="F2584" s="1" t="s">
        <v>169</v>
      </c>
      <c r="G2584" s="1" t="s">
        <v>169</v>
      </c>
      <c r="H2584" s="1" t="str">
        <f>VLOOKUP(F2584,Countries!$A$1:$B$161,2,0)</f>
        <v>Sri Lanka</v>
      </c>
    </row>
    <row r="2585" spans="1:8" x14ac:dyDescent="0.3">
      <c r="A2585" s="3">
        <v>46254.455231481479</v>
      </c>
      <c r="B2585" s="1">
        <v>19.98</v>
      </c>
      <c r="C2585" s="1">
        <v>17.07</v>
      </c>
      <c r="D2585" s="1">
        <v>0.85</v>
      </c>
      <c r="E2585" s="1" t="s">
        <v>113</v>
      </c>
      <c r="F2585" s="1" t="s">
        <v>113</v>
      </c>
      <c r="G2585" s="1" t="s">
        <v>113</v>
      </c>
      <c r="H2585" s="1" t="str">
        <f>VLOOKUP(F2585,Countries!$A$1:$B$161,2,0)</f>
        <v>United States of America</v>
      </c>
    </row>
    <row r="2586" spans="1:8" x14ac:dyDescent="0.3">
      <c r="A2586" s="3">
        <v>46254.453611111108</v>
      </c>
      <c r="B2586" s="1">
        <v>10.62</v>
      </c>
      <c r="C2586" s="1">
        <v>9.07</v>
      </c>
      <c r="D2586" s="1">
        <v>0.72</v>
      </c>
      <c r="E2586" s="1" t="s">
        <v>113</v>
      </c>
      <c r="F2586" s="1" t="s">
        <v>113</v>
      </c>
      <c r="G2586" s="1" t="s">
        <v>113</v>
      </c>
      <c r="H2586" s="1" t="str">
        <f>VLOOKUP(F2586,Countries!$A$1:$B$161,2,0)</f>
        <v>United States of America</v>
      </c>
    </row>
    <row r="2587" spans="1:8" x14ac:dyDescent="0.3">
      <c r="A2587" s="3">
        <v>46254.447094907409</v>
      </c>
      <c r="B2587" s="1">
        <v>1.99</v>
      </c>
      <c r="C2587" s="1">
        <v>1.7</v>
      </c>
      <c r="D2587" s="1">
        <v>0.34</v>
      </c>
      <c r="E2587" s="1" t="s">
        <v>202</v>
      </c>
      <c r="F2587" s="1" t="s">
        <v>202</v>
      </c>
      <c r="G2587" s="1" t="s">
        <v>202</v>
      </c>
      <c r="H2587" s="1" t="str">
        <f>VLOOKUP(F2587,Countries!$A$1:$B$161,2,0)</f>
        <v>Lebanon</v>
      </c>
    </row>
    <row r="2588" spans="1:8" x14ac:dyDescent="0.3">
      <c r="A2588" s="3">
        <v>46254.445</v>
      </c>
      <c r="B2588" s="1">
        <v>21.27</v>
      </c>
      <c r="C2588" s="1">
        <v>18.170000000000002</v>
      </c>
      <c r="D2588" s="1">
        <v>1.2</v>
      </c>
      <c r="E2588" s="1" t="s">
        <v>113</v>
      </c>
      <c r="F2588" s="1" t="s">
        <v>113</v>
      </c>
      <c r="G2588" s="1" t="s">
        <v>113</v>
      </c>
      <c r="H2588" s="1" t="str">
        <f>VLOOKUP(F2588,Countries!$A$1:$B$161,2,0)</f>
        <v>United States of America</v>
      </c>
    </row>
    <row r="2589" spans="1:8" x14ac:dyDescent="0.3">
      <c r="A2589" s="3">
        <v>46254.444444444453</v>
      </c>
      <c r="B2589" s="1">
        <v>21.27</v>
      </c>
      <c r="C2589" s="1">
        <v>18.170000000000002</v>
      </c>
      <c r="D2589" s="1">
        <v>1.2</v>
      </c>
      <c r="E2589" s="1" t="s">
        <v>113</v>
      </c>
      <c r="F2589" s="1" t="s">
        <v>113</v>
      </c>
      <c r="G2589" s="1" t="s">
        <v>113</v>
      </c>
      <c r="H2589" s="1" t="str">
        <f>VLOOKUP(F2589,Countries!$A$1:$B$161,2,0)</f>
        <v>United States of America</v>
      </c>
    </row>
    <row r="2590" spans="1:8" x14ac:dyDescent="0.3">
      <c r="A2590" s="3">
        <v>46254.435300925928</v>
      </c>
      <c r="B2590" s="1">
        <v>20.239999999999998</v>
      </c>
      <c r="C2590" s="1">
        <v>17.29</v>
      </c>
      <c r="D2590" s="1">
        <v>0.86</v>
      </c>
      <c r="E2590" s="1" t="s">
        <v>151</v>
      </c>
      <c r="F2590" s="1" t="s">
        <v>151</v>
      </c>
      <c r="G2590" s="1" t="s">
        <v>151</v>
      </c>
      <c r="H2590" s="1" t="str">
        <f>VLOOKUP(F2590,Countries!$A$1:$B$161,2,0)</f>
        <v>Netherlands (Holland)</v>
      </c>
    </row>
    <row r="2591" spans="1:8" x14ac:dyDescent="0.3">
      <c r="A2591" s="3">
        <v>46254.432430555556</v>
      </c>
      <c r="B2591" s="1">
        <v>6.37</v>
      </c>
      <c r="C2591" s="1">
        <v>5.44</v>
      </c>
      <c r="D2591" s="1">
        <v>0.54</v>
      </c>
      <c r="E2591" s="1" t="s">
        <v>113</v>
      </c>
      <c r="F2591" s="1" t="s">
        <v>113</v>
      </c>
      <c r="G2591" s="1" t="s">
        <v>113</v>
      </c>
      <c r="H2591" s="1" t="str">
        <f>VLOOKUP(F2591,Countries!$A$1:$B$161,2,0)</f>
        <v>United States of America</v>
      </c>
    </row>
    <row r="2592" spans="1:8" x14ac:dyDescent="0.3">
      <c r="A2592" s="3">
        <v>46254.432430555556</v>
      </c>
      <c r="B2592" s="1">
        <v>69.36</v>
      </c>
      <c r="C2592" s="1">
        <v>59.25</v>
      </c>
      <c r="D2592" s="1">
        <v>2.33</v>
      </c>
      <c r="E2592" s="1" t="s">
        <v>113</v>
      </c>
      <c r="F2592" s="1" t="s">
        <v>113</v>
      </c>
      <c r="G2592" s="1" t="s">
        <v>113</v>
      </c>
      <c r="H2592" s="1" t="str">
        <f>VLOOKUP(F2592,Countries!$A$1:$B$161,2,0)</f>
        <v>United States of America</v>
      </c>
    </row>
    <row r="2593" spans="1:8" x14ac:dyDescent="0.3">
      <c r="A2593" s="3">
        <v>46254.410208333327</v>
      </c>
      <c r="B2593" s="1">
        <v>69.36</v>
      </c>
      <c r="C2593" s="1">
        <v>59.29</v>
      </c>
      <c r="D2593" s="1">
        <v>2.33</v>
      </c>
      <c r="E2593" s="1" t="s">
        <v>113</v>
      </c>
      <c r="F2593" s="1" t="s">
        <v>113</v>
      </c>
      <c r="G2593" s="1" t="s">
        <v>113</v>
      </c>
      <c r="H2593" s="1" t="str">
        <f>VLOOKUP(F2593,Countries!$A$1:$B$161,2,0)</f>
        <v>United States of America</v>
      </c>
    </row>
    <row r="2594" spans="1:8" x14ac:dyDescent="0.3">
      <c r="A2594" s="3">
        <v>46254.401064814818</v>
      </c>
      <c r="B2594" s="1">
        <v>17.37</v>
      </c>
      <c r="C2594" s="1">
        <v>14.85</v>
      </c>
      <c r="D2594" s="1">
        <v>0.77</v>
      </c>
      <c r="E2594" s="1" t="s">
        <v>113</v>
      </c>
      <c r="F2594" s="1" t="s">
        <v>113</v>
      </c>
      <c r="G2594" s="1" t="s">
        <v>113</v>
      </c>
      <c r="H2594" s="1" t="str">
        <f>VLOOKUP(F2594,Countries!$A$1:$B$161,2,0)</f>
        <v>United States of America</v>
      </c>
    </row>
    <row r="2595" spans="1:8" x14ac:dyDescent="0.3">
      <c r="A2595" s="3">
        <v>46254.399236111109</v>
      </c>
      <c r="B2595" s="1">
        <v>1.99</v>
      </c>
      <c r="C2595" s="1">
        <v>1.7</v>
      </c>
      <c r="D2595" s="1">
        <v>0.31</v>
      </c>
      <c r="E2595" s="1" t="s">
        <v>125</v>
      </c>
      <c r="F2595" s="1" t="s">
        <v>125</v>
      </c>
      <c r="G2595" s="1" t="s">
        <v>125</v>
      </c>
      <c r="H2595" s="1" t="str">
        <f>VLOOKUP(F2595,Countries!$A$1:$B$161,2,0)</f>
        <v>Norway</v>
      </c>
    </row>
    <row r="2596" spans="1:8" x14ac:dyDescent="0.3">
      <c r="A2596" s="3">
        <v>46254.397673611107</v>
      </c>
      <c r="B2596" s="1">
        <v>7.39</v>
      </c>
      <c r="C2596" s="1">
        <v>6.32</v>
      </c>
      <c r="D2596" s="1">
        <v>0.47</v>
      </c>
      <c r="E2596" s="1" t="s">
        <v>147</v>
      </c>
      <c r="F2596" s="1" t="s">
        <v>147</v>
      </c>
      <c r="G2596" s="1" t="s">
        <v>147</v>
      </c>
      <c r="H2596" s="1" t="str">
        <f>VLOOKUP(F2596,Countries!$A$1:$B$161,2,0)</f>
        <v>Germany</v>
      </c>
    </row>
    <row r="2597" spans="1:8" x14ac:dyDescent="0.3">
      <c r="A2597" s="3">
        <v>46254.391064814823</v>
      </c>
      <c r="B2597" s="1">
        <v>7.77</v>
      </c>
      <c r="C2597" s="1">
        <v>6.64</v>
      </c>
      <c r="D2597" s="1">
        <v>0.48</v>
      </c>
      <c r="E2597" s="1" t="s">
        <v>137</v>
      </c>
      <c r="F2597" s="1" t="s">
        <v>137</v>
      </c>
      <c r="G2597" s="1" t="s">
        <v>137</v>
      </c>
      <c r="H2597" s="1" t="str">
        <f>VLOOKUP(F2597,Countries!$A$1:$B$161,2,0)</f>
        <v>Poland</v>
      </c>
    </row>
    <row r="2598" spans="1:8" x14ac:dyDescent="0.3">
      <c r="A2598" s="3">
        <v>46254.388414351852</v>
      </c>
      <c r="B2598" s="1">
        <v>2.48</v>
      </c>
      <c r="C2598" s="1">
        <v>2.12</v>
      </c>
      <c r="D2598" s="1">
        <v>0.34</v>
      </c>
      <c r="E2598" s="1" t="s">
        <v>119</v>
      </c>
      <c r="F2598" s="1" t="s">
        <v>119</v>
      </c>
      <c r="G2598" s="1" t="s">
        <v>119</v>
      </c>
      <c r="H2598" s="1" t="str">
        <f>VLOOKUP(F2598,Countries!$A$1:$B$161,2,0)</f>
        <v>Great Britain (United Kingdom)</v>
      </c>
    </row>
    <row r="2599" spans="1:8" x14ac:dyDescent="0.3">
      <c r="A2599" s="3">
        <v>46254.380324074067</v>
      </c>
      <c r="B2599" s="1">
        <v>15.44</v>
      </c>
      <c r="C2599" s="1">
        <v>13.2</v>
      </c>
      <c r="D2599" s="1">
        <v>0.94</v>
      </c>
      <c r="E2599" s="1" t="s">
        <v>130</v>
      </c>
      <c r="F2599" s="1" t="s">
        <v>130</v>
      </c>
      <c r="G2599" s="1" t="s">
        <v>130</v>
      </c>
      <c r="H2599" s="1" t="str">
        <f>VLOOKUP(F2599,Countries!$A$1:$B$161,2,0)</f>
        <v>Australia</v>
      </c>
    </row>
    <row r="2600" spans="1:8" x14ac:dyDescent="0.3">
      <c r="A2600" s="3">
        <v>46254.376319444447</v>
      </c>
      <c r="B2600" s="1">
        <v>15.43</v>
      </c>
      <c r="C2600" s="1">
        <v>13.2</v>
      </c>
      <c r="D2600" s="1">
        <v>0.94</v>
      </c>
      <c r="E2600" s="1" t="s">
        <v>130</v>
      </c>
      <c r="F2600" s="1" t="s">
        <v>130</v>
      </c>
      <c r="G2600" s="1" t="s">
        <v>130</v>
      </c>
      <c r="H2600" s="1" t="str">
        <f>VLOOKUP(F2600,Countries!$A$1:$B$161,2,0)</f>
        <v>Australia</v>
      </c>
    </row>
    <row r="2601" spans="1:8" x14ac:dyDescent="0.3">
      <c r="A2601" s="3">
        <v>46254.365370370368</v>
      </c>
      <c r="B2601" s="1">
        <v>17.36</v>
      </c>
      <c r="C2601" s="1">
        <v>14.85</v>
      </c>
      <c r="D2601" s="1">
        <v>0.77</v>
      </c>
      <c r="E2601" s="1" t="s">
        <v>113</v>
      </c>
      <c r="F2601" s="1" t="s">
        <v>113</v>
      </c>
      <c r="G2601" s="1" t="s">
        <v>113</v>
      </c>
      <c r="H2601" s="1" t="str">
        <f>VLOOKUP(F2601,Countries!$A$1:$B$161,2,0)</f>
        <v>United States of America</v>
      </c>
    </row>
    <row r="2602" spans="1:8" x14ac:dyDescent="0.3">
      <c r="A2602" s="3">
        <v>46254.332615740743</v>
      </c>
      <c r="B2602" s="1">
        <v>2.4500000000000002</v>
      </c>
      <c r="C2602" s="1">
        <v>2.1</v>
      </c>
      <c r="D2602" s="1">
        <v>0.32</v>
      </c>
      <c r="E2602" s="1" t="s">
        <v>147</v>
      </c>
      <c r="F2602" s="1" t="s">
        <v>147</v>
      </c>
      <c r="G2602" s="1" t="s">
        <v>147</v>
      </c>
      <c r="H2602" s="1" t="str">
        <f>VLOOKUP(F2602,Countries!$A$1:$B$161,2,0)</f>
        <v>Germany</v>
      </c>
    </row>
    <row r="2603" spans="1:8" x14ac:dyDescent="0.3">
      <c r="A2603" s="3">
        <v>46254.330775462957</v>
      </c>
      <c r="B2603" s="1">
        <v>6.3</v>
      </c>
      <c r="C2603" s="1">
        <v>5.39</v>
      </c>
      <c r="D2603" s="1">
        <v>0.54</v>
      </c>
      <c r="E2603" s="1" t="s">
        <v>132</v>
      </c>
      <c r="F2603" s="1" t="s">
        <v>132</v>
      </c>
      <c r="G2603" s="1" t="s">
        <v>132</v>
      </c>
      <c r="H2603" s="1" t="str">
        <f>VLOOKUP(F2603,Countries!$A$1:$B$161,2,0)</f>
        <v>Canada</v>
      </c>
    </row>
    <row r="2604" spans="1:8" x14ac:dyDescent="0.3">
      <c r="A2604" s="3">
        <v>46254.330300925933</v>
      </c>
      <c r="B2604" s="1">
        <v>43.43</v>
      </c>
      <c r="C2604" s="1">
        <v>37.159999999999997</v>
      </c>
      <c r="D2604" s="1">
        <v>1.55</v>
      </c>
      <c r="E2604" s="1" t="s">
        <v>113</v>
      </c>
      <c r="F2604" s="1" t="s">
        <v>113</v>
      </c>
      <c r="G2604" s="1" t="s">
        <v>113</v>
      </c>
      <c r="H2604" s="1" t="str">
        <f>VLOOKUP(F2604,Countries!$A$1:$B$161,2,0)</f>
        <v>United States of America</v>
      </c>
    </row>
    <row r="2605" spans="1:8" x14ac:dyDescent="0.3">
      <c r="A2605" s="3">
        <v>46254.329918981479</v>
      </c>
      <c r="B2605" s="1">
        <v>12.48</v>
      </c>
      <c r="C2605" s="1">
        <v>10.68</v>
      </c>
      <c r="D2605" s="1">
        <v>0.62</v>
      </c>
      <c r="E2605" s="1" t="s">
        <v>123</v>
      </c>
      <c r="F2605" s="1" t="s">
        <v>123</v>
      </c>
      <c r="G2605" s="1" t="s">
        <v>123</v>
      </c>
      <c r="H2605" s="1" t="str">
        <f>VLOOKUP(F2605,Countries!$A$1:$B$161,2,0)</f>
        <v>France</v>
      </c>
    </row>
    <row r="2606" spans="1:8" x14ac:dyDescent="0.3">
      <c r="A2606" s="3">
        <v>46254.324456018519</v>
      </c>
      <c r="B2606" s="1">
        <v>7.48</v>
      </c>
      <c r="C2606" s="1">
        <v>6.4</v>
      </c>
      <c r="D2606" s="1">
        <v>0.48</v>
      </c>
      <c r="E2606" s="1" t="s">
        <v>123</v>
      </c>
      <c r="F2606" s="1" t="s">
        <v>123</v>
      </c>
      <c r="G2606" s="1" t="s">
        <v>123</v>
      </c>
      <c r="H2606" s="1" t="str">
        <f>VLOOKUP(F2606,Countries!$A$1:$B$161,2,0)</f>
        <v>France</v>
      </c>
    </row>
    <row r="2607" spans="1:8" x14ac:dyDescent="0.3">
      <c r="A2607" s="3">
        <v>46254.321435185193</v>
      </c>
      <c r="B2607" s="1">
        <v>20.48</v>
      </c>
      <c r="C2607" s="1">
        <v>17.53</v>
      </c>
      <c r="D2607" s="1">
        <v>1.17</v>
      </c>
      <c r="E2607" s="1" t="s">
        <v>132</v>
      </c>
      <c r="F2607" s="1" t="s">
        <v>132</v>
      </c>
      <c r="G2607" s="1" t="s">
        <v>132</v>
      </c>
      <c r="H2607" s="1" t="str">
        <f>VLOOKUP(F2607,Countries!$A$1:$B$161,2,0)</f>
        <v>Canada</v>
      </c>
    </row>
    <row r="2608" spans="1:8" x14ac:dyDescent="0.3">
      <c r="A2608" s="3">
        <v>46254.31927083333</v>
      </c>
      <c r="B2608" s="1">
        <v>6.3</v>
      </c>
      <c r="C2608" s="1">
        <v>5.39</v>
      </c>
      <c r="D2608" s="1">
        <v>0.54</v>
      </c>
      <c r="E2608" s="1" t="s">
        <v>132</v>
      </c>
      <c r="F2608" s="1" t="s">
        <v>132</v>
      </c>
      <c r="G2608" s="1" t="s">
        <v>132</v>
      </c>
      <c r="H2608" s="1" t="str">
        <f>VLOOKUP(F2608,Countries!$A$1:$B$161,2,0)</f>
        <v>Canada</v>
      </c>
    </row>
    <row r="2609" spans="1:8" x14ac:dyDescent="0.3">
      <c r="A2609" s="3">
        <v>46254.316701388889</v>
      </c>
      <c r="B2609" s="1">
        <v>2.61</v>
      </c>
      <c r="C2609" s="1">
        <v>2.23</v>
      </c>
      <c r="D2609" s="1">
        <v>0.32</v>
      </c>
      <c r="E2609" s="1" t="s">
        <v>201</v>
      </c>
      <c r="F2609" s="1" t="s">
        <v>201</v>
      </c>
      <c r="G2609" s="1" t="s">
        <v>201</v>
      </c>
      <c r="H2609" s="1" t="str">
        <f>VLOOKUP(F2609,Countries!$A$1:$B$161,2,0)</f>
        <v>Greece</v>
      </c>
    </row>
    <row r="2610" spans="1:8" x14ac:dyDescent="0.3">
      <c r="A2610" s="3">
        <v>46254.310729166667</v>
      </c>
      <c r="B2610" s="1">
        <v>4.24</v>
      </c>
      <c r="C2610" s="1">
        <v>3.63</v>
      </c>
      <c r="D2610" s="1">
        <v>0.44</v>
      </c>
      <c r="E2610" s="1" t="s">
        <v>113</v>
      </c>
      <c r="F2610" s="1" t="s">
        <v>113</v>
      </c>
      <c r="G2610" s="1" t="s">
        <v>113</v>
      </c>
      <c r="H2610" s="1" t="str">
        <f>VLOOKUP(F2610,Countries!$A$1:$B$161,2,0)</f>
        <v>United States of America</v>
      </c>
    </row>
    <row r="2611" spans="1:8" x14ac:dyDescent="0.3">
      <c r="A2611" s="3">
        <v>46254.310208333343</v>
      </c>
      <c r="B2611" s="1">
        <v>6.37</v>
      </c>
      <c r="C2611" s="1">
        <v>5.45</v>
      </c>
      <c r="D2611" s="1">
        <v>0.54</v>
      </c>
      <c r="E2611" s="1" t="s">
        <v>113</v>
      </c>
      <c r="F2611" s="1" t="s">
        <v>113</v>
      </c>
      <c r="G2611" s="1" t="s">
        <v>113</v>
      </c>
      <c r="H2611" s="1" t="str">
        <f>VLOOKUP(F2611,Countries!$A$1:$B$161,2,0)</f>
        <v>United States of America</v>
      </c>
    </row>
    <row r="2612" spans="1:8" x14ac:dyDescent="0.3">
      <c r="A2612" s="3">
        <v>46254.308796296304</v>
      </c>
      <c r="B2612" s="1">
        <v>1.99</v>
      </c>
      <c r="C2612" s="1">
        <v>1.7</v>
      </c>
      <c r="D2612" s="1">
        <v>0.34</v>
      </c>
      <c r="E2612" s="1" t="s">
        <v>126</v>
      </c>
      <c r="F2612" s="1" t="s">
        <v>126</v>
      </c>
      <c r="G2612" s="1" t="s">
        <v>126</v>
      </c>
      <c r="H2612" s="1" t="str">
        <f>VLOOKUP(F2612,Countries!$A$1:$B$161,2,0)</f>
        <v>Cambodia</v>
      </c>
    </row>
    <row r="2613" spans="1:8" x14ac:dyDescent="0.3">
      <c r="A2613" s="3">
        <v>46254.304513888892</v>
      </c>
      <c r="B2613" s="1">
        <v>6.3</v>
      </c>
      <c r="C2613" s="1">
        <v>5.39</v>
      </c>
      <c r="D2613" s="1">
        <v>0.54</v>
      </c>
      <c r="E2613" s="1" t="s">
        <v>132</v>
      </c>
      <c r="F2613" s="1" t="s">
        <v>132</v>
      </c>
      <c r="G2613" s="1" t="s">
        <v>132</v>
      </c>
      <c r="H2613" s="1" t="str">
        <f>VLOOKUP(F2613,Countries!$A$1:$B$161,2,0)</f>
        <v>Canada</v>
      </c>
    </row>
    <row r="2614" spans="1:8" x14ac:dyDescent="0.3">
      <c r="A2614" s="3">
        <v>46254.298796296287</v>
      </c>
      <c r="B2614" s="1">
        <v>14.77</v>
      </c>
      <c r="C2614" s="1">
        <v>12.64</v>
      </c>
      <c r="D2614" s="1">
        <v>0.91</v>
      </c>
      <c r="E2614" s="1" t="s">
        <v>113</v>
      </c>
      <c r="F2614" s="1" t="s">
        <v>113</v>
      </c>
      <c r="G2614" s="1" t="s">
        <v>113</v>
      </c>
      <c r="H2614" s="1" t="str">
        <f>VLOOKUP(F2614,Countries!$A$1:$B$161,2,0)</f>
        <v>United States of America</v>
      </c>
    </row>
    <row r="2615" spans="1:8" x14ac:dyDescent="0.3">
      <c r="A2615" s="3">
        <v>46254.298125000001</v>
      </c>
      <c r="B2615" s="1">
        <v>6.58</v>
      </c>
      <c r="C2615" s="1">
        <v>5.63</v>
      </c>
      <c r="D2615" s="1">
        <v>0.54</v>
      </c>
      <c r="E2615" s="1" t="s">
        <v>152</v>
      </c>
      <c r="F2615" s="1" t="s">
        <v>152</v>
      </c>
      <c r="G2615" s="1" t="s">
        <v>152</v>
      </c>
      <c r="H2615" s="1" t="str">
        <f>VLOOKUP(F2615,Countries!$A$1:$B$161,2,0)</f>
        <v>Singapore</v>
      </c>
    </row>
    <row r="2616" spans="1:8" x14ac:dyDescent="0.3">
      <c r="A2616" s="3">
        <v>46254.297615740739</v>
      </c>
      <c r="B2616" s="1">
        <v>8.5</v>
      </c>
      <c r="C2616" s="1">
        <v>7.27</v>
      </c>
      <c r="D2616" s="1">
        <v>0.64</v>
      </c>
      <c r="E2616" s="1" t="s">
        <v>113</v>
      </c>
      <c r="F2616" s="1" t="s">
        <v>113</v>
      </c>
      <c r="G2616" s="1" t="s">
        <v>113</v>
      </c>
      <c r="H2616" s="1" t="str">
        <f>VLOOKUP(F2616,Countries!$A$1:$B$161,2,0)</f>
        <v>United States of America</v>
      </c>
    </row>
    <row r="2617" spans="1:8" x14ac:dyDescent="0.3">
      <c r="A2617" s="3">
        <v>46254.293078703697</v>
      </c>
      <c r="B2617" s="1">
        <v>5.99</v>
      </c>
      <c r="C2617" s="1">
        <v>5.13</v>
      </c>
      <c r="D2617" s="1">
        <v>0.52</v>
      </c>
      <c r="E2617" s="1" t="s">
        <v>113</v>
      </c>
      <c r="F2617" s="1" t="s">
        <v>113</v>
      </c>
      <c r="G2617" s="1" t="s">
        <v>113</v>
      </c>
      <c r="H2617" s="1" t="str">
        <f>VLOOKUP(F2617,Countries!$A$1:$B$161,2,0)</f>
        <v>United States of America</v>
      </c>
    </row>
    <row r="2618" spans="1:8" x14ac:dyDescent="0.3">
      <c r="A2618" s="3">
        <v>46254.279085648152</v>
      </c>
      <c r="B2618" s="1">
        <v>14.77</v>
      </c>
      <c r="C2618" s="1">
        <v>12.65</v>
      </c>
      <c r="D2618" s="1">
        <v>0.91</v>
      </c>
      <c r="E2618" s="1" t="s">
        <v>113</v>
      </c>
      <c r="F2618" s="1" t="s">
        <v>113</v>
      </c>
      <c r="G2618" s="1" t="s">
        <v>113</v>
      </c>
      <c r="H2618" s="1" t="str">
        <f>VLOOKUP(F2618,Countries!$A$1:$B$161,2,0)</f>
        <v>United States of America</v>
      </c>
    </row>
    <row r="2619" spans="1:8" x14ac:dyDescent="0.3">
      <c r="A2619" s="3">
        <v>46254.271469907413</v>
      </c>
      <c r="B2619" s="1">
        <v>2.48</v>
      </c>
      <c r="C2619" s="1">
        <v>2.12</v>
      </c>
      <c r="D2619" s="1">
        <v>0.32</v>
      </c>
      <c r="E2619" s="1" t="s">
        <v>123</v>
      </c>
      <c r="F2619" s="1" t="s">
        <v>123</v>
      </c>
      <c r="G2619" s="1" t="s">
        <v>123</v>
      </c>
      <c r="H2619" s="1" t="str">
        <f>VLOOKUP(F2619,Countries!$A$1:$B$161,2,0)</f>
        <v>France</v>
      </c>
    </row>
    <row r="2620" spans="1:8" x14ac:dyDescent="0.3">
      <c r="A2620" s="3">
        <v>46254.261921296304</v>
      </c>
      <c r="B2620" s="1">
        <v>6.37</v>
      </c>
      <c r="C2620" s="1">
        <v>5.46</v>
      </c>
      <c r="D2620" s="1">
        <v>0.54</v>
      </c>
      <c r="E2620" s="1" t="s">
        <v>113</v>
      </c>
      <c r="F2620" s="1" t="s">
        <v>113</v>
      </c>
      <c r="G2620" s="1" t="s">
        <v>113</v>
      </c>
      <c r="H2620" s="1" t="str">
        <f>VLOOKUP(F2620,Countries!$A$1:$B$161,2,0)</f>
        <v>United States of America</v>
      </c>
    </row>
    <row r="2621" spans="1:8" x14ac:dyDescent="0.3">
      <c r="A2621" s="3">
        <v>46254.261666666673</v>
      </c>
      <c r="B2621" s="1">
        <v>4.24</v>
      </c>
      <c r="C2621" s="1">
        <v>3.63</v>
      </c>
      <c r="D2621" s="1">
        <v>0.44</v>
      </c>
      <c r="E2621" s="1" t="s">
        <v>113</v>
      </c>
      <c r="F2621" s="1" t="s">
        <v>113</v>
      </c>
      <c r="G2621" s="1" t="s">
        <v>113</v>
      </c>
      <c r="H2621" s="1" t="str">
        <f>VLOOKUP(F2621,Countries!$A$1:$B$161,2,0)</f>
        <v>United States of America</v>
      </c>
    </row>
    <row r="2622" spans="1:8" x14ac:dyDescent="0.3">
      <c r="A2622" s="3">
        <v>46254.26153935185</v>
      </c>
      <c r="B2622" s="1">
        <v>10.63</v>
      </c>
      <c r="C2622" s="1">
        <v>9.1</v>
      </c>
      <c r="D2622" s="1">
        <v>0.73</v>
      </c>
      <c r="E2622" s="1" t="s">
        <v>113</v>
      </c>
      <c r="F2622" s="1" t="s">
        <v>113</v>
      </c>
      <c r="G2622" s="1" t="s">
        <v>113</v>
      </c>
      <c r="H2622" s="1" t="str">
        <f>VLOOKUP(F2622,Countries!$A$1:$B$161,2,0)</f>
        <v>United States of America</v>
      </c>
    </row>
    <row r="2623" spans="1:8" x14ac:dyDescent="0.3">
      <c r="A2623" s="3">
        <v>46254.258819444447</v>
      </c>
      <c r="B2623" s="1">
        <v>6.37</v>
      </c>
      <c r="C2623" s="1">
        <v>5.46</v>
      </c>
      <c r="D2623" s="1">
        <v>0.54</v>
      </c>
      <c r="E2623" s="1" t="s">
        <v>113</v>
      </c>
      <c r="F2623" s="1" t="s">
        <v>113</v>
      </c>
      <c r="G2623" s="1" t="s">
        <v>113</v>
      </c>
      <c r="H2623" s="1" t="str">
        <f>VLOOKUP(F2623,Countries!$A$1:$B$161,2,0)</f>
        <v>United States of America</v>
      </c>
    </row>
    <row r="2624" spans="1:8" x14ac:dyDescent="0.3">
      <c r="A2624" s="3">
        <v>46254.258032407408</v>
      </c>
      <c r="B2624" s="1">
        <v>10.62</v>
      </c>
      <c r="C2624" s="1">
        <v>9.1</v>
      </c>
      <c r="D2624" s="1">
        <v>0.73</v>
      </c>
      <c r="E2624" s="1" t="s">
        <v>113</v>
      </c>
      <c r="F2624" s="1" t="s">
        <v>113</v>
      </c>
      <c r="G2624" s="1" t="s">
        <v>113</v>
      </c>
      <c r="H2624" s="1" t="str">
        <f>VLOOKUP(F2624,Countries!$A$1:$B$161,2,0)</f>
        <v>United States of America</v>
      </c>
    </row>
    <row r="2625" spans="1:8" x14ac:dyDescent="0.3">
      <c r="A2625" s="3">
        <v>46254.256666666668</v>
      </c>
      <c r="B2625" s="1">
        <v>10.85</v>
      </c>
      <c r="C2625" s="1">
        <v>9.2899999999999991</v>
      </c>
      <c r="D2625" s="1">
        <v>0.74</v>
      </c>
      <c r="E2625" s="1" t="s">
        <v>115</v>
      </c>
      <c r="F2625" s="1" t="s">
        <v>115</v>
      </c>
      <c r="G2625" s="1" t="s">
        <v>115</v>
      </c>
      <c r="H2625" s="1" t="str">
        <f>VLOOKUP(F2625,Countries!$A$1:$B$161,2,0)</f>
        <v>Switzerland</v>
      </c>
    </row>
    <row r="2626" spans="1:8" x14ac:dyDescent="0.3">
      <c r="A2626" s="3">
        <v>46254.255949074082</v>
      </c>
      <c r="B2626" s="1">
        <v>10.63</v>
      </c>
      <c r="C2626" s="1">
        <v>9.1</v>
      </c>
      <c r="D2626" s="1">
        <v>0.73</v>
      </c>
      <c r="E2626" s="1" t="s">
        <v>113</v>
      </c>
      <c r="F2626" s="1" t="s">
        <v>113</v>
      </c>
      <c r="G2626" s="1" t="s">
        <v>113</v>
      </c>
      <c r="H2626" s="1" t="str">
        <f>VLOOKUP(F2626,Countries!$A$1:$B$161,2,0)</f>
        <v>United States of America</v>
      </c>
    </row>
    <row r="2627" spans="1:8" x14ac:dyDescent="0.3">
      <c r="A2627" s="3">
        <v>46254.251064814824</v>
      </c>
      <c r="B2627" s="1">
        <v>10.62</v>
      </c>
      <c r="C2627" s="1">
        <v>9.1</v>
      </c>
      <c r="D2627" s="1">
        <v>0.73</v>
      </c>
      <c r="E2627" s="1" t="s">
        <v>113</v>
      </c>
      <c r="F2627" s="1" t="s">
        <v>113</v>
      </c>
      <c r="G2627" s="1" t="s">
        <v>113</v>
      </c>
      <c r="H2627" s="1" t="str">
        <f>VLOOKUP(F2627,Countries!$A$1:$B$161,2,0)</f>
        <v>United States of America</v>
      </c>
    </row>
    <row r="2628" spans="1:8" x14ac:dyDescent="0.3">
      <c r="A2628" s="3">
        <v>46254.250497685192</v>
      </c>
      <c r="B2628" s="1">
        <v>10.85</v>
      </c>
      <c r="C2628" s="1">
        <v>9.2899999999999991</v>
      </c>
      <c r="D2628" s="1">
        <v>0.74</v>
      </c>
      <c r="E2628" s="1" t="s">
        <v>115</v>
      </c>
      <c r="F2628" s="1" t="s">
        <v>115</v>
      </c>
      <c r="G2628" s="1" t="s">
        <v>115</v>
      </c>
      <c r="H2628" s="1" t="str">
        <f>VLOOKUP(F2628,Countries!$A$1:$B$161,2,0)</f>
        <v>Switzerland</v>
      </c>
    </row>
    <row r="2629" spans="1:8" x14ac:dyDescent="0.3">
      <c r="A2629" s="3">
        <v>46254.247106481482</v>
      </c>
      <c r="B2629" s="1">
        <v>47.87</v>
      </c>
      <c r="C2629" s="1">
        <v>41</v>
      </c>
      <c r="D2629" s="1">
        <v>2.4</v>
      </c>
      <c r="E2629" s="1" t="s">
        <v>113</v>
      </c>
      <c r="F2629" s="1" t="s">
        <v>113</v>
      </c>
      <c r="G2629" s="1" t="s">
        <v>113</v>
      </c>
      <c r="H2629" s="1" t="str">
        <f>VLOOKUP(F2629,Countries!$A$1:$B$161,2,0)</f>
        <v>United States of America</v>
      </c>
    </row>
    <row r="2630" spans="1:8" x14ac:dyDescent="0.3">
      <c r="A2630" s="3">
        <v>46254.245532407411</v>
      </c>
      <c r="B2630" s="1">
        <v>6.37</v>
      </c>
      <c r="C2630" s="1">
        <v>5.46</v>
      </c>
      <c r="D2630" s="1">
        <v>0.54</v>
      </c>
      <c r="E2630" s="1" t="s">
        <v>183</v>
      </c>
      <c r="F2630" s="1" t="s">
        <v>183</v>
      </c>
      <c r="G2630" s="1" t="s">
        <v>183</v>
      </c>
      <c r="H2630" s="1" t="str">
        <f>VLOOKUP(F2630,Countries!$A$1:$B$161,2,0)</f>
        <v>Malaysia</v>
      </c>
    </row>
    <row r="2631" spans="1:8" x14ac:dyDescent="0.3">
      <c r="A2631" s="3">
        <v>46254.244004629632</v>
      </c>
      <c r="B2631" s="1">
        <v>10.62</v>
      </c>
      <c r="C2631" s="1">
        <v>9.1</v>
      </c>
      <c r="D2631" s="1">
        <v>0.73</v>
      </c>
      <c r="E2631" s="1" t="s">
        <v>113</v>
      </c>
      <c r="F2631" s="1" t="s">
        <v>113</v>
      </c>
      <c r="G2631" s="1" t="s">
        <v>113</v>
      </c>
      <c r="H2631" s="1" t="str">
        <f>VLOOKUP(F2631,Countries!$A$1:$B$161,2,0)</f>
        <v>United States of America</v>
      </c>
    </row>
    <row r="2632" spans="1:8" x14ac:dyDescent="0.3">
      <c r="A2632" s="3">
        <v>46254.24324074074</v>
      </c>
      <c r="B2632" s="1">
        <v>10.85</v>
      </c>
      <c r="C2632" s="1">
        <v>9.2899999999999991</v>
      </c>
      <c r="D2632" s="1">
        <v>0.74</v>
      </c>
      <c r="E2632" s="1" t="s">
        <v>115</v>
      </c>
      <c r="F2632" s="1" t="s">
        <v>115</v>
      </c>
      <c r="G2632" s="1" t="s">
        <v>115</v>
      </c>
      <c r="H2632" s="1" t="str">
        <f>VLOOKUP(F2632,Countries!$A$1:$B$161,2,0)</f>
        <v>Switzerland</v>
      </c>
    </row>
    <row r="2633" spans="1:8" x14ac:dyDescent="0.3">
      <c r="A2633" s="3">
        <v>46254.238136574073</v>
      </c>
      <c r="B2633" s="1">
        <v>37.229999999999997</v>
      </c>
      <c r="C2633" s="1">
        <v>31.89</v>
      </c>
      <c r="D2633" s="1">
        <v>1.93</v>
      </c>
      <c r="E2633" s="1" t="s">
        <v>113</v>
      </c>
      <c r="F2633" s="1" t="s">
        <v>113</v>
      </c>
      <c r="G2633" s="1" t="s">
        <v>113</v>
      </c>
      <c r="H2633" s="1" t="str">
        <f>VLOOKUP(F2633,Countries!$A$1:$B$161,2,0)</f>
        <v>United States of America</v>
      </c>
    </row>
    <row r="2634" spans="1:8" x14ac:dyDescent="0.3">
      <c r="A2634" s="3">
        <v>46254.231273148151</v>
      </c>
      <c r="B2634" s="1">
        <v>10.62</v>
      </c>
      <c r="C2634" s="1">
        <v>9.1</v>
      </c>
      <c r="D2634" s="1">
        <v>0.73</v>
      </c>
      <c r="E2634" s="1" t="s">
        <v>113</v>
      </c>
      <c r="F2634" s="1" t="s">
        <v>113</v>
      </c>
      <c r="G2634" s="1" t="s">
        <v>113</v>
      </c>
      <c r="H2634" s="1" t="str">
        <f>VLOOKUP(F2634,Countries!$A$1:$B$161,2,0)</f>
        <v>United States of America</v>
      </c>
    </row>
    <row r="2635" spans="1:8" x14ac:dyDescent="0.3">
      <c r="A2635" s="3">
        <v>46254.229814814818</v>
      </c>
      <c r="B2635" s="1">
        <v>2.65</v>
      </c>
      <c r="C2635" s="1">
        <v>2.27</v>
      </c>
      <c r="D2635" s="1">
        <v>0.33</v>
      </c>
      <c r="E2635" s="1" t="s">
        <v>184</v>
      </c>
      <c r="F2635" s="1" t="s">
        <v>133</v>
      </c>
      <c r="G2635" s="1" t="s">
        <v>133</v>
      </c>
      <c r="H2635" s="1" t="str">
        <f>VLOOKUP(F2635,Countries!$A$1:$B$161,2,0)</f>
        <v>Denmark</v>
      </c>
    </row>
    <row r="2636" spans="1:8" x14ac:dyDescent="0.3">
      <c r="A2636" s="3">
        <v>46254.226504629631</v>
      </c>
      <c r="B2636" s="1">
        <v>59.14</v>
      </c>
      <c r="C2636" s="1">
        <v>50.66</v>
      </c>
      <c r="D2636" s="1">
        <v>2.91</v>
      </c>
      <c r="E2636" s="1" t="s">
        <v>113</v>
      </c>
      <c r="F2636" s="1" t="s">
        <v>113</v>
      </c>
      <c r="G2636" s="1" t="s">
        <v>113</v>
      </c>
      <c r="H2636" s="1" t="str">
        <f>VLOOKUP(F2636,Countries!$A$1:$B$161,2,0)</f>
        <v>United States of America</v>
      </c>
    </row>
    <row r="2637" spans="1:8" x14ac:dyDescent="0.3">
      <c r="A2637" s="3">
        <v>46254.225648148153</v>
      </c>
      <c r="B2637" s="1">
        <v>6.37</v>
      </c>
      <c r="C2637" s="1">
        <v>5.46</v>
      </c>
      <c r="D2637" s="1">
        <v>0.54</v>
      </c>
      <c r="E2637" s="1" t="s">
        <v>113</v>
      </c>
      <c r="F2637" s="1" t="s">
        <v>113</v>
      </c>
      <c r="G2637" s="1" t="s">
        <v>113</v>
      </c>
      <c r="H2637" s="1" t="str">
        <f>VLOOKUP(F2637,Countries!$A$1:$B$161,2,0)</f>
        <v>United States of America</v>
      </c>
    </row>
    <row r="2638" spans="1:8" x14ac:dyDescent="0.3">
      <c r="A2638" s="3">
        <v>46254.221932870372</v>
      </c>
      <c r="B2638" s="1">
        <v>6.3</v>
      </c>
      <c r="C2638" s="1">
        <v>5.4</v>
      </c>
      <c r="D2638" s="1">
        <v>0.54</v>
      </c>
      <c r="E2638" s="1" t="s">
        <v>143</v>
      </c>
      <c r="F2638" s="1" t="s">
        <v>143</v>
      </c>
      <c r="G2638" s="1" t="s">
        <v>143</v>
      </c>
      <c r="H2638" s="1" t="str">
        <f>VLOOKUP(F2638,Countries!$A$1:$B$161,2,0)</f>
        <v>United Arab Emirates</v>
      </c>
    </row>
    <row r="2639" spans="1:8" x14ac:dyDescent="0.3">
      <c r="A2639" s="3">
        <v>46254.216215277767</v>
      </c>
      <c r="B2639" s="1">
        <v>118.07</v>
      </c>
      <c r="C2639" s="1">
        <v>101.13</v>
      </c>
      <c r="D2639" s="1">
        <v>5.56</v>
      </c>
      <c r="E2639" s="1" t="s">
        <v>113</v>
      </c>
      <c r="F2639" s="1" t="s">
        <v>113</v>
      </c>
      <c r="G2639" s="1" t="s">
        <v>113</v>
      </c>
      <c r="H2639" s="1" t="str">
        <f>VLOOKUP(F2639,Countries!$A$1:$B$161,2,0)</f>
        <v>United States of America</v>
      </c>
    </row>
    <row r="2640" spans="1:8" x14ac:dyDescent="0.3">
      <c r="A2640" s="3">
        <v>46254.213946759257</v>
      </c>
      <c r="B2640" s="1">
        <v>6.37</v>
      </c>
      <c r="C2640" s="1">
        <v>5.46</v>
      </c>
      <c r="D2640" s="1">
        <v>0.54</v>
      </c>
      <c r="E2640" s="1" t="s">
        <v>113</v>
      </c>
      <c r="F2640" s="1" t="s">
        <v>113</v>
      </c>
      <c r="G2640" s="1" t="s">
        <v>113</v>
      </c>
      <c r="H2640" s="1" t="str">
        <f>VLOOKUP(F2640,Countries!$A$1:$B$161,2,0)</f>
        <v>United States of America</v>
      </c>
    </row>
    <row r="2641" spans="1:8" x14ac:dyDescent="0.3">
      <c r="A2641" s="3">
        <v>46254.211493055547</v>
      </c>
      <c r="B2641" s="1">
        <v>7.48</v>
      </c>
      <c r="C2641" s="1">
        <v>6.41</v>
      </c>
      <c r="D2641" s="1">
        <v>0.54</v>
      </c>
      <c r="E2641" s="1" t="s">
        <v>119</v>
      </c>
      <c r="F2641" s="1" t="s">
        <v>119</v>
      </c>
      <c r="G2641" s="1" t="s">
        <v>119</v>
      </c>
      <c r="H2641" s="1" t="str">
        <f>VLOOKUP(F2641,Countries!$A$1:$B$161,2,0)</f>
        <v>Great Britain (United Kingdom)</v>
      </c>
    </row>
    <row r="2642" spans="1:8" x14ac:dyDescent="0.3">
      <c r="A2642" s="3">
        <v>46254.20994212963</v>
      </c>
      <c r="B2642" s="1">
        <v>51.75</v>
      </c>
      <c r="C2642" s="1">
        <v>44.31</v>
      </c>
      <c r="D2642" s="1">
        <v>2.58</v>
      </c>
      <c r="E2642" s="1" t="s">
        <v>113</v>
      </c>
      <c r="F2642" s="1" t="s">
        <v>113</v>
      </c>
      <c r="G2642" s="1" t="s">
        <v>113</v>
      </c>
      <c r="H2642" s="1" t="str">
        <f>VLOOKUP(F2642,Countries!$A$1:$B$161,2,0)</f>
        <v>United States of America</v>
      </c>
    </row>
    <row r="2643" spans="1:8" x14ac:dyDescent="0.3">
      <c r="A2643" s="3">
        <v>46254.206932870373</v>
      </c>
      <c r="B2643" s="1">
        <v>36.96</v>
      </c>
      <c r="C2643" s="1">
        <v>31.64</v>
      </c>
      <c r="D2643" s="1">
        <v>1.91</v>
      </c>
      <c r="E2643" s="1" t="s">
        <v>113</v>
      </c>
      <c r="F2643" s="1" t="s">
        <v>113</v>
      </c>
      <c r="G2643" s="1" t="s">
        <v>113</v>
      </c>
      <c r="H2643" s="1" t="str">
        <f>VLOOKUP(F2643,Countries!$A$1:$B$161,2,0)</f>
        <v>United States of America</v>
      </c>
    </row>
    <row r="2644" spans="1:8" x14ac:dyDescent="0.3">
      <c r="A2644" s="3">
        <v>46254.20616898148</v>
      </c>
      <c r="B2644" s="1">
        <v>66.540000000000006</v>
      </c>
      <c r="C2644" s="1">
        <v>56.97</v>
      </c>
      <c r="D2644" s="1">
        <v>3.24</v>
      </c>
      <c r="E2644" s="1" t="s">
        <v>113</v>
      </c>
      <c r="F2644" s="1" t="s">
        <v>113</v>
      </c>
      <c r="G2644" s="1" t="s">
        <v>113</v>
      </c>
      <c r="H2644" s="1" t="str">
        <f>VLOOKUP(F2644,Countries!$A$1:$B$161,2,0)</f>
        <v>United States of America</v>
      </c>
    </row>
    <row r="2645" spans="1:8" x14ac:dyDescent="0.3">
      <c r="A2645" s="3">
        <v>46254.205949074072</v>
      </c>
      <c r="B2645" s="1">
        <v>14.77</v>
      </c>
      <c r="C2645" s="1">
        <v>12.65</v>
      </c>
      <c r="D2645" s="1">
        <v>0.91</v>
      </c>
      <c r="E2645" s="1" t="s">
        <v>113</v>
      </c>
      <c r="F2645" s="1" t="s">
        <v>113</v>
      </c>
      <c r="G2645" s="1" t="s">
        <v>113</v>
      </c>
      <c r="H2645" s="1" t="str">
        <f>VLOOKUP(F2645,Countries!$A$1:$B$161,2,0)</f>
        <v>United States of America</v>
      </c>
    </row>
    <row r="2646" spans="1:8" x14ac:dyDescent="0.3">
      <c r="A2646" s="3">
        <v>46254.205590277779</v>
      </c>
      <c r="B2646" s="1">
        <v>66.540000000000006</v>
      </c>
      <c r="C2646" s="1">
        <v>56.97</v>
      </c>
      <c r="D2646" s="1">
        <v>3.24</v>
      </c>
      <c r="E2646" s="1" t="s">
        <v>113</v>
      </c>
      <c r="F2646" s="1" t="s">
        <v>113</v>
      </c>
      <c r="G2646" s="1" t="s">
        <v>113</v>
      </c>
      <c r="H2646" s="1" t="str">
        <f>VLOOKUP(F2646,Countries!$A$1:$B$161,2,0)</f>
        <v>United States of America</v>
      </c>
    </row>
    <row r="2647" spans="1:8" x14ac:dyDescent="0.3">
      <c r="A2647" s="3">
        <v>46254.205497685187</v>
      </c>
      <c r="B2647" s="1">
        <v>6.37</v>
      </c>
      <c r="C2647" s="1">
        <v>5.45</v>
      </c>
      <c r="D2647" s="1">
        <v>0.54</v>
      </c>
      <c r="E2647" s="1" t="s">
        <v>113</v>
      </c>
      <c r="F2647" s="1" t="s">
        <v>113</v>
      </c>
      <c r="G2647" s="1" t="s">
        <v>113</v>
      </c>
      <c r="H2647" s="1" t="str">
        <f>VLOOKUP(F2647,Countries!$A$1:$B$161,2,0)</f>
        <v>United States of America</v>
      </c>
    </row>
    <row r="2648" spans="1:8" x14ac:dyDescent="0.3">
      <c r="A2648" s="3">
        <v>46254.204027777778</v>
      </c>
      <c r="B2648" s="1">
        <v>6.37</v>
      </c>
      <c r="C2648" s="1">
        <v>5.45</v>
      </c>
      <c r="D2648" s="1">
        <v>0.54</v>
      </c>
      <c r="E2648" s="1" t="s">
        <v>188</v>
      </c>
      <c r="F2648" s="1" t="s">
        <v>188</v>
      </c>
      <c r="G2648" s="1" t="s">
        <v>188</v>
      </c>
      <c r="H2648" s="1" t="str">
        <f>VLOOKUP(F2648,Countries!$A$1:$B$161,2,0)</f>
        <v>Dominican Republic</v>
      </c>
    </row>
    <row r="2649" spans="1:8" x14ac:dyDescent="0.3">
      <c r="A2649" s="3">
        <v>46254.195671296293</v>
      </c>
      <c r="B2649" s="1">
        <v>6.37</v>
      </c>
      <c r="C2649" s="1">
        <v>5.45</v>
      </c>
      <c r="D2649" s="1">
        <v>0.54</v>
      </c>
      <c r="E2649" s="1" t="s">
        <v>113</v>
      </c>
      <c r="F2649" s="1" t="s">
        <v>113</v>
      </c>
      <c r="G2649" s="1" t="s">
        <v>113</v>
      </c>
      <c r="H2649" s="1" t="str">
        <f>VLOOKUP(F2649,Countries!$A$1:$B$161,2,0)</f>
        <v>United States of America</v>
      </c>
    </row>
    <row r="2650" spans="1:8" x14ac:dyDescent="0.3">
      <c r="A2650" s="3">
        <v>46254.194652777784</v>
      </c>
      <c r="B2650" s="1">
        <v>2.99</v>
      </c>
      <c r="C2650" s="1">
        <v>2.56</v>
      </c>
      <c r="D2650" s="1">
        <v>0.38</v>
      </c>
      <c r="E2650" s="1" t="s">
        <v>142</v>
      </c>
      <c r="F2650" s="1" t="s">
        <v>142</v>
      </c>
      <c r="G2650" s="1" t="s">
        <v>142</v>
      </c>
      <c r="H2650" s="1" t="str">
        <f>VLOOKUP(F2650,Countries!$A$1:$B$161,2,0)</f>
        <v>India</v>
      </c>
    </row>
    <row r="2651" spans="1:8" x14ac:dyDescent="0.3">
      <c r="A2651" s="3">
        <v>46254.189502314817</v>
      </c>
      <c r="B2651" s="1">
        <v>5.99</v>
      </c>
      <c r="C2651" s="1">
        <v>5.13</v>
      </c>
      <c r="D2651" s="1">
        <v>0.52</v>
      </c>
      <c r="E2651" s="1" t="s">
        <v>113</v>
      </c>
      <c r="F2651" s="1" t="s">
        <v>129</v>
      </c>
      <c r="G2651" s="1" t="s">
        <v>129</v>
      </c>
      <c r="H2651" s="1" t="str">
        <f>VLOOKUP(F2651,Countries!$A$1:$B$161,2,0)</f>
        <v>Qatar</v>
      </c>
    </row>
    <row r="2652" spans="1:8" x14ac:dyDescent="0.3">
      <c r="A2652" s="3">
        <v>46254.183692129627</v>
      </c>
      <c r="B2652" s="1">
        <v>14.77</v>
      </c>
      <c r="C2652" s="1">
        <v>12.65</v>
      </c>
      <c r="D2652" s="1">
        <v>0.91</v>
      </c>
      <c r="E2652" s="1" t="s">
        <v>113</v>
      </c>
      <c r="F2652" s="1" t="s">
        <v>113</v>
      </c>
      <c r="G2652" s="1" t="s">
        <v>113</v>
      </c>
      <c r="H2652" s="1" t="str">
        <f>VLOOKUP(F2652,Countries!$A$1:$B$161,2,0)</f>
        <v>United States of America</v>
      </c>
    </row>
    <row r="2653" spans="1:8" x14ac:dyDescent="0.3">
      <c r="A2653" s="3">
        <v>46254.152800925927</v>
      </c>
      <c r="B2653" s="1">
        <v>27.77</v>
      </c>
      <c r="C2653" s="1">
        <v>23.79</v>
      </c>
      <c r="D2653" s="1">
        <v>1.5</v>
      </c>
      <c r="E2653" s="1" t="s">
        <v>121</v>
      </c>
      <c r="F2653" s="1" t="s">
        <v>121</v>
      </c>
      <c r="G2653" s="1" t="s">
        <v>121</v>
      </c>
      <c r="H2653" s="1" t="str">
        <f>VLOOKUP(F2653,Countries!$A$1:$B$161,2,0)</f>
        <v>Japan</v>
      </c>
    </row>
    <row r="2654" spans="1:8" x14ac:dyDescent="0.3">
      <c r="A2654" s="3">
        <v>46254.14947916667</v>
      </c>
      <c r="B2654" s="1">
        <v>3.32</v>
      </c>
      <c r="C2654" s="1">
        <v>2.84</v>
      </c>
      <c r="D2654" s="1">
        <v>0.4</v>
      </c>
      <c r="E2654" s="1" t="s">
        <v>121</v>
      </c>
      <c r="F2654" s="1" t="s">
        <v>121</v>
      </c>
      <c r="G2654" s="1" t="s">
        <v>121</v>
      </c>
      <c r="H2654" s="1" t="str">
        <f>VLOOKUP(F2654,Countries!$A$1:$B$161,2,0)</f>
        <v>Japan</v>
      </c>
    </row>
    <row r="2655" spans="1:8" x14ac:dyDescent="0.3">
      <c r="A2655" s="3">
        <v>46254.140798611108</v>
      </c>
      <c r="B2655" s="1">
        <v>2.11</v>
      </c>
      <c r="C2655" s="1">
        <v>1.81</v>
      </c>
      <c r="D2655" s="1">
        <v>0.35</v>
      </c>
      <c r="E2655" s="1" t="s">
        <v>113</v>
      </c>
      <c r="F2655" s="1" t="s">
        <v>113</v>
      </c>
      <c r="G2655" s="1" t="s">
        <v>113</v>
      </c>
      <c r="H2655" s="1" t="str">
        <f>VLOOKUP(F2655,Countries!$A$1:$B$161,2,0)</f>
        <v>United States of America</v>
      </c>
    </row>
    <row r="2656" spans="1:8" x14ac:dyDescent="0.3">
      <c r="A2656" s="3">
        <v>46254.127430555563</v>
      </c>
      <c r="B2656" s="1">
        <v>7.99</v>
      </c>
      <c r="C2656" s="1">
        <v>6.84</v>
      </c>
      <c r="D2656" s="1">
        <v>0.61</v>
      </c>
      <c r="E2656" s="1" t="s">
        <v>113</v>
      </c>
      <c r="F2656" s="1" t="s">
        <v>113</v>
      </c>
      <c r="G2656" s="1" t="s">
        <v>113</v>
      </c>
      <c r="H2656" s="1" t="str">
        <f>VLOOKUP(F2656,Countries!$A$1:$B$161,2,0)</f>
        <v>United States of America</v>
      </c>
    </row>
    <row r="2657" spans="1:8" x14ac:dyDescent="0.3">
      <c r="A2657" s="3">
        <v>46254.127175925933</v>
      </c>
      <c r="B2657" s="1">
        <v>4.24</v>
      </c>
      <c r="C2657" s="1">
        <v>3.63</v>
      </c>
      <c r="D2657" s="1">
        <v>0.44</v>
      </c>
      <c r="E2657" s="1" t="s">
        <v>113</v>
      </c>
      <c r="F2657" s="1" t="s">
        <v>113</v>
      </c>
      <c r="G2657" s="1" t="s">
        <v>113</v>
      </c>
      <c r="H2657" s="1" t="str">
        <f>VLOOKUP(F2657,Countries!$A$1:$B$161,2,0)</f>
        <v>United States of America</v>
      </c>
    </row>
    <row r="2658" spans="1:8" x14ac:dyDescent="0.3">
      <c r="A2658" s="3">
        <v>46254.12667824074</v>
      </c>
      <c r="B2658" s="1">
        <v>7.58</v>
      </c>
      <c r="C2658" s="1">
        <v>6.49</v>
      </c>
      <c r="D2658" s="1">
        <v>0.59</v>
      </c>
      <c r="E2658" s="1" t="s">
        <v>114</v>
      </c>
      <c r="F2658" s="1" t="s">
        <v>114</v>
      </c>
      <c r="G2658" s="1" t="s">
        <v>114</v>
      </c>
      <c r="H2658" s="1" t="str">
        <f>VLOOKUP(F2658,Countries!$A$1:$B$161,2,0)</f>
        <v>Philippines</v>
      </c>
    </row>
    <row r="2659" spans="1:8" x14ac:dyDescent="0.3">
      <c r="A2659" s="3">
        <v>46254.118379629632</v>
      </c>
      <c r="B2659" s="1">
        <v>6.37</v>
      </c>
      <c r="C2659" s="1">
        <v>5.46</v>
      </c>
      <c r="D2659" s="1">
        <v>0.54</v>
      </c>
      <c r="E2659" s="1" t="s">
        <v>113</v>
      </c>
      <c r="F2659" s="1" t="s">
        <v>113</v>
      </c>
      <c r="G2659" s="1" t="s">
        <v>113</v>
      </c>
      <c r="H2659" s="1" t="str">
        <f>VLOOKUP(F2659,Countries!$A$1:$B$161,2,0)</f>
        <v>United States of America</v>
      </c>
    </row>
    <row r="2660" spans="1:8" x14ac:dyDescent="0.3">
      <c r="A2660" s="3">
        <v>46254.112245370372</v>
      </c>
      <c r="B2660" s="1">
        <v>10.62</v>
      </c>
      <c r="C2660" s="1">
        <v>9.1</v>
      </c>
      <c r="D2660" s="1">
        <v>0.73</v>
      </c>
      <c r="E2660" s="1" t="s">
        <v>113</v>
      </c>
      <c r="F2660" s="1" t="s">
        <v>113</v>
      </c>
      <c r="G2660" s="1" t="s">
        <v>113</v>
      </c>
      <c r="H2660" s="1" t="str">
        <f>VLOOKUP(F2660,Countries!$A$1:$B$161,2,0)</f>
        <v>United States of America</v>
      </c>
    </row>
    <row r="2661" spans="1:8" x14ac:dyDescent="0.3">
      <c r="A2661" s="3">
        <v>46254.11141203704</v>
      </c>
      <c r="B2661" s="1">
        <v>6.37</v>
      </c>
      <c r="C2661" s="1">
        <v>5.46</v>
      </c>
      <c r="D2661" s="1">
        <v>0.54</v>
      </c>
      <c r="E2661" s="1" t="s">
        <v>113</v>
      </c>
      <c r="F2661" s="1" t="s">
        <v>113</v>
      </c>
      <c r="G2661" s="1" t="s">
        <v>113</v>
      </c>
      <c r="H2661" s="1" t="str">
        <f>VLOOKUP(F2661,Countries!$A$1:$B$161,2,0)</f>
        <v>United States of America</v>
      </c>
    </row>
    <row r="2662" spans="1:8" x14ac:dyDescent="0.3">
      <c r="A2662" s="3">
        <v>46254.092326388891</v>
      </c>
      <c r="B2662" s="1">
        <v>4.24</v>
      </c>
      <c r="C2662" s="1">
        <v>3.63</v>
      </c>
      <c r="D2662" s="1">
        <v>0.44</v>
      </c>
      <c r="E2662" s="1" t="s">
        <v>113</v>
      </c>
      <c r="F2662" s="1" t="s">
        <v>113</v>
      </c>
      <c r="G2662" s="1" t="s">
        <v>113</v>
      </c>
      <c r="H2662" s="1" t="str">
        <f>VLOOKUP(F2662,Countries!$A$1:$B$161,2,0)</f>
        <v>United States of America</v>
      </c>
    </row>
    <row r="2663" spans="1:8" x14ac:dyDescent="0.3">
      <c r="A2663" s="3">
        <v>46254.086064814823</v>
      </c>
      <c r="B2663" s="1">
        <v>1.99</v>
      </c>
      <c r="C2663" s="1">
        <v>1.7</v>
      </c>
      <c r="D2663" s="1">
        <v>0.34</v>
      </c>
      <c r="E2663" s="1" t="s">
        <v>148</v>
      </c>
      <c r="F2663" s="1" t="s">
        <v>148</v>
      </c>
      <c r="G2663" s="1" t="s">
        <v>148</v>
      </c>
      <c r="H2663" s="1" t="str">
        <f>VLOOKUP(F2663,Countries!$A$1:$B$161,2,0)</f>
        <v>Honduras</v>
      </c>
    </row>
    <row r="2664" spans="1:8" x14ac:dyDescent="0.3">
      <c r="A2664" s="3">
        <v>46254.081701388888</v>
      </c>
      <c r="B2664" s="1">
        <v>7.58</v>
      </c>
      <c r="C2664" s="1">
        <v>6.49</v>
      </c>
      <c r="D2664" s="1">
        <v>0.48</v>
      </c>
      <c r="E2664" s="1" t="s">
        <v>116</v>
      </c>
      <c r="F2664" s="1" t="s">
        <v>116</v>
      </c>
      <c r="G2664" s="1" t="s">
        <v>116</v>
      </c>
      <c r="H2664" s="1" t="str">
        <f>VLOOKUP(F2664,Countries!$A$1:$B$161,2,0)</f>
        <v>Spain</v>
      </c>
    </row>
    <row r="2665" spans="1:8" x14ac:dyDescent="0.3">
      <c r="A2665" s="3">
        <v>46254.080300925933</v>
      </c>
      <c r="B2665" s="1">
        <v>7.77</v>
      </c>
      <c r="C2665" s="1">
        <v>6.66</v>
      </c>
      <c r="D2665" s="1">
        <v>0.48</v>
      </c>
      <c r="E2665" s="1" t="s">
        <v>137</v>
      </c>
      <c r="F2665" s="1" t="s">
        <v>137</v>
      </c>
      <c r="G2665" s="1" t="s">
        <v>137</v>
      </c>
      <c r="H2665" s="1" t="str">
        <f>VLOOKUP(F2665,Countries!$A$1:$B$161,2,0)</f>
        <v>Poland</v>
      </c>
    </row>
    <row r="2666" spans="1:8" x14ac:dyDescent="0.3">
      <c r="A2666" s="3">
        <v>46254.065185185187</v>
      </c>
      <c r="B2666" s="1">
        <v>6.37</v>
      </c>
      <c r="C2666" s="1">
        <v>5.46</v>
      </c>
      <c r="D2666" s="1">
        <v>0.54</v>
      </c>
      <c r="E2666" s="1" t="s">
        <v>113</v>
      </c>
      <c r="F2666" s="1" t="s">
        <v>113</v>
      </c>
      <c r="G2666" s="1" t="s">
        <v>113</v>
      </c>
      <c r="H2666" s="1" t="str">
        <f>VLOOKUP(F2666,Countries!$A$1:$B$161,2,0)</f>
        <v>United States of America</v>
      </c>
    </row>
    <row r="2667" spans="1:8" x14ac:dyDescent="0.3">
      <c r="A2667" s="3">
        <v>46254.050879629627</v>
      </c>
      <c r="B2667" s="1">
        <v>2.11</v>
      </c>
      <c r="C2667" s="1">
        <v>1.81</v>
      </c>
      <c r="D2667" s="1">
        <v>0.35</v>
      </c>
      <c r="E2667" s="1" t="s">
        <v>113</v>
      </c>
      <c r="F2667" s="1" t="s">
        <v>113</v>
      </c>
      <c r="G2667" s="1" t="s">
        <v>113</v>
      </c>
      <c r="H2667" s="1" t="str">
        <f>VLOOKUP(F2667,Countries!$A$1:$B$161,2,0)</f>
        <v>United States of America</v>
      </c>
    </row>
    <row r="2668" spans="1:8" x14ac:dyDescent="0.3">
      <c r="A2668" s="3">
        <v>46254.04996527778</v>
      </c>
      <c r="B2668" s="1">
        <v>3.99</v>
      </c>
      <c r="C2668" s="1">
        <v>3.42</v>
      </c>
      <c r="D2668" s="1">
        <v>0.43</v>
      </c>
      <c r="E2668" s="1" t="s">
        <v>113</v>
      </c>
      <c r="F2668" s="1" t="s">
        <v>113</v>
      </c>
      <c r="G2668" s="1" t="s">
        <v>113</v>
      </c>
      <c r="H2668" s="1" t="str">
        <f>VLOOKUP(F2668,Countries!$A$1:$B$161,2,0)</f>
        <v>United States of America</v>
      </c>
    </row>
    <row r="2669" spans="1:8" x14ac:dyDescent="0.3">
      <c r="A2669" s="3">
        <v>46254.044641203713</v>
      </c>
      <c r="B2669" s="1">
        <v>3.18</v>
      </c>
      <c r="C2669" s="1">
        <v>2.72</v>
      </c>
      <c r="D2669" s="1">
        <v>0.39</v>
      </c>
      <c r="E2669" s="1" t="s">
        <v>113</v>
      </c>
      <c r="F2669" s="1" t="s">
        <v>113</v>
      </c>
      <c r="G2669" s="1" t="s">
        <v>113</v>
      </c>
      <c r="H2669" s="1" t="str">
        <f>VLOOKUP(F2669,Countries!$A$1:$B$161,2,0)</f>
        <v>United States of America</v>
      </c>
    </row>
    <row r="2670" spans="1:8" x14ac:dyDescent="0.3">
      <c r="A2670" s="3">
        <v>46254.044525462959</v>
      </c>
      <c r="B2670" s="1">
        <v>20.85</v>
      </c>
      <c r="C2670" s="1">
        <v>17.86</v>
      </c>
      <c r="D2670" s="1">
        <v>1.19</v>
      </c>
      <c r="E2670" s="1" t="s">
        <v>113</v>
      </c>
      <c r="F2670" s="1" t="s">
        <v>113</v>
      </c>
      <c r="G2670" s="1" t="s">
        <v>113</v>
      </c>
      <c r="H2670" s="1" t="str">
        <f>VLOOKUP(F2670,Countries!$A$1:$B$161,2,0)</f>
        <v>United States of America</v>
      </c>
    </row>
    <row r="2671" spans="1:8" x14ac:dyDescent="0.3">
      <c r="A2671" s="3">
        <v>46254.006076388891</v>
      </c>
      <c r="B2671" s="1">
        <v>7.21</v>
      </c>
      <c r="C2671" s="1">
        <v>6.18</v>
      </c>
      <c r="D2671" s="1">
        <v>0.56999999999999995</v>
      </c>
      <c r="E2671" s="1" t="s">
        <v>165</v>
      </c>
      <c r="F2671" s="1" t="s">
        <v>165</v>
      </c>
      <c r="G2671" s="1" t="s">
        <v>165</v>
      </c>
      <c r="H2671" s="1" t="str">
        <f>VLOOKUP(F2671,Countries!$A$1:$B$161,2,0)</f>
        <v>Israel</v>
      </c>
    </row>
    <row r="2672" spans="1:8" x14ac:dyDescent="0.3">
      <c r="A2672" s="3">
        <v>46254.003483796303</v>
      </c>
      <c r="B2672" s="1">
        <v>6.37</v>
      </c>
      <c r="C2672" s="1">
        <v>5.46</v>
      </c>
      <c r="D2672" s="1">
        <v>0.54</v>
      </c>
      <c r="E2672" s="1" t="s">
        <v>113</v>
      </c>
      <c r="F2672" s="1" t="s">
        <v>113</v>
      </c>
      <c r="G2672" s="1" t="s">
        <v>113</v>
      </c>
      <c r="H2672" s="1" t="str">
        <f>VLOOKUP(F2672,Countries!$A$1:$B$161,2,0)</f>
        <v>United States of America</v>
      </c>
    </row>
    <row r="2673" spans="1:8" x14ac:dyDescent="0.3">
      <c r="A2673" s="3">
        <v>46253.990601851852</v>
      </c>
      <c r="B2673" s="1">
        <v>3.18</v>
      </c>
      <c r="C2673" s="1">
        <v>2.72</v>
      </c>
      <c r="D2673" s="1">
        <v>0.39</v>
      </c>
      <c r="E2673" s="1" t="s">
        <v>113</v>
      </c>
      <c r="F2673" s="1" t="s">
        <v>113</v>
      </c>
      <c r="G2673" s="1" t="s">
        <v>113</v>
      </c>
      <c r="H2673" s="1" t="str">
        <f>VLOOKUP(F2673,Countries!$A$1:$B$161,2,0)</f>
        <v>United States of America</v>
      </c>
    </row>
    <row r="2674" spans="1:8" x14ac:dyDescent="0.3">
      <c r="A2674" s="3">
        <v>46253.988680555558</v>
      </c>
      <c r="B2674" s="1">
        <v>11.35</v>
      </c>
      <c r="C2674" s="1">
        <v>9.7200000000000006</v>
      </c>
      <c r="D2674" s="1">
        <v>0.76</v>
      </c>
      <c r="E2674" s="1" t="s">
        <v>114</v>
      </c>
      <c r="F2674" s="1" t="s">
        <v>114</v>
      </c>
      <c r="G2674" s="1" t="s">
        <v>114</v>
      </c>
      <c r="H2674" s="1" t="str">
        <f>VLOOKUP(F2674,Countries!$A$1:$B$161,2,0)</f>
        <v>Philippines</v>
      </c>
    </row>
    <row r="2675" spans="1:8" x14ac:dyDescent="0.3">
      <c r="A2675" s="3">
        <v>46253.987557870372</v>
      </c>
      <c r="B2675" s="1">
        <v>6.37</v>
      </c>
      <c r="C2675" s="1">
        <v>5.46</v>
      </c>
      <c r="D2675" s="1">
        <v>0.54</v>
      </c>
      <c r="E2675" s="1" t="s">
        <v>113</v>
      </c>
      <c r="F2675" s="1" t="s">
        <v>113</v>
      </c>
      <c r="G2675" s="1" t="s">
        <v>113</v>
      </c>
      <c r="H2675" s="1" t="str">
        <f>VLOOKUP(F2675,Countries!$A$1:$B$161,2,0)</f>
        <v>United States of America</v>
      </c>
    </row>
    <row r="2676" spans="1:8" x14ac:dyDescent="0.3">
      <c r="A2676" s="3">
        <v>46253.984502314823</v>
      </c>
      <c r="B2676" s="1">
        <v>10.51</v>
      </c>
      <c r="C2676" s="1">
        <v>9</v>
      </c>
      <c r="D2676" s="1">
        <v>0.72</v>
      </c>
      <c r="E2676" s="1" t="s">
        <v>132</v>
      </c>
      <c r="F2676" s="1" t="s">
        <v>132</v>
      </c>
      <c r="G2676" s="1" t="s">
        <v>132</v>
      </c>
      <c r="H2676" s="1" t="str">
        <f>VLOOKUP(F2676,Countries!$A$1:$B$161,2,0)</f>
        <v>Canada</v>
      </c>
    </row>
    <row r="2677" spans="1:8" x14ac:dyDescent="0.3">
      <c r="A2677" s="3">
        <v>46253.984432870369</v>
      </c>
      <c r="B2677" s="1">
        <v>6.37</v>
      </c>
      <c r="C2677" s="1">
        <v>5.46</v>
      </c>
      <c r="D2677" s="1">
        <v>0.54</v>
      </c>
      <c r="E2677" s="1" t="s">
        <v>113</v>
      </c>
      <c r="F2677" s="1" t="s">
        <v>113</v>
      </c>
      <c r="G2677" s="1" t="s">
        <v>113</v>
      </c>
      <c r="H2677" s="1" t="str">
        <f>VLOOKUP(F2677,Countries!$A$1:$B$161,2,0)</f>
        <v>United States of America</v>
      </c>
    </row>
    <row r="2678" spans="1:8" x14ac:dyDescent="0.3">
      <c r="A2678" s="3">
        <v>46253.983240740738</v>
      </c>
      <c r="B2678" s="1">
        <v>11.35</v>
      </c>
      <c r="C2678" s="1">
        <v>9.7200000000000006</v>
      </c>
      <c r="D2678" s="1">
        <v>0.76</v>
      </c>
      <c r="E2678" s="1" t="s">
        <v>114</v>
      </c>
      <c r="F2678" s="1" t="s">
        <v>114</v>
      </c>
      <c r="G2678" s="1" t="s">
        <v>114</v>
      </c>
      <c r="H2678" s="1" t="str">
        <f>VLOOKUP(F2678,Countries!$A$1:$B$161,2,0)</f>
        <v>Philippines</v>
      </c>
    </row>
    <row r="2679" spans="1:8" x14ac:dyDescent="0.3">
      <c r="A2679" s="3">
        <v>46253.975914351853</v>
      </c>
      <c r="B2679" s="1">
        <v>3.39</v>
      </c>
      <c r="C2679" s="1">
        <v>2.9</v>
      </c>
      <c r="D2679" s="1">
        <v>0.4</v>
      </c>
      <c r="E2679" s="1" t="s">
        <v>114</v>
      </c>
      <c r="F2679" s="1" t="s">
        <v>114</v>
      </c>
      <c r="G2679" s="1" t="s">
        <v>114</v>
      </c>
      <c r="H2679" s="1" t="str">
        <f>VLOOKUP(F2679,Countries!$A$1:$B$161,2,0)</f>
        <v>Philippines</v>
      </c>
    </row>
    <row r="2680" spans="1:8" x14ac:dyDescent="0.3">
      <c r="A2680" s="3">
        <v>46253.975717592592</v>
      </c>
      <c r="B2680" s="1">
        <v>10.51</v>
      </c>
      <c r="C2680" s="1">
        <v>9</v>
      </c>
      <c r="D2680" s="1">
        <v>0.72</v>
      </c>
      <c r="E2680" s="1" t="s">
        <v>132</v>
      </c>
      <c r="F2680" s="1" t="s">
        <v>132</v>
      </c>
      <c r="G2680" s="1" t="s">
        <v>132</v>
      </c>
      <c r="H2680" s="1" t="str">
        <f>VLOOKUP(F2680,Countries!$A$1:$B$161,2,0)</f>
        <v>Canada</v>
      </c>
    </row>
    <row r="2681" spans="1:8" x14ac:dyDescent="0.3">
      <c r="A2681" s="3">
        <v>46253.973553240743</v>
      </c>
      <c r="B2681" s="1">
        <v>4.33</v>
      </c>
      <c r="C2681" s="1">
        <v>3.71</v>
      </c>
      <c r="D2681" s="1">
        <v>0.44</v>
      </c>
      <c r="E2681" s="1" t="s">
        <v>115</v>
      </c>
      <c r="F2681" s="1" t="s">
        <v>115</v>
      </c>
      <c r="G2681" s="1" t="s">
        <v>115</v>
      </c>
      <c r="H2681" s="1" t="str">
        <f>VLOOKUP(F2681,Countries!$A$1:$B$161,2,0)</f>
        <v>Switzerland</v>
      </c>
    </row>
    <row r="2682" spans="1:8" x14ac:dyDescent="0.3">
      <c r="A2682" s="3">
        <v>46253.967881944453</v>
      </c>
      <c r="B2682" s="1">
        <v>10.85</v>
      </c>
      <c r="C2682" s="1">
        <v>9.2899999999999991</v>
      </c>
      <c r="D2682" s="1">
        <v>0.74</v>
      </c>
      <c r="E2682" s="1" t="s">
        <v>115</v>
      </c>
      <c r="F2682" s="1" t="s">
        <v>115</v>
      </c>
      <c r="G2682" s="1" t="s">
        <v>115</v>
      </c>
      <c r="H2682" s="1" t="str">
        <f>VLOOKUP(F2682,Countries!$A$1:$B$161,2,0)</f>
        <v>Switzerland</v>
      </c>
    </row>
    <row r="2683" spans="1:8" x14ac:dyDescent="0.3">
      <c r="A2683" s="3">
        <v>46253.960636574076</v>
      </c>
      <c r="B2683" s="1">
        <v>10.85</v>
      </c>
      <c r="C2683" s="1">
        <v>9.2899999999999991</v>
      </c>
      <c r="D2683" s="1">
        <v>0.74</v>
      </c>
      <c r="E2683" s="1" t="s">
        <v>115</v>
      </c>
      <c r="F2683" s="1" t="s">
        <v>115</v>
      </c>
      <c r="G2683" s="1" t="s">
        <v>115</v>
      </c>
      <c r="H2683" s="1" t="str">
        <f>VLOOKUP(F2683,Countries!$A$1:$B$161,2,0)</f>
        <v>Switzerland</v>
      </c>
    </row>
    <row r="2684" spans="1:8" x14ac:dyDescent="0.3">
      <c r="A2684" s="3">
        <v>46253.954722222217</v>
      </c>
      <c r="B2684" s="1">
        <v>7.67</v>
      </c>
      <c r="C2684" s="1">
        <v>6.57</v>
      </c>
      <c r="D2684" s="1">
        <v>0.48</v>
      </c>
      <c r="E2684" s="1" t="s">
        <v>124</v>
      </c>
      <c r="F2684" s="1" t="s">
        <v>124</v>
      </c>
      <c r="G2684" s="1" t="s">
        <v>124</v>
      </c>
      <c r="H2684" s="1" t="str">
        <f>VLOOKUP(F2684,Countries!$A$1:$B$161,2,0)</f>
        <v>Italy</v>
      </c>
    </row>
    <row r="2685" spans="1:8" x14ac:dyDescent="0.3">
      <c r="A2685" s="3">
        <v>46253.953726851847</v>
      </c>
      <c r="B2685" s="1">
        <v>10.85</v>
      </c>
      <c r="C2685" s="1">
        <v>9.2899999999999991</v>
      </c>
      <c r="D2685" s="1">
        <v>0.74</v>
      </c>
      <c r="E2685" s="1" t="s">
        <v>115</v>
      </c>
      <c r="F2685" s="1" t="s">
        <v>115</v>
      </c>
      <c r="G2685" s="1" t="s">
        <v>115</v>
      </c>
      <c r="H2685" s="1" t="str">
        <f>VLOOKUP(F2685,Countries!$A$1:$B$161,2,0)</f>
        <v>Switzerland</v>
      </c>
    </row>
    <row r="2686" spans="1:8" x14ac:dyDescent="0.3">
      <c r="A2686" s="3">
        <v>46253.947395833333</v>
      </c>
      <c r="B2686" s="1">
        <v>10.85</v>
      </c>
      <c r="C2686" s="1">
        <v>9.2899999999999991</v>
      </c>
      <c r="D2686" s="1">
        <v>0.74</v>
      </c>
      <c r="E2686" s="1" t="s">
        <v>115</v>
      </c>
      <c r="F2686" s="1" t="s">
        <v>115</v>
      </c>
      <c r="G2686" s="1" t="s">
        <v>115</v>
      </c>
      <c r="H2686" s="1" t="str">
        <f>VLOOKUP(F2686,Countries!$A$1:$B$161,2,0)</f>
        <v>Switzerland</v>
      </c>
    </row>
    <row r="2687" spans="1:8" x14ac:dyDescent="0.3">
      <c r="A2687" s="3">
        <v>46253.946435185193</v>
      </c>
      <c r="B2687" s="1">
        <v>6.37</v>
      </c>
      <c r="C2687" s="1">
        <v>5.46</v>
      </c>
      <c r="D2687" s="1">
        <v>0.54</v>
      </c>
      <c r="E2687" s="1" t="s">
        <v>113</v>
      </c>
      <c r="F2687" s="1" t="s">
        <v>113</v>
      </c>
      <c r="G2687" s="1" t="s">
        <v>113</v>
      </c>
      <c r="H2687" s="1" t="str">
        <f>VLOOKUP(F2687,Countries!$A$1:$B$161,2,0)</f>
        <v>United States of America</v>
      </c>
    </row>
    <row r="2688" spans="1:8" x14ac:dyDescent="0.3">
      <c r="A2688" s="3">
        <v>46253.942557870367</v>
      </c>
      <c r="B2688" s="1">
        <v>10.85</v>
      </c>
      <c r="C2688" s="1">
        <v>9.2899999999999991</v>
      </c>
      <c r="D2688" s="1">
        <v>0.74</v>
      </c>
      <c r="E2688" s="1" t="s">
        <v>115</v>
      </c>
      <c r="F2688" s="1" t="s">
        <v>115</v>
      </c>
      <c r="G2688" s="1" t="s">
        <v>115</v>
      </c>
      <c r="H2688" s="1" t="str">
        <f>VLOOKUP(F2688,Countries!$A$1:$B$161,2,0)</f>
        <v>Switzerland</v>
      </c>
    </row>
    <row r="2689" spans="1:8" x14ac:dyDescent="0.3">
      <c r="A2689" s="3">
        <v>46253.93613425926</v>
      </c>
      <c r="B2689" s="1">
        <v>6.37</v>
      </c>
      <c r="C2689" s="1">
        <v>5.46</v>
      </c>
      <c r="D2689" s="1">
        <v>0.54</v>
      </c>
      <c r="E2689" s="1" t="s">
        <v>113</v>
      </c>
      <c r="F2689" s="1" t="s">
        <v>113</v>
      </c>
      <c r="G2689" s="1" t="s">
        <v>113</v>
      </c>
      <c r="H2689" s="1" t="str">
        <f>VLOOKUP(F2689,Countries!$A$1:$B$161,2,0)</f>
        <v>United States of America</v>
      </c>
    </row>
    <row r="2690" spans="1:8" x14ac:dyDescent="0.3">
      <c r="A2690" s="3">
        <v>46253.925995370373</v>
      </c>
      <c r="B2690" s="1">
        <v>10.85</v>
      </c>
      <c r="C2690" s="1">
        <v>9.2899999999999991</v>
      </c>
      <c r="D2690" s="1">
        <v>0.74</v>
      </c>
      <c r="E2690" s="1" t="s">
        <v>115</v>
      </c>
      <c r="F2690" s="1" t="s">
        <v>115</v>
      </c>
      <c r="G2690" s="1" t="s">
        <v>115</v>
      </c>
      <c r="H2690" s="1" t="str">
        <f>VLOOKUP(F2690,Countries!$A$1:$B$161,2,0)</f>
        <v>Switzerland</v>
      </c>
    </row>
    <row r="2691" spans="1:8" x14ac:dyDescent="0.3">
      <c r="A2691" s="3">
        <v>46253.918703703697</v>
      </c>
      <c r="B2691" s="1">
        <v>5.99</v>
      </c>
      <c r="C2691" s="1">
        <v>5.13</v>
      </c>
      <c r="D2691" s="1">
        <v>0.52</v>
      </c>
      <c r="E2691" s="1" t="s">
        <v>113</v>
      </c>
      <c r="F2691" s="1" t="s">
        <v>113</v>
      </c>
      <c r="G2691" s="1" t="s">
        <v>113</v>
      </c>
      <c r="H2691" s="1" t="str">
        <f>VLOOKUP(F2691,Countries!$A$1:$B$161,2,0)</f>
        <v>United States of America</v>
      </c>
    </row>
    <row r="2692" spans="1:8" x14ac:dyDescent="0.3">
      <c r="A2692" s="3">
        <v>46253.915254629632</v>
      </c>
      <c r="B2692" s="1">
        <v>2.11</v>
      </c>
      <c r="C2692" s="1">
        <v>1.81</v>
      </c>
      <c r="D2692" s="1">
        <v>0.35</v>
      </c>
      <c r="E2692" s="1" t="s">
        <v>113</v>
      </c>
      <c r="F2692" s="1" t="s">
        <v>113</v>
      </c>
      <c r="G2692" s="1" t="s">
        <v>113</v>
      </c>
      <c r="H2692" s="1" t="str">
        <f>VLOOKUP(F2692,Countries!$A$1:$B$161,2,0)</f>
        <v>United States of America</v>
      </c>
    </row>
    <row r="2693" spans="1:8" x14ac:dyDescent="0.3">
      <c r="A2693" s="3">
        <v>46253.913680555554</v>
      </c>
      <c r="B2693" s="1">
        <v>7.48</v>
      </c>
      <c r="C2693" s="1">
        <v>6.41</v>
      </c>
      <c r="D2693" s="1">
        <v>0.48</v>
      </c>
      <c r="E2693" s="1" t="s">
        <v>123</v>
      </c>
      <c r="F2693" s="1" t="s">
        <v>123</v>
      </c>
      <c r="G2693" s="1" t="s">
        <v>123</v>
      </c>
      <c r="H2693" s="1" t="str">
        <f>VLOOKUP(F2693,Countries!$A$1:$B$161,2,0)</f>
        <v>France</v>
      </c>
    </row>
    <row r="2694" spans="1:8" x14ac:dyDescent="0.3">
      <c r="A2694" s="3">
        <v>46253.912638888891</v>
      </c>
      <c r="B2694" s="1">
        <v>10.85</v>
      </c>
      <c r="C2694" s="1">
        <v>9.2899999999999991</v>
      </c>
      <c r="D2694" s="1">
        <v>0.74</v>
      </c>
      <c r="E2694" s="1" t="s">
        <v>115</v>
      </c>
      <c r="F2694" s="1" t="s">
        <v>115</v>
      </c>
      <c r="G2694" s="1" t="s">
        <v>115</v>
      </c>
      <c r="H2694" s="1" t="str">
        <f>VLOOKUP(F2694,Countries!$A$1:$B$161,2,0)</f>
        <v>Switzerland</v>
      </c>
    </row>
    <row r="2695" spans="1:8" x14ac:dyDescent="0.3">
      <c r="A2695" s="3">
        <v>46253.910856481481</v>
      </c>
      <c r="B2695" s="1">
        <v>6.37</v>
      </c>
      <c r="C2695" s="1">
        <v>5.45</v>
      </c>
      <c r="D2695" s="1">
        <v>0.54</v>
      </c>
      <c r="E2695" s="1" t="s">
        <v>113</v>
      </c>
      <c r="F2695" s="1" t="s">
        <v>113</v>
      </c>
      <c r="G2695" s="1" t="s">
        <v>113</v>
      </c>
      <c r="H2695" s="1" t="str">
        <f>VLOOKUP(F2695,Countries!$A$1:$B$161,2,0)</f>
        <v>United States of America</v>
      </c>
    </row>
    <row r="2696" spans="1:8" x14ac:dyDescent="0.3">
      <c r="A2696" s="3">
        <v>46253.901435185187</v>
      </c>
      <c r="B2696" s="1">
        <v>10.85</v>
      </c>
      <c r="C2696" s="1">
        <v>9.2899999999999991</v>
      </c>
      <c r="D2696" s="1">
        <v>0.74</v>
      </c>
      <c r="E2696" s="1" t="s">
        <v>115</v>
      </c>
      <c r="F2696" s="1" t="s">
        <v>115</v>
      </c>
      <c r="G2696" s="1" t="s">
        <v>115</v>
      </c>
      <c r="H2696" s="1" t="str">
        <f>VLOOKUP(F2696,Countries!$A$1:$B$161,2,0)</f>
        <v>Switzerland</v>
      </c>
    </row>
    <row r="2697" spans="1:8" x14ac:dyDescent="0.3">
      <c r="A2697" s="3">
        <v>46253.897453703707</v>
      </c>
      <c r="B2697" s="1">
        <v>7.48</v>
      </c>
      <c r="C2697" s="1">
        <v>6.41</v>
      </c>
      <c r="D2697" s="1">
        <v>0.59</v>
      </c>
      <c r="E2697" s="1" t="s">
        <v>165</v>
      </c>
      <c r="F2697" s="1" t="s">
        <v>165</v>
      </c>
      <c r="G2697" s="1" t="s">
        <v>165</v>
      </c>
      <c r="H2697" s="1" t="str">
        <f>VLOOKUP(F2697,Countries!$A$1:$B$161,2,0)</f>
        <v>Israel</v>
      </c>
    </row>
    <row r="2698" spans="1:8" x14ac:dyDescent="0.3">
      <c r="A2698" s="3">
        <v>46253.894409722219</v>
      </c>
      <c r="B2698" s="1">
        <v>10.85</v>
      </c>
      <c r="C2698" s="1">
        <v>9.2899999999999991</v>
      </c>
      <c r="D2698" s="1">
        <v>0.74</v>
      </c>
      <c r="E2698" s="1" t="s">
        <v>115</v>
      </c>
      <c r="F2698" s="1" t="s">
        <v>115</v>
      </c>
      <c r="G2698" s="1" t="s">
        <v>115</v>
      </c>
      <c r="H2698" s="1" t="str">
        <f>VLOOKUP(F2698,Countries!$A$1:$B$161,2,0)</f>
        <v>Switzerland</v>
      </c>
    </row>
    <row r="2699" spans="1:8" x14ac:dyDescent="0.3">
      <c r="A2699" s="3">
        <v>46253.878067129634</v>
      </c>
      <c r="B2699" s="1">
        <v>6.65</v>
      </c>
      <c r="C2699" s="1">
        <v>5.69</v>
      </c>
      <c r="D2699" s="1">
        <v>0.54</v>
      </c>
      <c r="E2699" s="1" t="s">
        <v>121</v>
      </c>
      <c r="F2699" s="1" t="s">
        <v>121</v>
      </c>
      <c r="G2699" s="1" t="s">
        <v>121</v>
      </c>
      <c r="H2699" s="1" t="str">
        <f>VLOOKUP(F2699,Countries!$A$1:$B$161,2,0)</f>
        <v>Japan</v>
      </c>
    </row>
    <row r="2700" spans="1:8" x14ac:dyDescent="0.3">
      <c r="A2700" s="3">
        <v>46253.871296296304</v>
      </c>
      <c r="B2700" s="1">
        <v>2.11</v>
      </c>
      <c r="C2700" s="1">
        <v>1.81</v>
      </c>
      <c r="D2700" s="1">
        <v>0.35</v>
      </c>
      <c r="E2700" s="1" t="s">
        <v>113</v>
      </c>
      <c r="F2700" s="1" t="s">
        <v>113</v>
      </c>
      <c r="G2700" s="1" t="s">
        <v>113</v>
      </c>
      <c r="H2700" s="1" t="str">
        <f>VLOOKUP(F2700,Countries!$A$1:$B$161,2,0)</f>
        <v>United States of America</v>
      </c>
    </row>
    <row r="2701" spans="1:8" x14ac:dyDescent="0.3">
      <c r="A2701" s="3">
        <v>46253.862662037027</v>
      </c>
      <c r="B2701" s="1">
        <v>3.14</v>
      </c>
      <c r="C2701" s="1">
        <v>2.69</v>
      </c>
      <c r="D2701" s="1">
        <v>0.39</v>
      </c>
      <c r="E2701" s="1" t="s">
        <v>143</v>
      </c>
      <c r="F2701" s="1" t="s">
        <v>143</v>
      </c>
      <c r="G2701" s="1" t="s">
        <v>143</v>
      </c>
      <c r="H2701" s="1" t="str">
        <f>VLOOKUP(F2701,Countries!$A$1:$B$161,2,0)</f>
        <v>United Arab Emirates</v>
      </c>
    </row>
    <row r="2702" spans="1:8" x14ac:dyDescent="0.3">
      <c r="A2702" s="3">
        <v>46253.86209490741</v>
      </c>
      <c r="B2702" s="1">
        <v>6.37</v>
      </c>
      <c r="C2702" s="1">
        <v>5.45</v>
      </c>
      <c r="D2702" s="1">
        <v>0.54</v>
      </c>
      <c r="E2702" s="1" t="s">
        <v>113</v>
      </c>
      <c r="F2702" s="1" t="s">
        <v>113</v>
      </c>
      <c r="G2702" s="1" t="s">
        <v>113</v>
      </c>
      <c r="H2702" s="1" t="str">
        <f>VLOOKUP(F2702,Countries!$A$1:$B$161,2,0)</f>
        <v>United States of America</v>
      </c>
    </row>
    <row r="2703" spans="1:8" x14ac:dyDescent="0.3">
      <c r="A2703" s="3">
        <v>46253.859282407408</v>
      </c>
      <c r="B2703" s="1">
        <v>17.010000000000002</v>
      </c>
      <c r="C2703" s="1">
        <v>14.57</v>
      </c>
      <c r="D2703" s="1">
        <v>1.01</v>
      </c>
      <c r="E2703" s="1" t="s">
        <v>113</v>
      </c>
      <c r="F2703" s="1" t="s">
        <v>113</v>
      </c>
      <c r="G2703" s="1" t="s">
        <v>113</v>
      </c>
      <c r="H2703" s="1" t="str">
        <f>VLOOKUP(F2703,Countries!$A$1:$B$161,2,0)</f>
        <v>United States of America</v>
      </c>
    </row>
    <row r="2704" spans="1:8" x14ac:dyDescent="0.3">
      <c r="A2704" s="3">
        <v>46253.85665509259</v>
      </c>
      <c r="B2704" s="1">
        <v>7.48</v>
      </c>
      <c r="C2704" s="1">
        <v>6.4</v>
      </c>
      <c r="D2704" s="1">
        <v>0.54</v>
      </c>
      <c r="E2704" s="1" t="s">
        <v>119</v>
      </c>
      <c r="F2704" s="1" t="s">
        <v>119</v>
      </c>
      <c r="G2704" s="1" t="s">
        <v>119</v>
      </c>
      <c r="H2704" s="1" t="str">
        <f>VLOOKUP(F2704,Countries!$A$1:$B$161,2,0)</f>
        <v>Great Britain (United Kingdom)</v>
      </c>
    </row>
    <row r="2705" spans="1:8" x14ac:dyDescent="0.3">
      <c r="A2705" s="3">
        <v>46253.851030092592</v>
      </c>
      <c r="B2705" s="1">
        <v>17.36</v>
      </c>
      <c r="C2705" s="1">
        <v>14.87</v>
      </c>
      <c r="D2705" s="1">
        <v>0.92</v>
      </c>
      <c r="E2705" s="1" t="s">
        <v>119</v>
      </c>
      <c r="F2705" s="1" t="s">
        <v>119</v>
      </c>
      <c r="G2705" s="1" t="s">
        <v>119</v>
      </c>
      <c r="H2705" s="1" t="str">
        <f>VLOOKUP(F2705,Countries!$A$1:$B$161,2,0)</f>
        <v>Great Britain (United Kingdom)</v>
      </c>
    </row>
    <row r="2706" spans="1:8" x14ac:dyDescent="0.3">
      <c r="A2706" s="3">
        <v>46253.840428240743</v>
      </c>
      <c r="B2706" s="1">
        <v>3.73</v>
      </c>
      <c r="C2706" s="1">
        <v>3.19</v>
      </c>
      <c r="D2706" s="1">
        <v>0.39</v>
      </c>
      <c r="E2706" s="1" t="s">
        <v>119</v>
      </c>
      <c r="F2706" s="1" t="s">
        <v>119</v>
      </c>
      <c r="G2706" s="1" t="s">
        <v>119</v>
      </c>
      <c r="H2706" s="1" t="str">
        <f>VLOOKUP(F2706,Countries!$A$1:$B$161,2,0)</f>
        <v>Great Britain (United Kingdom)</v>
      </c>
    </row>
    <row r="2707" spans="1:8" x14ac:dyDescent="0.3">
      <c r="A2707" s="3">
        <v>46253.824108796303</v>
      </c>
      <c r="B2707" s="1">
        <v>6.37</v>
      </c>
      <c r="C2707" s="1">
        <v>5.46</v>
      </c>
      <c r="D2707" s="1">
        <v>0.54</v>
      </c>
      <c r="E2707" s="1" t="s">
        <v>113</v>
      </c>
      <c r="F2707" s="1" t="s">
        <v>113</v>
      </c>
      <c r="G2707" s="1" t="s">
        <v>113</v>
      </c>
      <c r="H2707" s="1" t="str">
        <f>VLOOKUP(F2707,Countries!$A$1:$B$161,2,0)</f>
        <v>United States of America</v>
      </c>
    </row>
    <row r="2708" spans="1:8" x14ac:dyDescent="0.3">
      <c r="A2708" s="3">
        <v>46253.819652777784</v>
      </c>
      <c r="B2708" s="1">
        <v>12.48</v>
      </c>
      <c r="C2708" s="1">
        <v>10.69</v>
      </c>
      <c r="D2708" s="1">
        <v>0.73</v>
      </c>
      <c r="E2708" s="1" t="s">
        <v>119</v>
      </c>
      <c r="F2708" s="1" t="s">
        <v>119</v>
      </c>
      <c r="G2708" s="1" t="s">
        <v>119</v>
      </c>
      <c r="H2708" s="1" t="str">
        <f>VLOOKUP(F2708,Countries!$A$1:$B$161,2,0)</f>
        <v>Great Britain (United Kingdom)</v>
      </c>
    </row>
    <row r="2709" spans="1:8" x14ac:dyDescent="0.3">
      <c r="A2709" s="3">
        <v>46253.819155092591</v>
      </c>
      <c r="B2709" s="1">
        <v>2.99</v>
      </c>
      <c r="C2709" s="1">
        <v>2.56</v>
      </c>
      <c r="D2709" s="1">
        <v>0.38</v>
      </c>
      <c r="E2709" s="1" t="s">
        <v>113</v>
      </c>
      <c r="F2709" s="1" t="s">
        <v>113</v>
      </c>
      <c r="G2709" s="1" t="s">
        <v>113</v>
      </c>
      <c r="H2709" s="1" t="str">
        <f>VLOOKUP(F2709,Countries!$A$1:$B$161,2,0)</f>
        <v>United States of America</v>
      </c>
    </row>
    <row r="2710" spans="1:8" x14ac:dyDescent="0.3">
      <c r="A2710" s="3">
        <v>46253.812962962962</v>
      </c>
      <c r="B2710" s="1">
        <v>10.85</v>
      </c>
      <c r="C2710" s="1">
        <v>9.2899999999999991</v>
      </c>
      <c r="D2710" s="1">
        <v>0.74</v>
      </c>
      <c r="E2710" s="1" t="s">
        <v>115</v>
      </c>
      <c r="F2710" s="1" t="s">
        <v>115</v>
      </c>
      <c r="G2710" s="1" t="s">
        <v>115</v>
      </c>
      <c r="H2710" s="1" t="str">
        <f>VLOOKUP(F2710,Countries!$A$1:$B$161,2,0)</f>
        <v>Switzerland</v>
      </c>
    </row>
    <row r="2711" spans="1:8" x14ac:dyDescent="0.3">
      <c r="A2711" s="3">
        <v>46253.808865740742</v>
      </c>
      <c r="B2711" s="1">
        <v>10.62</v>
      </c>
      <c r="C2711" s="1">
        <v>9.1</v>
      </c>
      <c r="D2711" s="1">
        <v>0.73</v>
      </c>
      <c r="E2711" s="1" t="s">
        <v>113</v>
      </c>
      <c r="F2711" s="1" t="s">
        <v>113</v>
      </c>
      <c r="G2711" s="1" t="s">
        <v>113</v>
      </c>
      <c r="H2711" s="1" t="str">
        <f>VLOOKUP(F2711,Countries!$A$1:$B$161,2,0)</f>
        <v>United States of America</v>
      </c>
    </row>
    <row r="2712" spans="1:8" x14ac:dyDescent="0.3">
      <c r="A2712" s="3">
        <v>46253.806516203702</v>
      </c>
      <c r="B2712" s="1">
        <v>10.85</v>
      </c>
      <c r="C2712" s="1">
        <v>9.2899999999999991</v>
      </c>
      <c r="D2712" s="1">
        <v>0.74</v>
      </c>
      <c r="E2712" s="1" t="s">
        <v>115</v>
      </c>
      <c r="F2712" s="1" t="s">
        <v>115</v>
      </c>
      <c r="G2712" s="1" t="s">
        <v>115</v>
      </c>
      <c r="H2712" s="1" t="str">
        <f>VLOOKUP(F2712,Countries!$A$1:$B$161,2,0)</f>
        <v>Switzerland</v>
      </c>
    </row>
    <row r="2713" spans="1:8" x14ac:dyDescent="0.3">
      <c r="A2713" s="3">
        <v>46253.80641203704</v>
      </c>
      <c r="B2713" s="1">
        <v>6.37</v>
      </c>
      <c r="C2713" s="1">
        <v>5.46</v>
      </c>
      <c r="D2713" s="1">
        <v>0.54</v>
      </c>
      <c r="E2713" s="1" t="s">
        <v>113</v>
      </c>
      <c r="F2713" s="1" t="s">
        <v>113</v>
      </c>
      <c r="G2713" s="1" t="s">
        <v>113</v>
      </c>
      <c r="H2713" s="1" t="str">
        <f>VLOOKUP(F2713,Countries!$A$1:$B$161,2,0)</f>
        <v>United States of America</v>
      </c>
    </row>
    <row r="2714" spans="1:8" x14ac:dyDescent="0.3">
      <c r="A2714" s="3">
        <v>46253.806296296287</v>
      </c>
      <c r="B2714" s="1">
        <v>14.77</v>
      </c>
      <c r="C2714" s="1">
        <v>12.65</v>
      </c>
      <c r="D2714" s="1">
        <v>0.91</v>
      </c>
      <c r="E2714" s="1" t="s">
        <v>113</v>
      </c>
      <c r="F2714" s="1" t="s">
        <v>113</v>
      </c>
      <c r="G2714" s="1" t="s">
        <v>113</v>
      </c>
      <c r="H2714" s="1" t="str">
        <f>VLOOKUP(F2714,Countries!$A$1:$B$161,2,0)</f>
        <v>United States of America</v>
      </c>
    </row>
    <row r="2715" spans="1:8" x14ac:dyDescent="0.3">
      <c r="A2715" s="3">
        <v>46253.800486111111</v>
      </c>
      <c r="B2715" s="1">
        <v>10.85</v>
      </c>
      <c r="C2715" s="1">
        <v>9.2899999999999991</v>
      </c>
      <c r="D2715" s="1">
        <v>0.74</v>
      </c>
      <c r="E2715" s="1" t="s">
        <v>115</v>
      </c>
      <c r="F2715" s="1" t="s">
        <v>115</v>
      </c>
      <c r="G2715" s="1" t="s">
        <v>115</v>
      </c>
      <c r="H2715" s="1" t="str">
        <f>VLOOKUP(F2715,Countries!$A$1:$B$161,2,0)</f>
        <v>Switzerland</v>
      </c>
    </row>
    <row r="2716" spans="1:8" x14ac:dyDescent="0.3">
      <c r="A2716" s="3">
        <v>46253.798854166656</v>
      </c>
      <c r="B2716" s="1">
        <v>6.37</v>
      </c>
      <c r="C2716" s="1">
        <v>5.46</v>
      </c>
      <c r="D2716" s="1">
        <v>0.54</v>
      </c>
      <c r="E2716" s="1" t="s">
        <v>113</v>
      </c>
      <c r="F2716" s="1" t="s">
        <v>113</v>
      </c>
      <c r="G2716" s="1" t="s">
        <v>113</v>
      </c>
      <c r="H2716" s="1" t="str">
        <f>VLOOKUP(F2716,Countries!$A$1:$B$161,2,0)</f>
        <v>United States of America</v>
      </c>
    </row>
    <row r="2717" spans="1:8" x14ac:dyDescent="0.3">
      <c r="A2717" s="3">
        <v>46253.791122685187</v>
      </c>
      <c r="B2717" s="1">
        <v>10.85</v>
      </c>
      <c r="C2717" s="1">
        <v>9.31</v>
      </c>
      <c r="D2717" s="1">
        <v>0.74</v>
      </c>
      <c r="E2717" s="1" t="s">
        <v>115</v>
      </c>
      <c r="F2717" s="1" t="s">
        <v>115</v>
      </c>
      <c r="G2717" s="1" t="s">
        <v>115</v>
      </c>
      <c r="H2717" s="1" t="str">
        <f>VLOOKUP(F2717,Countries!$A$1:$B$161,2,0)</f>
        <v>Switzerland</v>
      </c>
    </row>
    <row r="2718" spans="1:8" x14ac:dyDescent="0.3">
      <c r="A2718" s="3">
        <v>46253.790532407409</v>
      </c>
      <c r="B2718" s="1">
        <v>2.11</v>
      </c>
      <c r="C2718" s="1">
        <v>1.81</v>
      </c>
      <c r="D2718" s="1">
        <v>0.35</v>
      </c>
      <c r="E2718" s="1" t="s">
        <v>113</v>
      </c>
      <c r="F2718" s="1" t="s">
        <v>113</v>
      </c>
      <c r="G2718" s="1" t="s">
        <v>113</v>
      </c>
      <c r="H2718" s="1" t="str">
        <f>VLOOKUP(F2718,Countries!$A$1:$B$161,2,0)</f>
        <v>United States of America</v>
      </c>
    </row>
    <row r="2719" spans="1:8" x14ac:dyDescent="0.3">
      <c r="A2719" s="3">
        <v>46253.788159722222</v>
      </c>
      <c r="B2719" s="1">
        <v>6.37</v>
      </c>
      <c r="C2719" s="1">
        <v>5.46</v>
      </c>
      <c r="D2719" s="1">
        <v>0.54</v>
      </c>
      <c r="E2719" s="1" t="s">
        <v>113</v>
      </c>
      <c r="F2719" s="1" t="s">
        <v>113</v>
      </c>
      <c r="G2719" s="1" t="s">
        <v>113</v>
      </c>
      <c r="H2719" s="1" t="str">
        <f>VLOOKUP(F2719,Countries!$A$1:$B$161,2,0)</f>
        <v>United States of America</v>
      </c>
    </row>
    <row r="2720" spans="1:8" x14ac:dyDescent="0.3">
      <c r="A2720" s="3">
        <v>46253.784224537027</v>
      </c>
      <c r="B2720" s="1">
        <v>6.3</v>
      </c>
      <c r="C2720" s="1">
        <v>5.4</v>
      </c>
      <c r="D2720" s="1">
        <v>0.54</v>
      </c>
      <c r="E2720" s="1" t="s">
        <v>132</v>
      </c>
      <c r="F2720" s="1" t="s">
        <v>132</v>
      </c>
      <c r="G2720" s="1" t="s">
        <v>132</v>
      </c>
      <c r="H2720" s="1" t="str">
        <f>VLOOKUP(F2720,Countries!$A$1:$B$161,2,0)</f>
        <v>Canada</v>
      </c>
    </row>
    <row r="2721" spans="1:8" x14ac:dyDescent="0.3">
      <c r="A2721" s="3">
        <v>46253.777129629627</v>
      </c>
      <c r="B2721" s="1">
        <v>7.48</v>
      </c>
      <c r="C2721" s="1">
        <v>6.42</v>
      </c>
      <c r="D2721" s="1">
        <v>0.54</v>
      </c>
      <c r="E2721" s="1" t="s">
        <v>119</v>
      </c>
      <c r="F2721" s="1" t="s">
        <v>119</v>
      </c>
      <c r="G2721" s="1" t="s">
        <v>119</v>
      </c>
      <c r="H2721" s="1" t="str">
        <f>VLOOKUP(F2721,Countries!$A$1:$B$161,2,0)</f>
        <v>Great Britain (United Kingdom)</v>
      </c>
    </row>
    <row r="2722" spans="1:8" x14ac:dyDescent="0.3">
      <c r="A2722" s="3">
        <v>46253.776666666658</v>
      </c>
      <c r="B2722" s="1">
        <v>17.010000000000002</v>
      </c>
      <c r="C2722" s="1">
        <v>14.59</v>
      </c>
      <c r="D2722" s="1">
        <v>1.01</v>
      </c>
      <c r="E2722" s="1" t="s">
        <v>113</v>
      </c>
      <c r="F2722" s="1" t="s">
        <v>113</v>
      </c>
      <c r="G2722" s="1" t="s">
        <v>113</v>
      </c>
      <c r="H2722" s="1" t="str">
        <f>VLOOKUP(F2722,Countries!$A$1:$B$161,2,0)</f>
        <v>United States of America</v>
      </c>
    </row>
    <row r="2723" spans="1:8" x14ac:dyDescent="0.3">
      <c r="A2723" s="3">
        <v>46253.771793981483</v>
      </c>
      <c r="B2723" s="1">
        <v>10.85</v>
      </c>
      <c r="C2723" s="1">
        <v>9.31</v>
      </c>
      <c r="D2723" s="1">
        <v>0.74</v>
      </c>
      <c r="E2723" s="1" t="s">
        <v>115</v>
      </c>
      <c r="F2723" s="1" t="s">
        <v>115</v>
      </c>
      <c r="G2723" s="1" t="s">
        <v>115</v>
      </c>
      <c r="H2723" s="1" t="str">
        <f>VLOOKUP(F2723,Countries!$A$1:$B$161,2,0)</f>
        <v>Switzerland</v>
      </c>
    </row>
    <row r="2724" spans="1:8" x14ac:dyDescent="0.3">
      <c r="A2724" s="3">
        <v>46253.767199074071</v>
      </c>
      <c r="B2724" s="1">
        <v>6.37</v>
      </c>
      <c r="C2724" s="1">
        <v>5.46</v>
      </c>
      <c r="D2724" s="1">
        <v>0.54</v>
      </c>
      <c r="E2724" s="1" t="s">
        <v>113</v>
      </c>
      <c r="F2724" s="1" t="s">
        <v>113</v>
      </c>
      <c r="G2724" s="1" t="s">
        <v>113</v>
      </c>
      <c r="H2724" s="1" t="str">
        <f>VLOOKUP(F2724,Countries!$A$1:$B$161,2,0)</f>
        <v>United States of America</v>
      </c>
    </row>
    <row r="2725" spans="1:8" x14ac:dyDescent="0.3">
      <c r="A2725" s="3">
        <v>46253.765509259261</v>
      </c>
      <c r="B2725" s="1">
        <v>2.11</v>
      </c>
      <c r="C2725" s="1">
        <v>1.81</v>
      </c>
      <c r="D2725" s="1">
        <v>0.35</v>
      </c>
      <c r="E2725" s="1" t="s">
        <v>113</v>
      </c>
      <c r="F2725" s="1" t="s">
        <v>113</v>
      </c>
      <c r="G2725" s="1" t="s">
        <v>113</v>
      </c>
      <c r="H2725" s="1" t="str">
        <f>VLOOKUP(F2725,Countries!$A$1:$B$161,2,0)</f>
        <v>United States of America</v>
      </c>
    </row>
    <row r="2726" spans="1:8" x14ac:dyDescent="0.3">
      <c r="A2726" s="3">
        <v>46253.765162037038</v>
      </c>
      <c r="B2726" s="1">
        <v>1.99</v>
      </c>
      <c r="C2726" s="1">
        <v>1.71</v>
      </c>
      <c r="D2726" s="1">
        <v>0.34</v>
      </c>
      <c r="E2726" s="1" t="s">
        <v>130</v>
      </c>
      <c r="F2726" s="1" t="s">
        <v>130</v>
      </c>
      <c r="G2726" s="1" t="s">
        <v>130</v>
      </c>
      <c r="H2726" s="1" t="str">
        <f>VLOOKUP(F2726,Countries!$A$1:$B$161,2,0)</f>
        <v>Australia</v>
      </c>
    </row>
    <row r="2727" spans="1:8" x14ac:dyDescent="0.3">
      <c r="A2727" s="3">
        <v>46253.756493055553</v>
      </c>
      <c r="B2727" s="1">
        <v>7.04</v>
      </c>
      <c r="C2727" s="1">
        <v>6.04</v>
      </c>
      <c r="D2727" s="1">
        <v>0.56999999999999995</v>
      </c>
      <c r="E2727" s="1" t="s">
        <v>160</v>
      </c>
      <c r="F2727" s="1" t="s">
        <v>160</v>
      </c>
      <c r="G2727" s="1" t="s">
        <v>160</v>
      </c>
      <c r="H2727" s="1" t="str">
        <f>VLOOKUP(F2727,Countries!$A$1:$B$161,2,0)</f>
        <v>New Zealand</v>
      </c>
    </row>
    <row r="2728" spans="1:8" x14ac:dyDescent="0.3">
      <c r="A2728" s="3">
        <v>46253.74486111111</v>
      </c>
      <c r="B2728" s="1">
        <v>2.11</v>
      </c>
      <c r="C2728" s="1">
        <v>1.81</v>
      </c>
      <c r="D2728" s="1">
        <v>0.35</v>
      </c>
      <c r="E2728" s="1" t="s">
        <v>113</v>
      </c>
      <c r="F2728" s="1" t="s">
        <v>113</v>
      </c>
      <c r="G2728" s="1" t="s">
        <v>113</v>
      </c>
      <c r="H2728" s="1" t="str">
        <f>VLOOKUP(F2728,Countries!$A$1:$B$161,2,0)</f>
        <v>United States of America</v>
      </c>
    </row>
    <row r="2729" spans="1:8" x14ac:dyDescent="0.3">
      <c r="A2729" s="3">
        <v>46253.735833333332</v>
      </c>
      <c r="B2729" s="1">
        <v>50.62</v>
      </c>
      <c r="C2729" s="1">
        <v>43.38</v>
      </c>
      <c r="D2729" s="1">
        <v>1.77</v>
      </c>
      <c r="E2729" s="1" t="s">
        <v>113</v>
      </c>
      <c r="F2729" s="1" t="s">
        <v>113</v>
      </c>
      <c r="G2729" s="1" t="s">
        <v>113</v>
      </c>
      <c r="H2729" s="1" t="str">
        <f>VLOOKUP(F2729,Countries!$A$1:$B$161,2,0)</f>
        <v>United States of America</v>
      </c>
    </row>
    <row r="2730" spans="1:8" x14ac:dyDescent="0.3">
      <c r="A2730" s="3">
        <v>46253.733090277783</v>
      </c>
      <c r="B2730" s="1">
        <v>12.64</v>
      </c>
      <c r="C2730" s="1">
        <v>10.83</v>
      </c>
      <c r="D2730" s="1">
        <v>0.63</v>
      </c>
      <c r="E2730" s="1" t="s">
        <v>113</v>
      </c>
      <c r="F2730" s="1" t="s">
        <v>113</v>
      </c>
      <c r="G2730" s="1" t="s">
        <v>113</v>
      </c>
      <c r="H2730" s="1" t="str">
        <f>VLOOKUP(F2730,Countries!$A$1:$B$161,2,0)</f>
        <v>United States of America</v>
      </c>
    </row>
    <row r="2731" spans="1:8" x14ac:dyDescent="0.3">
      <c r="A2731" s="3">
        <v>46253.73296296296</v>
      </c>
      <c r="B2731" s="1">
        <v>12.64</v>
      </c>
      <c r="C2731" s="1">
        <v>10.83</v>
      </c>
      <c r="D2731" s="1">
        <v>0.63</v>
      </c>
      <c r="E2731" s="1" t="s">
        <v>113</v>
      </c>
      <c r="F2731" s="1" t="s">
        <v>113</v>
      </c>
      <c r="G2731" s="1" t="s">
        <v>113</v>
      </c>
      <c r="H2731" s="1" t="str">
        <f>VLOOKUP(F2731,Countries!$A$1:$B$161,2,0)</f>
        <v>United States of America</v>
      </c>
    </row>
    <row r="2732" spans="1:8" x14ac:dyDescent="0.3">
      <c r="A2732" s="3">
        <v>46253.732025462959</v>
      </c>
      <c r="B2732" s="1">
        <v>12.64</v>
      </c>
      <c r="C2732" s="1">
        <v>10.83</v>
      </c>
      <c r="D2732" s="1">
        <v>0.63</v>
      </c>
      <c r="E2732" s="1" t="s">
        <v>113</v>
      </c>
      <c r="F2732" s="1" t="s">
        <v>113</v>
      </c>
      <c r="G2732" s="1" t="s">
        <v>113</v>
      </c>
      <c r="H2732" s="1" t="str">
        <f>VLOOKUP(F2732,Countries!$A$1:$B$161,2,0)</f>
        <v>United States of America</v>
      </c>
    </row>
    <row r="2733" spans="1:8" x14ac:dyDescent="0.3">
      <c r="A2733" s="3">
        <v>46253.73164351852</v>
      </c>
      <c r="B2733" s="1">
        <v>7.58</v>
      </c>
      <c r="C2733" s="1">
        <v>6.5</v>
      </c>
      <c r="D2733" s="1">
        <v>0.48</v>
      </c>
      <c r="E2733" s="1" t="s">
        <v>116</v>
      </c>
      <c r="F2733" s="1" t="s">
        <v>116</v>
      </c>
      <c r="G2733" s="1" t="s">
        <v>116</v>
      </c>
      <c r="H2733" s="1" t="str">
        <f>VLOOKUP(F2733,Countries!$A$1:$B$161,2,0)</f>
        <v>Spain</v>
      </c>
    </row>
    <row r="2734" spans="1:8" x14ac:dyDescent="0.3">
      <c r="A2734" s="3">
        <v>46253.726481481477</v>
      </c>
      <c r="B2734" s="1">
        <v>3.78</v>
      </c>
      <c r="C2734" s="1">
        <v>3.24</v>
      </c>
      <c r="D2734" s="1">
        <v>0.36</v>
      </c>
      <c r="E2734" s="1" t="s">
        <v>113</v>
      </c>
      <c r="F2734" s="1" t="s">
        <v>113</v>
      </c>
      <c r="G2734" s="1" t="s">
        <v>113</v>
      </c>
      <c r="H2734" s="1" t="str">
        <f>VLOOKUP(F2734,Countries!$A$1:$B$161,2,0)</f>
        <v>United States of America</v>
      </c>
    </row>
    <row r="2735" spans="1:8" x14ac:dyDescent="0.3">
      <c r="A2735" s="3">
        <v>46253.725717592592</v>
      </c>
      <c r="B2735" s="1">
        <v>3.39</v>
      </c>
      <c r="C2735" s="1">
        <v>2.9</v>
      </c>
      <c r="D2735" s="1">
        <v>0.4</v>
      </c>
      <c r="E2735" s="1" t="s">
        <v>114</v>
      </c>
      <c r="F2735" s="1" t="s">
        <v>114</v>
      </c>
      <c r="G2735" s="1" t="s">
        <v>114</v>
      </c>
      <c r="H2735" s="1" t="str">
        <f>VLOOKUP(F2735,Countries!$A$1:$B$161,2,0)</f>
        <v>Philippines</v>
      </c>
    </row>
    <row r="2736" spans="1:8" x14ac:dyDescent="0.3">
      <c r="A2736" s="3">
        <v>46253.724826388891</v>
      </c>
      <c r="B2736" s="1">
        <v>3.73</v>
      </c>
      <c r="C2736" s="1">
        <v>3.2</v>
      </c>
      <c r="D2736" s="1">
        <v>0.41</v>
      </c>
      <c r="E2736" s="1" t="s">
        <v>145</v>
      </c>
      <c r="F2736" s="1" t="s">
        <v>145</v>
      </c>
      <c r="G2736" s="1" t="s">
        <v>145</v>
      </c>
      <c r="H2736" s="1" t="str">
        <f>VLOOKUP(F2736,Countries!$A$1:$B$161,2,0)</f>
        <v>Thailand</v>
      </c>
    </row>
    <row r="2737" spans="1:8" x14ac:dyDescent="0.3">
      <c r="A2737" s="3">
        <v>46253.721932870372</v>
      </c>
      <c r="B2737" s="1">
        <v>14.77</v>
      </c>
      <c r="C2737" s="1">
        <v>12.66</v>
      </c>
      <c r="D2737" s="1">
        <v>0.91</v>
      </c>
      <c r="E2737" s="1" t="s">
        <v>113</v>
      </c>
      <c r="F2737" s="1" t="s">
        <v>113</v>
      </c>
      <c r="G2737" s="1" t="s">
        <v>113</v>
      </c>
      <c r="H2737" s="1" t="str">
        <f>VLOOKUP(F2737,Countries!$A$1:$B$161,2,0)</f>
        <v>United States of America</v>
      </c>
    </row>
    <row r="2738" spans="1:8" x14ac:dyDescent="0.3">
      <c r="A2738" s="3">
        <v>46253.72115740741</v>
      </c>
      <c r="B2738" s="1">
        <v>66.540000000000006</v>
      </c>
      <c r="C2738" s="1">
        <v>57.02</v>
      </c>
      <c r="D2738" s="1">
        <v>3.24</v>
      </c>
      <c r="E2738" s="1" t="s">
        <v>113</v>
      </c>
      <c r="F2738" s="1" t="s">
        <v>113</v>
      </c>
      <c r="G2738" s="1" t="s">
        <v>113</v>
      </c>
      <c r="H2738" s="1" t="str">
        <f>VLOOKUP(F2738,Countries!$A$1:$B$161,2,0)</f>
        <v>United States of America</v>
      </c>
    </row>
    <row r="2739" spans="1:8" x14ac:dyDescent="0.3">
      <c r="A2739" s="3">
        <v>46253.71912037037</v>
      </c>
      <c r="B2739" s="1">
        <v>7.98</v>
      </c>
      <c r="C2739" s="1">
        <v>6.84</v>
      </c>
      <c r="D2739" s="1">
        <v>0.49</v>
      </c>
      <c r="E2739" s="1" t="s">
        <v>178</v>
      </c>
      <c r="F2739" s="1" t="s">
        <v>178</v>
      </c>
      <c r="G2739" s="1" t="s">
        <v>178</v>
      </c>
      <c r="H2739" s="1" t="str">
        <f>VLOOKUP(F2739,Countries!$A$1:$B$161,2,0)</f>
        <v>Sweden</v>
      </c>
    </row>
    <row r="2740" spans="1:8" x14ac:dyDescent="0.3">
      <c r="A2740" s="3">
        <v>46253.716215277767</v>
      </c>
      <c r="B2740" s="1">
        <v>6.65</v>
      </c>
      <c r="C2740" s="1">
        <v>5.7</v>
      </c>
      <c r="D2740" s="1">
        <v>0.55000000000000004</v>
      </c>
      <c r="E2740" s="1" t="s">
        <v>130</v>
      </c>
      <c r="F2740" s="1" t="s">
        <v>130</v>
      </c>
      <c r="G2740" s="1" t="s">
        <v>130</v>
      </c>
      <c r="H2740" s="1" t="str">
        <f>VLOOKUP(F2740,Countries!$A$1:$B$161,2,0)</f>
        <v>Australia</v>
      </c>
    </row>
    <row r="2741" spans="1:8" x14ac:dyDescent="0.3">
      <c r="A2741" s="3">
        <v>46253.715358796297</v>
      </c>
      <c r="B2741" s="1">
        <v>14.77</v>
      </c>
      <c r="C2741" s="1">
        <v>12.66</v>
      </c>
      <c r="D2741" s="1">
        <v>0.91</v>
      </c>
      <c r="E2741" s="1" t="s">
        <v>113</v>
      </c>
      <c r="F2741" s="1" t="s">
        <v>113</v>
      </c>
      <c r="G2741" s="1" t="s">
        <v>113</v>
      </c>
      <c r="H2741" s="1" t="str">
        <f>VLOOKUP(F2741,Countries!$A$1:$B$161,2,0)</f>
        <v>United States of America</v>
      </c>
    </row>
    <row r="2742" spans="1:8" x14ac:dyDescent="0.3">
      <c r="A2742" s="3">
        <v>46253.713923611111</v>
      </c>
      <c r="B2742" s="1">
        <v>14.78</v>
      </c>
      <c r="C2742" s="1">
        <v>12.67</v>
      </c>
      <c r="D2742" s="1">
        <v>0.91</v>
      </c>
      <c r="E2742" s="1" t="s">
        <v>113</v>
      </c>
      <c r="F2742" s="1" t="s">
        <v>113</v>
      </c>
      <c r="G2742" s="1" t="s">
        <v>113</v>
      </c>
      <c r="H2742" s="1" t="str">
        <f>VLOOKUP(F2742,Countries!$A$1:$B$161,2,0)</f>
        <v>United States of America</v>
      </c>
    </row>
    <row r="2743" spans="1:8" x14ac:dyDescent="0.3">
      <c r="A2743" s="3">
        <v>46253.713831018518</v>
      </c>
      <c r="B2743" s="1">
        <v>66.540000000000006</v>
      </c>
      <c r="C2743" s="1">
        <v>57.02</v>
      </c>
      <c r="D2743" s="1">
        <v>3.24</v>
      </c>
      <c r="E2743" s="1" t="s">
        <v>113</v>
      </c>
      <c r="F2743" s="1" t="s">
        <v>113</v>
      </c>
      <c r="G2743" s="1" t="s">
        <v>113</v>
      </c>
      <c r="H2743" s="1" t="str">
        <f>VLOOKUP(F2743,Countries!$A$1:$B$161,2,0)</f>
        <v>United States of America</v>
      </c>
    </row>
    <row r="2744" spans="1:8" x14ac:dyDescent="0.3">
      <c r="A2744" s="3">
        <v>46253.707037037027</v>
      </c>
      <c r="B2744" s="1">
        <v>66.540000000000006</v>
      </c>
      <c r="C2744" s="1">
        <v>57.05</v>
      </c>
      <c r="D2744" s="1">
        <v>3.24</v>
      </c>
      <c r="E2744" s="1" t="s">
        <v>113</v>
      </c>
      <c r="F2744" s="1" t="s">
        <v>113</v>
      </c>
      <c r="G2744" s="1" t="s">
        <v>113</v>
      </c>
      <c r="H2744" s="1" t="str">
        <f>VLOOKUP(F2744,Countries!$A$1:$B$161,2,0)</f>
        <v>United States of America</v>
      </c>
    </row>
    <row r="2745" spans="1:8" x14ac:dyDescent="0.3">
      <c r="A2745" s="3">
        <v>46253.705347222232</v>
      </c>
      <c r="B2745" s="1">
        <v>66.540000000000006</v>
      </c>
      <c r="C2745" s="1">
        <v>57.05</v>
      </c>
      <c r="D2745" s="1">
        <v>3.24</v>
      </c>
      <c r="E2745" s="1" t="s">
        <v>113</v>
      </c>
      <c r="F2745" s="1" t="s">
        <v>113</v>
      </c>
      <c r="G2745" s="1" t="s">
        <v>113</v>
      </c>
      <c r="H2745" s="1" t="str">
        <f>VLOOKUP(F2745,Countries!$A$1:$B$161,2,0)</f>
        <v>United States of America</v>
      </c>
    </row>
    <row r="2746" spans="1:8" x14ac:dyDescent="0.3">
      <c r="A2746" s="3">
        <v>46253.704293981478</v>
      </c>
      <c r="B2746" s="1">
        <v>51.75</v>
      </c>
      <c r="C2746" s="1">
        <v>44.37</v>
      </c>
      <c r="D2746" s="1">
        <v>2.58</v>
      </c>
      <c r="E2746" s="1" t="s">
        <v>113</v>
      </c>
      <c r="F2746" s="1" t="s">
        <v>113</v>
      </c>
      <c r="G2746" s="1" t="s">
        <v>113</v>
      </c>
      <c r="H2746" s="1" t="str">
        <f>VLOOKUP(F2746,Countries!$A$1:$B$161,2,0)</f>
        <v>United States of America</v>
      </c>
    </row>
    <row r="2747" spans="1:8" x14ac:dyDescent="0.3">
      <c r="A2747" s="3">
        <v>46253.700821759259</v>
      </c>
      <c r="B2747" s="1">
        <v>10.99</v>
      </c>
      <c r="C2747" s="1">
        <v>9.42</v>
      </c>
      <c r="D2747" s="1">
        <v>0.75</v>
      </c>
      <c r="E2747" s="1" t="s">
        <v>113</v>
      </c>
      <c r="F2747" s="1" t="s">
        <v>113</v>
      </c>
      <c r="G2747" s="1" t="s">
        <v>113</v>
      </c>
      <c r="H2747" s="1" t="str">
        <f>VLOOKUP(F2747,Countries!$A$1:$B$161,2,0)</f>
        <v>United States of America</v>
      </c>
    </row>
    <row r="2748" spans="1:8" x14ac:dyDescent="0.3">
      <c r="A2748" s="3">
        <v>46253.700567129628</v>
      </c>
      <c r="B2748" s="1">
        <v>6.37</v>
      </c>
      <c r="C2748" s="1">
        <v>5.46</v>
      </c>
      <c r="D2748" s="1">
        <v>0.54</v>
      </c>
      <c r="E2748" s="1" t="s">
        <v>113</v>
      </c>
      <c r="F2748" s="1" t="s">
        <v>113</v>
      </c>
      <c r="G2748" s="1" t="s">
        <v>113</v>
      </c>
      <c r="H2748" s="1" t="str">
        <f>VLOOKUP(F2748,Countries!$A$1:$B$161,2,0)</f>
        <v>United States of America</v>
      </c>
    </row>
    <row r="2749" spans="1:8" x14ac:dyDescent="0.3">
      <c r="A2749" s="3">
        <v>46253.691689814812</v>
      </c>
      <c r="B2749" s="1">
        <v>17.010000000000002</v>
      </c>
      <c r="C2749" s="1">
        <v>14.58</v>
      </c>
      <c r="D2749" s="1">
        <v>1.01</v>
      </c>
      <c r="E2749" s="1" t="s">
        <v>113</v>
      </c>
      <c r="F2749" s="1" t="s">
        <v>113</v>
      </c>
      <c r="G2749" s="1" t="s">
        <v>113</v>
      </c>
      <c r="H2749" s="1" t="str">
        <f>VLOOKUP(F2749,Countries!$A$1:$B$161,2,0)</f>
        <v>United States of America</v>
      </c>
    </row>
    <row r="2750" spans="1:8" x14ac:dyDescent="0.3">
      <c r="A2750" s="3">
        <v>46253.689664351848</v>
      </c>
      <c r="B2750" s="1">
        <v>6.37</v>
      </c>
      <c r="C2750" s="1">
        <v>5.46</v>
      </c>
      <c r="D2750" s="1">
        <v>0.54</v>
      </c>
      <c r="E2750" s="1" t="s">
        <v>113</v>
      </c>
      <c r="F2750" s="1" t="s">
        <v>113</v>
      </c>
      <c r="G2750" s="1" t="s">
        <v>113</v>
      </c>
      <c r="H2750" s="1" t="str">
        <f>VLOOKUP(F2750,Countries!$A$1:$B$161,2,0)</f>
        <v>United States of America</v>
      </c>
    </row>
    <row r="2751" spans="1:8" x14ac:dyDescent="0.3">
      <c r="A2751" s="3">
        <v>46253.688564814824</v>
      </c>
      <c r="B2751" s="1">
        <v>2.99</v>
      </c>
      <c r="C2751" s="1">
        <v>2.56</v>
      </c>
      <c r="D2751" s="1">
        <v>0.36</v>
      </c>
      <c r="E2751" s="1" t="s">
        <v>119</v>
      </c>
      <c r="F2751" s="1" t="s">
        <v>119</v>
      </c>
      <c r="G2751" s="1" t="s">
        <v>119</v>
      </c>
      <c r="H2751" s="1" t="str">
        <f>VLOOKUP(F2751,Countries!$A$1:$B$161,2,0)</f>
        <v>Great Britain (United Kingdom)</v>
      </c>
    </row>
    <row r="2752" spans="1:8" x14ac:dyDescent="0.3">
      <c r="A2752" s="3">
        <v>46253.678472222222</v>
      </c>
      <c r="B2752" s="1">
        <v>6.37</v>
      </c>
      <c r="C2752" s="1">
        <v>5.46</v>
      </c>
      <c r="D2752" s="1">
        <v>0.54</v>
      </c>
      <c r="E2752" s="1" t="s">
        <v>113</v>
      </c>
      <c r="F2752" s="1" t="s">
        <v>113</v>
      </c>
      <c r="G2752" s="1" t="s">
        <v>113</v>
      </c>
      <c r="H2752" s="1" t="str">
        <f>VLOOKUP(F2752,Countries!$A$1:$B$161,2,0)</f>
        <v>United States of America</v>
      </c>
    </row>
    <row r="2753" spans="1:8" x14ac:dyDescent="0.3">
      <c r="A2753" s="3">
        <v>46253.677071759259</v>
      </c>
      <c r="B2753" s="1">
        <v>7.39</v>
      </c>
      <c r="C2753" s="1">
        <v>6.34</v>
      </c>
      <c r="D2753" s="1">
        <v>0.48</v>
      </c>
      <c r="E2753" s="1" t="s">
        <v>147</v>
      </c>
      <c r="F2753" s="1" t="s">
        <v>147</v>
      </c>
      <c r="G2753" s="1" t="s">
        <v>147</v>
      </c>
      <c r="H2753" s="1" t="str">
        <f>VLOOKUP(F2753,Countries!$A$1:$B$161,2,0)</f>
        <v>Germany</v>
      </c>
    </row>
    <row r="2754" spans="1:8" x14ac:dyDescent="0.3">
      <c r="A2754" s="3">
        <v>46253.676863425928</v>
      </c>
      <c r="B2754" s="1">
        <v>66.540000000000006</v>
      </c>
      <c r="C2754" s="1">
        <v>57.05</v>
      </c>
      <c r="D2754" s="1">
        <v>3.24</v>
      </c>
      <c r="E2754" s="1" t="s">
        <v>113</v>
      </c>
      <c r="F2754" s="1" t="s">
        <v>113</v>
      </c>
      <c r="G2754" s="1" t="s">
        <v>113</v>
      </c>
      <c r="H2754" s="1" t="str">
        <f>VLOOKUP(F2754,Countries!$A$1:$B$161,2,0)</f>
        <v>United States of America</v>
      </c>
    </row>
    <row r="2755" spans="1:8" x14ac:dyDescent="0.3">
      <c r="A2755" s="3">
        <v>46253.67633101852</v>
      </c>
      <c r="B2755" s="1">
        <v>14.77</v>
      </c>
      <c r="C2755" s="1">
        <v>12.66</v>
      </c>
      <c r="D2755" s="1">
        <v>0.91</v>
      </c>
      <c r="E2755" s="1" t="s">
        <v>113</v>
      </c>
      <c r="F2755" s="1" t="s">
        <v>113</v>
      </c>
      <c r="G2755" s="1" t="s">
        <v>113</v>
      </c>
      <c r="H2755" s="1" t="str">
        <f>VLOOKUP(F2755,Countries!$A$1:$B$161,2,0)</f>
        <v>United States of America</v>
      </c>
    </row>
    <row r="2756" spans="1:8" x14ac:dyDescent="0.3">
      <c r="A2756" s="3">
        <v>46253.676030092603</v>
      </c>
      <c r="B2756" s="1">
        <v>66.540000000000006</v>
      </c>
      <c r="C2756" s="1">
        <v>57.05</v>
      </c>
      <c r="D2756" s="1">
        <v>3.24</v>
      </c>
      <c r="E2756" s="1" t="s">
        <v>113</v>
      </c>
      <c r="F2756" s="1" t="s">
        <v>113</v>
      </c>
      <c r="G2756" s="1" t="s">
        <v>113</v>
      </c>
      <c r="H2756" s="1" t="str">
        <f>VLOOKUP(F2756,Countries!$A$1:$B$161,2,0)</f>
        <v>United States of America</v>
      </c>
    </row>
    <row r="2757" spans="1:8" x14ac:dyDescent="0.3">
      <c r="A2757" s="3">
        <v>46253.675682870373</v>
      </c>
      <c r="B2757" s="1">
        <v>6.37</v>
      </c>
      <c r="C2757" s="1">
        <v>5.46</v>
      </c>
      <c r="D2757" s="1">
        <v>0.54</v>
      </c>
      <c r="E2757" s="1" t="s">
        <v>113</v>
      </c>
      <c r="F2757" s="1" t="s">
        <v>113</v>
      </c>
      <c r="G2757" s="1" t="s">
        <v>113</v>
      </c>
      <c r="H2757" s="1" t="str">
        <f>VLOOKUP(F2757,Countries!$A$1:$B$161,2,0)</f>
        <v>United States of America</v>
      </c>
    </row>
    <row r="2758" spans="1:8" x14ac:dyDescent="0.3">
      <c r="A2758" s="3">
        <v>46253.675682870373</v>
      </c>
      <c r="B2758" s="1">
        <v>51.75</v>
      </c>
      <c r="C2758" s="1">
        <v>44.37</v>
      </c>
      <c r="D2758" s="1">
        <v>2.58</v>
      </c>
      <c r="E2758" s="1" t="s">
        <v>113</v>
      </c>
      <c r="F2758" s="1" t="s">
        <v>113</v>
      </c>
      <c r="G2758" s="1" t="s">
        <v>113</v>
      </c>
      <c r="H2758" s="1" t="str">
        <f>VLOOKUP(F2758,Countries!$A$1:$B$161,2,0)</f>
        <v>United States of America</v>
      </c>
    </row>
    <row r="2759" spans="1:8" x14ac:dyDescent="0.3">
      <c r="A2759" s="3">
        <v>46253.675300925926</v>
      </c>
      <c r="B2759" s="1">
        <v>51.75</v>
      </c>
      <c r="C2759" s="1">
        <v>44.37</v>
      </c>
      <c r="D2759" s="1">
        <v>2.58</v>
      </c>
      <c r="E2759" s="1" t="s">
        <v>113</v>
      </c>
      <c r="F2759" s="1" t="s">
        <v>113</v>
      </c>
      <c r="G2759" s="1" t="s">
        <v>113</v>
      </c>
      <c r="H2759" s="1" t="str">
        <f>VLOOKUP(F2759,Countries!$A$1:$B$161,2,0)</f>
        <v>United States of America</v>
      </c>
    </row>
    <row r="2760" spans="1:8" x14ac:dyDescent="0.3">
      <c r="A2760" s="3">
        <v>46253.672488425917</v>
      </c>
      <c r="B2760" s="1">
        <v>51.75</v>
      </c>
      <c r="C2760" s="1">
        <v>44.37</v>
      </c>
      <c r="D2760" s="1">
        <v>2.58</v>
      </c>
      <c r="E2760" s="1" t="s">
        <v>113</v>
      </c>
      <c r="F2760" s="1" t="s">
        <v>113</v>
      </c>
      <c r="G2760" s="1" t="s">
        <v>113</v>
      </c>
      <c r="H2760" s="1" t="str">
        <f>VLOOKUP(F2760,Countries!$A$1:$B$161,2,0)</f>
        <v>United States of America</v>
      </c>
    </row>
    <row r="2761" spans="1:8" x14ac:dyDescent="0.3">
      <c r="A2761" s="3">
        <v>46253.671238425923</v>
      </c>
      <c r="B2761" s="1">
        <v>14.77</v>
      </c>
      <c r="C2761" s="1">
        <v>12.66</v>
      </c>
      <c r="D2761" s="1">
        <v>0.91</v>
      </c>
      <c r="E2761" s="1" t="s">
        <v>113</v>
      </c>
      <c r="F2761" s="1" t="s">
        <v>113</v>
      </c>
      <c r="G2761" s="1" t="s">
        <v>113</v>
      </c>
      <c r="H2761" s="1" t="str">
        <f>VLOOKUP(F2761,Countries!$A$1:$B$161,2,0)</f>
        <v>United States of America</v>
      </c>
    </row>
    <row r="2762" spans="1:8" x14ac:dyDescent="0.3">
      <c r="A2762" s="3">
        <v>46253.668368055558</v>
      </c>
      <c r="B2762" s="1">
        <v>6.37</v>
      </c>
      <c r="C2762" s="1">
        <v>5.46</v>
      </c>
      <c r="D2762" s="1">
        <v>0.54</v>
      </c>
      <c r="E2762" s="1" t="s">
        <v>113</v>
      </c>
      <c r="F2762" s="1" t="s">
        <v>113</v>
      </c>
      <c r="G2762" s="1" t="s">
        <v>113</v>
      </c>
      <c r="H2762" s="1" t="str">
        <f>VLOOKUP(F2762,Countries!$A$1:$B$161,2,0)</f>
        <v>United States of America</v>
      </c>
    </row>
    <row r="2763" spans="1:8" x14ac:dyDescent="0.3">
      <c r="A2763" s="3">
        <v>46253.664629629631</v>
      </c>
      <c r="B2763" s="1">
        <v>7.58</v>
      </c>
      <c r="C2763" s="1">
        <v>6.5</v>
      </c>
      <c r="D2763" s="1">
        <v>0.48</v>
      </c>
      <c r="E2763" s="1" t="s">
        <v>116</v>
      </c>
      <c r="F2763" s="1" t="s">
        <v>116</v>
      </c>
      <c r="G2763" s="1" t="s">
        <v>116</v>
      </c>
      <c r="H2763" s="1" t="str">
        <f>VLOOKUP(F2763,Countries!$A$1:$B$161,2,0)</f>
        <v>Spain</v>
      </c>
    </row>
    <row r="2764" spans="1:8" x14ac:dyDescent="0.3">
      <c r="A2764" s="3">
        <v>46253.663912037038</v>
      </c>
      <c r="B2764" s="1">
        <v>3.39</v>
      </c>
      <c r="C2764" s="1">
        <v>2.91</v>
      </c>
      <c r="D2764" s="1">
        <v>0.4</v>
      </c>
      <c r="E2764" s="1" t="s">
        <v>114</v>
      </c>
      <c r="F2764" s="1" t="s">
        <v>114</v>
      </c>
      <c r="G2764" s="1" t="s">
        <v>114</v>
      </c>
      <c r="H2764" s="1" t="str">
        <f>VLOOKUP(F2764,Countries!$A$1:$B$161,2,0)</f>
        <v>Philippines</v>
      </c>
    </row>
    <row r="2765" spans="1:8" x14ac:dyDescent="0.3">
      <c r="A2765" s="3">
        <v>46253.661956018521</v>
      </c>
      <c r="B2765" s="1">
        <v>6.37</v>
      </c>
      <c r="C2765" s="1">
        <v>5.46</v>
      </c>
      <c r="D2765" s="1">
        <v>0.54</v>
      </c>
      <c r="E2765" s="1" t="s">
        <v>113</v>
      </c>
      <c r="F2765" s="1" t="s">
        <v>113</v>
      </c>
      <c r="G2765" s="1" t="s">
        <v>113</v>
      </c>
      <c r="H2765" s="1" t="str">
        <f>VLOOKUP(F2765,Countries!$A$1:$B$161,2,0)</f>
        <v>United States of America</v>
      </c>
    </row>
    <row r="2766" spans="1:8" x14ac:dyDescent="0.3">
      <c r="A2766" s="3">
        <v>46253.65997685185</v>
      </c>
      <c r="B2766" s="1">
        <v>6.37</v>
      </c>
      <c r="C2766" s="1">
        <v>5.46</v>
      </c>
      <c r="D2766" s="1">
        <v>0.54</v>
      </c>
      <c r="E2766" s="1" t="s">
        <v>113</v>
      </c>
      <c r="F2766" s="1" t="s">
        <v>113</v>
      </c>
      <c r="G2766" s="1" t="s">
        <v>113</v>
      </c>
      <c r="H2766" s="1" t="str">
        <f>VLOOKUP(F2766,Countries!$A$1:$B$161,2,0)</f>
        <v>United States of America</v>
      </c>
    </row>
    <row r="2767" spans="1:8" x14ac:dyDescent="0.3">
      <c r="A2767" s="3">
        <v>46253.657500000001</v>
      </c>
      <c r="B2767" s="1">
        <v>10.62</v>
      </c>
      <c r="C2767" s="1">
        <v>9.11</v>
      </c>
      <c r="D2767" s="1">
        <v>0.73</v>
      </c>
      <c r="E2767" s="1" t="s">
        <v>113</v>
      </c>
      <c r="F2767" s="1" t="s">
        <v>113</v>
      </c>
      <c r="G2767" s="1" t="s">
        <v>113</v>
      </c>
      <c r="H2767" s="1" t="str">
        <f>VLOOKUP(F2767,Countries!$A$1:$B$161,2,0)</f>
        <v>United States of America</v>
      </c>
    </row>
    <row r="2768" spans="1:8" x14ac:dyDescent="0.3">
      <c r="A2768" s="3">
        <v>46253.655590277784</v>
      </c>
      <c r="B2768" s="1">
        <v>6.37</v>
      </c>
      <c r="C2768" s="1">
        <v>5.46</v>
      </c>
      <c r="D2768" s="1">
        <v>0.54</v>
      </c>
      <c r="E2768" s="1" t="s">
        <v>113</v>
      </c>
      <c r="F2768" s="1" t="s">
        <v>113</v>
      </c>
      <c r="G2768" s="1" t="s">
        <v>113</v>
      </c>
      <c r="H2768" s="1" t="str">
        <f>VLOOKUP(F2768,Countries!$A$1:$B$161,2,0)</f>
        <v>United States of America</v>
      </c>
    </row>
    <row r="2769" spans="1:8" x14ac:dyDescent="0.3">
      <c r="A2769" s="3">
        <v>46253.652326388888</v>
      </c>
      <c r="B2769" s="1">
        <v>17.010000000000002</v>
      </c>
      <c r="C2769" s="1">
        <v>14.59</v>
      </c>
      <c r="D2769" s="1">
        <v>1.01</v>
      </c>
      <c r="E2769" s="1" t="s">
        <v>113</v>
      </c>
      <c r="F2769" s="1" t="s">
        <v>113</v>
      </c>
      <c r="G2769" s="1" t="s">
        <v>113</v>
      </c>
      <c r="H2769" s="1" t="str">
        <f>VLOOKUP(F2769,Countries!$A$1:$B$161,2,0)</f>
        <v>United States of America</v>
      </c>
    </row>
    <row r="2770" spans="1:8" x14ac:dyDescent="0.3">
      <c r="A2770" s="3">
        <v>46253.650775462957</v>
      </c>
      <c r="B2770" s="1">
        <v>3.88</v>
      </c>
      <c r="C2770" s="1">
        <v>3.33</v>
      </c>
      <c r="D2770" s="1">
        <v>0.37</v>
      </c>
      <c r="E2770" s="1" t="s">
        <v>117</v>
      </c>
      <c r="F2770" s="1" t="s">
        <v>117</v>
      </c>
      <c r="G2770" s="1" t="s">
        <v>117</v>
      </c>
      <c r="H2770" s="1" t="str">
        <f>VLOOKUP(F2770,Countries!$A$1:$B$161,2,0)</f>
        <v>Slovak Republic</v>
      </c>
    </row>
    <row r="2771" spans="1:8" x14ac:dyDescent="0.3">
      <c r="A2771" s="3">
        <v>46253.629374999997</v>
      </c>
      <c r="B2771" s="1">
        <v>12.48</v>
      </c>
      <c r="C2771" s="1">
        <v>10.7</v>
      </c>
      <c r="D2771" s="1">
        <v>0.73</v>
      </c>
      <c r="E2771" s="1" t="s">
        <v>119</v>
      </c>
      <c r="F2771" s="1" t="s">
        <v>119</v>
      </c>
      <c r="G2771" s="1" t="s">
        <v>119</v>
      </c>
      <c r="H2771" s="1" t="str">
        <f>VLOOKUP(F2771,Countries!$A$1:$B$161,2,0)</f>
        <v>Great Britain (United Kingdom)</v>
      </c>
    </row>
    <row r="2772" spans="1:8" x14ac:dyDescent="0.3">
      <c r="A2772" s="3">
        <v>46253.624328703707</v>
      </c>
      <c r="B2772" s="1">
        <v>7.48</v>
      </c>
      <c r="C2772" s="1">
        <v>6.42</v>
      </c>
      <c r="D2772" s="1">
        <v>0.54</v>
      </c>
      <c r="E2772" s="1" t="s">
        <v>119</v>
      </c>
      <c r="F2772" s="1" t="s">
        <v>119</v>
      </c>
      <c r="G2772" s="1" t="s">
        <v>119</v>
      </c>
      <c r="H2772" s="1" t="str">
        <f>VLOOKUP(F2772,Countries!$A$1:$B$161,2,0)</f>
        <v>Great Britain (United Kingdom)</v>
      </c>
    </row>
    <row r="2773" spans="1:8" x14ac:dyDescent="0.3">
      <c r="A2773" s="3">
        <v>46253.62296296296</v>
      </c>
      <c r="B2773" s="1">
        <v>6.37</v>
      </c>
      <c r="C2773" s="1">
        <v>5.46</v>
      </c>
      <c r="D2773" s="1">
        <v>0.44</v>
      </c>
      <c r="E2773" s="1" t="s">
        <v>137</v>
      </c>
      <c r="F2773" s="1" t="s">
        <v>137</v>
      </c>
      <c r="G2773" s="1" t="s">
        <v>137</v>
      </c>
      <c r="H2773" s="1" t="str">
        <f>VLOOKUP(F2773,Countries!$A$1:$B$161,2,0)</f>
        <v>Poland</v>
      </c>
    </row>
    <row r="2774" spans="1:8" x14ac:dyDescent="0.3">
      <c r="A2774" s="3">
        <v>46253.616365740738</v>
      </c>
      <c r="B2774" s="1">
        <v>6.3</v>
      </c>
      <c r="C2774" s="1">
        <v>5.4</v>
      </c>
      <c r="D2774" s="1">
        <v>0.54</v>
      </c>
      <c r="E2774" s="1" t="s">
        <v>143</v>
      </c>
      <c r="F2774" s="1" t="s">
        <v>143</v>
      </c>
      <c r="G2774" s="1" t="s">
        <v>143</v>
      </c>
      <c r="H2774" s="1" t="str">
        <f>VLOOKUP(F2774,Countries!$A$1:$B$161,2,0)</f>
        <v>United Arab Emirates</v>
      </c>
    </row>
    <row r="2775" spans="1:8" x14ac:dyDescent="0.3">
      <c r="A2775" s="3">
        <v>46253.614641203712</v>
      </c>
      <c r="B2775" s="1">
        <v>15.43</v>
      </c>
      <c r="C2775" s="1">
        <v>13.24</v>
      </c>
      <c r="D2775" s="1">
        <v>0.94</v>
      </c>
      <c r="E2775" s="1" t="s">
        <v>130</v>
      </c>
      <c r="F2775" s="1" t="s">
        <v>130</v>
      </c>
      <c r="G2775" s="1" t="s">
        <v>130</v>
      </c>
      <c r="H2775" s="1" t="str">
        <f>VLOOKUP(F2775,Countries!$A$1:$B$161,2,0)</f>
        <v>Australia</v>
      </c>
    </row>
    <row r="2776" spans="1:8" x14ac:dyDescent="0.3">
      <c r="A2776" s="3">
        <v>46253.614317129628</v>
      </c>
      <c r="B2776" s="1">
        <v>53.46</v>
      </c>
      <c r="C2776" s="1">
        <v>45.86</v>
      </c>
      <c r="D2776" s="1">
        <v>2.66</v>
      </c>
      <c r="E2776" s="1" t="s">
        <v>152</v>
      </c>
      <c r="F2776" s="1" t="s">
        <v>152</v>
      </c>
      <c r="G2776" s="1" t="s">
        <v>152</v>
      </c>
      <c r="H2776" s="1" t="str">
        <f>VLOOKUP(F2776,Countries!$A$1:$B$161,2,0)</f>
        <v>Singapore</v>
      </c>
    </row>
    <row r="2777" spans="1:8" x14ac:dyDescent="0.3">
      <c r="A2777" s="3">
        <v>46253.61277777778</v>
      </c>
      <c r="B2777" s="1">
        <v>3.18</v>
      </c>
      <c r="C2777" s="1">
        <v>2.73</v>
      </c>
      <c r="D2777" s="1">
        <v>0.39</v>
      </c>
      <c r="E2777" s="1" t="s">
        <v>113</v>
      </c>
      <c r="F2777" s="1" t="s">
        <v>113</v>
      </c>
      <c r="G2777" s="1" t="s">
        <v>113</v>
      </c>
      <c r="H2777" s="1" t="str">
        <f>VLOOKUP(F2777,Countries!$A$1:$B$161,2,0)</f>
        <v>United States of America</v>
      </c>
    </row>
    <row r="2778" spans="1:8" x14ac:dyDescent="0.3">
      <c r="A2778" s="3">
        <v>46253.611689814818</v>
      </c>
      <c r="B2778" s="1">
        <v>15.26</v>
      </c>
      <c r="C2778" s="1">
        <v>13.09</v>
      </c>
      <c r="D2778" s="1">
        <v>0.94</v>
      </c>
      <c r="E2778" s="1" t="s">
        <v>152</v>
      </c>
      <c r="F2778" s="1" t="s">
        <v>152</v>
      </c>
      <c r="G2778" s="1" t="s">
        <v>152</v>
      </c>
      <c r="H2778" s="1" t="str">
        <f>VLOOKUP(F2778,Countries!$A$1:$B$161,2,0)</f>
        <v>Singapore</v>
      </c>
    </row>
    <row r="2779" spans="1:8" x14ac:dyDescent="0.3">
      <c r="A2779" s="3">
        <v>46253.586180555547</v>
      </c>
      <c r="B2779" s="1">
        <v>2.99</v>
      </c>
      <c r="C2779" s="1">
        <v>2.56</v>
      </c>
      <c r="D2779" s="1">
        <v>0.38</v>
      </c>
      <c r="E2779" s="1" t="s">
        <v>135</v>
      </c>
      <c r="F2779" s="1" t="s">
        <v>135</v>
      </c>
      <c r="G2779" s="1" t="s">
        <v>135</v>
      </c>
      <c r="H2779" s="1" t="str">
        <f>VLOOKUP(F2779,Countries!$A$1:$B$161,2,0)</f>
        <v>Kuwait</v>
      </c>
    </row>
    <row r="2780" spans="1:8" x14ac:dyDescent="0.3">
      <c r="A2780" s="3">
        <v>46253.579409722217</v>
      </c>
      <c r="B2780" s="1">
        <v>3.18</v>
      </c>
      <c r="C2780" s="1">
        <v>2.73</v>
      </c>
      <c r="D2780" s="1">
        <v>0.39</v>
      </c>
      <c r="E2780" s="1" t="s">
        <v>113</v>
      </c>
      <c r="F2780" s="1" t="s">
        <v>113</v>
      </c>
      <c r="G2780" s="1" t="s">
        <v>113</v>
      </c>
      <c r="H2780" s="1" t="str">
        <f>VLOOKUP(F2780,Countries!$A$1:$B$161,2,0)</f>
        <v>United States of America</v>
      </c>
    </row>
    <row r="2781" spans="1:8" x14ac:dyDescent="0.3">
      <c r="A2781" s="3">
        <v>46253.558576388888</v>
      </c>
      <c r="B2781" s="1">
        <v>10.51</v>
      </c>
      <c r="C2781" s="1">
        <v>9.0299999999999994</v>
      </c>
      <c r="D2781" s="1">
        <v>0.72</v>
      </c>
      <c r="E2781" s="1" t="s">
        <v>143</v>
      </c>
      <c r="F2781" s="1" t="s">
        <v>143</v>
      </c>
      <c r="G2781" s="1" t="s">
        <v>143</v>
      </c>
      <c r="H2781" s="1" t="str">
        <f>VLOOKUP(F2781,Countries!$A$1:$B$161,2,0)</f>
        <v>United Arab Emirates</v>
      </c>
    </row>
    <row r="2782" spans="1:8" x14ac:dyDescent="0.3">
      <c r="A2782" s="3">
        <v>46253.552199074067</v>
      </c>
      <c r="B2782" s="1">
        <v>7.04</v>
      </c>
      <c r="C2782" s="1">
        <v>6.05</v>
      </c>
      <c r="D2782" s="1">
        <v>0.56999999999999995</v>
      </c>
      <c r="E2782" s="1" t="s">
        <v>163</v>
      </c>
      <c r="F2782" s="1" t="s">
        <v>163</v>
      </c>
      <c r="G2782" s="1" t="s">
        <v>163</v>
      </c>
      <c r="H2782" s="1" t="str">
        <f>VLOOKUP(F2782,Countries!$A$1:$B$161,2,0)</f>
        <v>Saudi Arabia</v>
      </c>
    </row>
    <row r="2783" spans="1:8" x14ac:dyDescent="0.3">
      <c r="A2783" s="3">
        <v>46253.551782407398</v>
      </c>
      <c r="B2783" s="1">
        <v>1.99</v>
      </c>
      <c r="C2783" s="1">
        <v>1.71</v>
      </c>
      <c r="D2783" s="1">
        <v>0.34</v>
      </c>
      <c r="E2783" s="1" t="s">
        <v>114</v>
      </c>
      <c r="F2783" s="1" t="s">
        <v>114</v>
      </c>
      <c r="G2783" s="1" t="s">
        <v>114</v>
      </c>
      <c r="H2783" s="1" t="str">
        <f>VLOOKUP(F2783,Countries!$A$1:$B$161,2,0)</f>
        <v>Philippines</v>
      </c>
    </row>
    <row r="2784" spans="1:8" x14ac:dyDescent="0.3">
      <c r="A2784" s="3">
        <v>46253.539317129631</v>
      </c>
      <c r="B2784" s="1">
        <v>2.99</v>
      </c>
      <c r="C2784" s="1">
        <v>2.58</v>
      </c>
      <c r="D2784" s="1">
        <v>0.38</v>
      </c>
      <c r="E2784" s="1" t="s">
        <v>113</v>
      </c>
      <c r="F2784" s="1" t="s">
        <v>113</v>
      </c>
      <c r="G2784" s="1" t="s">
        <v>113</v>
      </c>
      <c r="H2784" s="1" t="str">
        <f>VLOOKUP(F2784,Countries!$A$1:$B$161,2,0)</f>
        <v>United States of America</v>
      </c>
    </row>
    <row r="2785" spans="1:8" x14ac:dyDescent="0.3">
      <c r="A2785" s="3">
        <v>46253.538495370369</v>
      </c>
      <c r="B2785" s="1">
        <v>6.37</v>
      </c>
      <c r="C2785" s="1">
        <v>5.49</v>
      </c>
      <c r="D2785" s="1">
        <v>0.54</v>
      </c>
      <c r="E2785" s="1" t="s">
        <v>113</v>
      </c>
      <c r="F2785" s="1" t="s">
        <v>113</v>
      </c>
      <c r="G2785" s="1" t="s">
        <v>113</v>
      </c>
      <c r="H2785" s="1" t="str">
        <f>VLOOKUP(F2785,Countries!$A$1:$B$161,2,0)</f>
        <v>United States of America</v>
      </c>
    </row>
    <row r="2786" spans="1:8" x14ac:dyDescent="0.3">
      <c r="A2786" s="3">
        <v>46253.537615740737</v>
      </c>
      <c r="B2786" s="1">
        <v>15.95</v>
      </c>
      <c r="C2786" s="1">
        <v>13.75</v>
      </c>
      <c r="D2786" s="1">
        <v>0.98</v>
      </c>
      <c r="E2786" s="1" t="s">
        <v>113</v>
      </c>
      <c r="F2786" s="1" t="s">
        <v>113</v>
      </c>
      <c r="G2786" s="1" t="s">
        <v>113</v>
      </c>
      <c r="H2786" s="1" t="str">
        <f>VLOOKUP(F2786,Countries!$A$1:$B$161,2,0)</f>
        <v>United States of America</v>
      </c>
    </row>
    <row r="2787" spans="1:8" x14ac:dyDescent="0.3">
      <c r="A2787" s="3">
        <v>46253.535497685189</v>
      </c>
      <c r="B2787" s="1">
        <v>17.36</v>
      </c>
      <c r="C2787" s="1">
        <v>14.96</v>
      </c>
      <c r="D2787" s="1">
        <v>0.92</v>
      </c>
      <c r="E2787" s="1" t="s">
        <v>119</v>
      </c>
      <c r="F2787" s="1" t="s">
        <v>119</v>
      </c>
      <c r="G2787" s="1" t="s">
        <v>119</v>
      </c>
      <c r="H2787" s="1" t="str">
        <f>VLOOKUP(F2787,Countries!$A$1:$B$161,2,0)</f>
        <v>Great Britain (United Kingdom)</v>
      </c>
    </row>
    <row r="2788" spans="1:8" x14ac:dyDescent="0.3">
      <c r="A2788" s="3">
        <v>46253.534803240742</v>
      </c>
      <c r="B2788" s="1">
        <v>7.48</v>
      </c>
      <c r="C2788" s="1">
        <v>6.45</v>
      </c>
      <c r="D2788" s="1">
        <v>0.48</v>
      </c>
      <c r="E2788" s="1" t="s">
        <v>123</v>
      </c>
      <c r="F2788" s="1" t="s">
        <v>123</v>
      </c>
      <c r="G2788" s="1" t="s">
        <v>123</v>
      </c>
      <c r="H2788" s="1" t="str">
        <f>VLOOKUP(F2788,Countries!$A$1:$B$161,2,0)</f>
        <v>France</v>
      </c>
    </row>
    <row r="2789" spans="1:8" x14ac:dyDescent="0.3">
      <c r="A2789" s="3">
        <v>46253.533391203702</v>
      </c>
      <c r="B2789" s="1">
        <v>3.18</v>
      </c>
      <c r="C2789" s="1">
        <v>2.74</v>
      </c>
      <c r="D2789" s="1">
        <v>0.39</v>
      </c>
      <c r="E2789" s="1" t="s">
        <v>113</v>
      </c>
      <c r="F2789" s="1" t="s">
        <v>113</v>
      </c>
      <c r="G2789" s="1" t="s">
        <v>113</v>
      </c>
      <c r="H2789" s="1" t="str">
        <f>VLOOKUP(F2789,Countries!$A$1:$B$161,2,0)</f>
        <v>United States of America</v>
      </c>
    </row>
    <row r="2790" spans="1:8" x14ac:dyDescent="0.3">
      <c r="A2790" s="3">
        <v>46253.526875000003</v>
      </c>
      <c r="B2790" s="1">
        <v>17.36</v>
      </c>
      <c r="C2790" s="1">
        <v>14.96</v>
      </c>
      <c r="D2790" s="1">
        <v>0.92</v>
      </c>
      <c r="E2790" s="1" t="s">
        <v>119</v>
      </c>
      <c r="F2790" s="1" t="s">
        <v>119</v>
      </c>
      <c r="G2790" s="1" t="s">
        <v>119</v>
      </c>
      <c r="H2790" s="1" t="str">
        <f>VLOOKUP(F2790,Countries!$A$1:$B$161,2,0)</f>
        <v>Great Britain (United Kingdom)</v>
      </c>
    </row>
    <row r="2791" spans="1:8" x14ac:dyDescent="0.3">
      <c r="A2791" s="3">
        <v>46253.525949074072</v>
      </c>
      <c r="B2791" s="1">
        <v>14.77</v>
      </c>
      <c r="C2791" s="1">
        <v>12.73</v>
      </c>
      <c r="D2791" s="1">
        <v>0.91</v>
      </c>
      <c r="E2791" s="1" t="s">
        <v>113</v>
      </c>
      <c r="F2791" s="1" t="s">
        <v>113</v>
      </c>
      <c r="G2791" s="1" t="s">
        <v>113</v>
      </c>
      <c r="H2791" s="1" t="str">
        <f>VLOOKUP(F2791,Countries!$A$1:$B$161,2,0)</f>
        <v>United States of America</v>
      </c>
    </row>
    <row r="2792" spans="1:8" x14ac:dyDescent="0.3">
      <c r="A2792" s="3">
        <v>46253.523425925923</v>
      </c>
      <c r="B2792" s="1">
        <v>17.14</v>
      </c>
      <c r="C2792" s="1">
        <v>14.77</v>
      </c>
      <c r="D2792" s="1">
        <v>0.77</v>
      </c>
      <c r="E2792" s="1" t="s">
        <v>159</v>
      </c>
      <c r="F2792" s="1" t="s">
        <v>159</v>
      </c>
      <c r="G2792" s="1" t="s">
        <v>159</v>
      </c>
      <c r="H2792" s="1" t="str">
        <f>VLOOKUP(F2792,Countries!$A$1:$B$161,2,0)</f>
        <v>Romania</v>
      </c>
    </row>
    <row r="2793" spans="1:8" x14ac:dyDescent="0.3">
      <c r="A2793" s="3">
        <v>46253.518483796302</v>
      </c>
      <c r="B2793" s="1">
        <v>13.82</v>
      </c>
      <c r="C2793" s="1">
        <v>11.91</v>
      </c>
      <c r="D2793" s="1">
        <v>0.88</v>
      </c>
      <c r="E2793" s="1" t="s">
        <v>113</v>
      </c>
      <c r="F2793" s="1" t="s">
        <v>113</v>
      </c>
      <c r="G2793" s="1" t="s">
        <v>113</v>
      </c>
      <c r="H2793" s="1" t="str">
        <f>VLOOKUP(F2793,Countries!$A$1:$B$161,2,0)</f>
        <v>United States of America</v>
      </c>
    </row>
    <row r="2794" spans="1:8" x14ac:dyDescent="0.3">
      <c r="A2794" s="3">
        <v>46253.514930555553</v>
      </c>
      <c r="B2794" s="1">
        <v>10.62</v>
      </c>
      <c r="C2794" s="1">
        <v>9.15</v>
      </c>
      <c r="D2794" s="1">
        <v>0.73</v>
      </c>
      <c r="E2794" s="1" t="s">
        <v>113</v>
      </c>
      <c r="F2794" s="1" t="s">
        <v>113</v>
      </c>
      <c r="G2794" s="1" t="s">
        <v>113</v>
      </c>
      <c r="H2794" s="1" t="str">
        <f>VLOOKUP(F2794,Countries!$A$1:$B$161,2,0)</f>
        <v>United States of America</v>
      </c>
    </row>
    <row r="2795" spans="1:8" x14ac:dyDescent="0.3">
      <c r="A2795" s="3">
        <v>46253.509409722217</v>
      </c>
      <c r="B2795" s="1">
        <v>16.829999999999998</v>
      </c>
      <c r="C2795" s="1">
        <v>14.5</v>
      </c>
      <c r="D2795" s="1">
        <v>1.01</v>
      </c>
      <c r="E2795" s="1" t="s">
        <v>132</v>
      </c>
      <c r="F2795" s="1" t="s">
        <v>132</v>
      </c>
      <c r="G2795" s="1" t="s">
        <v>132</v>
      </c>
      <c r="H2795" s="1" t="str">
        <f>VLOOKUP(F2795,Countries!$A$1:$B$161,2,0)</f>
        <v>Canada</v>
      </c>
    </row>
    <row r="2796" spans="1:8" x14ac:dyDescent="0.3">
      <c r="A2796" s="3">
        <v>46253.508356481478</v>
      </c>
      <c r="B2796" s="1">
        <v>10.62</v>
      </c>
      <c r="C2796" s="1">
        <v>9.15</v>
      </c>
      <c r="D2796" s="1">
        <v>0.73</v>
      </c>
      <c r="E2796" s="1" t="s">
        <v>113</v>
      </c>
      <c r="F2796" s="1" t="s">
        <v>113</v>
      </c>
      <c r="G2796" s="1" t="s">
        <v>113</v>
      </c>
      <c r="H2796" s="1" t="str">
        <f>VLOOKUP(F2796,Countries!$A$1:$B$161,2,0)</f>
        <v>United States of America</v>
      </c>
    </row>
    <row r="2797" spans="1:8" x14ac:dyDescent="0.3">
      <c r="A2797" s="3">
        <v>46253.503449074073</v>
      </c>
      <c r="B2797" s="1">
        <v>10.62</v>
      </c>
      <c r="C2797" s="1">
        <v>9.15</v>
      </c>
      <c r="D2797" s="1">
        <v>0.73</v>
      </c>
      <c r="E2797" s="1" t="s">
        <v>113</v>
      </c>
      <c r="F2797" s="1" t="s">
        <v>113</v>
      </c>
      <c r="G2797" s="1" t="s">
        <v>113</v>
      </c>
      <c r="H2797" s="1" t="str">
        <f>VLOOKUP(F2797,Countries!$A$1:$B$161,2,0)</f>
        <v>United States of America</v>
      </c>
    </row>
    <row r="2798" spans="1:8" x14ac:dyDescent="0.3">
      <c r="A2798" s="3">
        <v>46253.502488425933</v>
      </c>
      <c r="B2798" s="1">
        <v>6.37</v>
      </c>
      <c r="C2798" s="1">
        <v>5.49</v>
      </c>
      <c r="D2798" s="1">
        <v>0.54</v>
      </c>
      <c r="E2798" s="1" t="s">
        <v>113</v>
      </c>
      <c r="F2798" s="1" t="s">
        <v>113</v>
      </c>
      <c r="G2798" s="1" t="s">
        <v>113</v>
      </c>
      <c r="H2798" s="1" t="str">
        <f>VLOOKUP(F2798,Countries!$A$1:$B$161,2,0)</f>
        <v>United States of America</v>
      </c>
    </row>
    <row r="2799" spans="1:8" x14ac:dyDescent="0.3">
      <c r="A2799" s="3">
        <v>46253.492129629631</v>
      </c>
      <c r="B2799" s="1">
        <v>8.68</v>
      </c>
      <c r="C2799" s="1">
        <v>7.48</v>
      </c>
      <c r="D2799" s="1">
        <v>0.64</v>
      </c>
      <c r="E2799" s="1" t="s">
        <v>115</v>
      </c>
      <c r="F2799" s="1" t="s">
        <v>115</v>
      </c>
      <c r="G2799" s="1" t="s">
        <v>115</v>
      </c>
      <c r="H2799" s="1" t="str">
        <f>VLOOKUP(F2799,Countries!$A$1:$B$161,2,0)</f>
        <v>Switzerland</v>
      </c>
    </row>
    <row r="2800" spans="1:8" x14ac:dyDescent="0.3">
      <c r="A2800" s="3">
        <v>46253.490902777783</v>
      </c>
      <c r="B2800" s="1">
        <v>7.58</v>
      </c>
      <c r="C2800" s="1">
        <v>6.53</v>
      </c>
      <c r="D2800" s="1">
        <v>0.48</v>
      </c>
      <c r="E2800" s="1" t="s">
        <v>116</v>
      </c>
      <c r="F2800" s="1" t="s">
        <v>116</v>
      </c>
      <c r="G2800" s="1" t="s">
        <v>116</v>
      </c>
      <c r="H2800" s="1" t="str">
        <f>VLOOKUP(F2800,Countries!$A$1:$B$161,2,0)</f>
        <v>Spain</v>
      </c>
    </row>
    <row r="2801" spans="1:8" x14ac:dyDescent="0.3">
      <c r="A2801" s="3">
        <v>46253.490497685183</v>
      </c>
      <c r="B2801" s="1">
        <v>7.48</v>
      </c>
      <c r="C2801" s="1">
        <v>6.44</v>
      </c>
      <c r="D2801" s="1">
        <v>0.48</v>
      </c>
      <c r="E2801" s="1" t="s">
        <v>123</v>
      </c>
      <c r="F2801" s="1" t="s">
        <v>123</v>
      </c>
      <c r="G2801" s="1" t="s">
        <v>123</v>
      </c>
      <c r="H2801" s="1" t="str">
        <f>VLOOKUP(F2801,Countries!$A$1:$B$161,2,0)</f>
        <v>France</v>
      </c>
    </row>
    <row r="2802" spans="1:8" x14ac:dyDescent="0.3">
      <c r="A2802" s="3">
        <v>46253.483900462961</v>
      </c>
      <c r="B2802" s="1">
        <v>6.37</v>
      </c>
      <c r="C2802" s="1">
        <v>5.49</v>
      </c>
      <c r="D2802" s="1">
        <v>0.54</v>
      </c>
      <c r="E2802" s="1" t="s">
        <v>113</v>
      </c>
      <c r="F2802" s="1" t="s">
        <v>113</v>
      </c>
      <c r="G2802" s="1" t="s">
        <v>113</v>
      </c>
      <c r="H2802" s="1" t="str">
        <f>VLOOKUP(F2802,Countries!$A$1:$B$161,2,0)</f>
        <v>United States of America</v>
      </c>
    </row>
    <row r="2803" spans="1:8" x14ac:dyDescent="0.3">
      <c r="A2803" s="3">
        <v>46253.456145833326</v>
      </c>
      <c r="B2803" s="1">
        <v>16.34</v>
      </c>
      <c r="C2803" s="1">
        <v>14.08</v>
      </c>
      <c r="D2803" s="1">
        <v>0.99</v>
      </c>
      <c r="E2803" s="1" t="s">
        <v>160</v>
      </c>
      <c r="F2803" s="1" t="s">
        <v>160</v>
      </c>
      <c r="G2803" s="1" t="s">
        <v>160</v>
      </c>
      <c r="H2803" s="1" t="str">
        <f>VLOOKUP(F2803,Countries!$A$1:$B$161,2,0)</f>
        <v>New Zealand</v>
      </c>
    </row>
    <row r="2804" spans="1:8" x14ac:dyDescent="0.3">
      <c r="A2804" s="3">
        <v>46253.451620370368</v>
      </c>
      <c r="B2804" s="1">
        <v>2.99</v>
      </c>
      <c r="C2804" s="1">
        <v>2.58</v>
      </c>
      <c r="D2804" s="1">
        <v>0.38</v>
      </c>
      <c r="E2804" s="1" t="s">
        <v>113</v>
      </c>
      <c r="F2804" s="1" t="s">
        <v>113</v>
      </c>
      <c r="G2804" s="1" t="s">
        <v>113</v>
      </c>
      <c r="H2804" s="1" t="str">
        <f>VLOOKUP(F2804,Countries!$A$1:$B$161,2,0)</f>
        <v>United States of America</v>
      </c>
    </row>
    <row r="2805" spans="1:8" x14ac:dyDescent="0.3">
      <c r="A2805" s="3">
        <v>46253.448773148149</v>
      </c>
      <c r="B2805" s="1">
        <v>68.5</v>
      </c>
      <c r="C2805" s="1">
        <v>59.02</v>
      </c>
      <c r="D2805" s="1">
        <v>2.3199999999999998</v>
      </c>
      <c r="E2805" s="1" t="s">
        <v>159</v>
      </c>
      <c r="F2805" s="1" t="s">
        <v>159</v>
      </c>
      <c r="G2805" s="1" t="s">
        <v>159</v>
      </c>
      <c r="H2805" s="1" t="str">
        <f>VLOOKUP(F2805,Countries!$A$1:$B$161,2,0)</f>
        <v>Romania</v>
      </c>
    </row>
    <row r="2806" spans="1:8" x14ac:dyDescent="0.3">
      <c r="A2806" s="3">
        <v>46253.436180555553</v>
      </c>
      <c r="B2806" s="1">
        <v>6.37</v>
      </c>
      <c r="C2806" s="1">
        <v>5.49</v>
      </c>
      <c r="D2806" s="1">
        <v>0.54</v>
      </c>
      <c r="E2806" s="1" t="s">
        <v>113</v>
      </c>
      <c r="F2806" s="1" t="s">
        <v>113</v>
      </c>
      <c r="G2806" s="1" t="s">
        <v>113</v>
      </c>
      <c r="H2806" s="1" t="str">
        <f>VLOOKUP(F2806,Countries!$A$1:$B$161,2,0)</f>
        <v>United States of America</v>
      </c>
    </row>
    <row r="2807" spans="1:8" x14ac:dyDescent="0.3">
      <c r="A2807" s="3">
        <v>46253.435069444437</v>
      </c>
      <c r="B2807" s="1">
        <v>17.14</v>
      </c>
      <c r="C2807" s="1">
        <v>14.77</v>
      </c>
      <c r="D2807" s="1">
        <v>0.77</v>
      </c>
      <c r="E2807" s="1" t="s">
        <v>159</v>
      </c>
      <c r="F2807" s="1" t="s">
        <v>159</v>
      </c>
      <c r="G2807" s="1" t="s">
        <v>159</v>
      </c>
      <c r="H2807" s="1" t="str">
        <f>VLOOKUP(F2807,Countries!$A$1:$B$161,2,0)</f>
        <v>Romania</v>
      </c>
    </row>
    <row r="2808" spans="1:8" x14ac:dyDescent="0.3">
      <c r="A2808" s="3">
        <v>46253.433692129627</v>
      </c>
      <c r="B2808" s="1">
        <v>19.739999999999998</v>
      </c>
      <c r="C2808" s="1">
        <v>17.010000000000002</v>
      </c>
      <c r="D2808" s="1">
        <v>0.85</v>
      </c>
      <c r="E2808" s="1" t="s">
        <v>159</v>
      </c>
      <c r="F2808" s="1" t="s">
        <v>159</v>
      </c>
      <c r="G2808" s="1" t="s">
        <v>159</v>
      </c>
      <c r="H2808" s="1" t="str">
        <f>VLOOKUP(F2808,Countries!$A$1:$B$161,2,0)</f>
        <v>Romania</v>
      </c>
    </row>
    <row r="2809" spans="1:8" x14ac:dyDescent="0.3">
      <c r="A2809" s="3">
        <v>46253.406099537038</v>
      </c>
      <c r="B2809" s="1">
        <v>42.54</v>
      </c>
      <c r="C2809" s="1">
        <v>36.67</v>
      </c>
      <c r="D2809" s="1">
        <v>2.17</v>
      </c>
      <c r="E2809" s="1" t="s">
        <v>113</v>
      </c>
      <c r="F2809" s="1" t="s">
        <v>113</v>
      </c>
      <c r="G2809" s="1" t="s">
        <v>113</v>
      </c>
      <c r="H2809" s="1" t="str">
        <f>VLOOKUP(F2809,Countries!$A$1:$B$161,2,0)</f>
        <v>United States of America</v>
      </c>
    </row>
    <row r="2810" spans="1:8" x14ac:dyDescent="0.3">
      <c r="A2810" s="3">
        <v>46253.394525462973</v>
      </c>
      <c r="B2810" s="1">
        <v>14.77</v>
      </c>
      <c r="C2810" s="1">
        <v>12.73</v>
      </c>
      <c r="D2810" s="1">
        <v>0.91</v>
      </c>
      <c r="E2810" s="1" t="s">
        <v>113</v>
      </c>
      <c r="F2810" s="1" t="s">
        <v>113</v>
      </c>
      <c r="G2810" s="1" t="s">
        <v>113</v>
      </c>
      <c r="H2810" s="1" t="str">
        <f>VLOOKUP(F2810,Countries!$A$1:$B$161,2,0)</f>
        <v>United States of America</v>
      </c>
    </row>
    <row r="2811" spans="1:8" x14ac:dyDescent="0.3">
      <c r="A2811" s="3">
        <v>46253.390196759261</v>
      </c>
      <c r="B2811" s="1">
        <v>59.03</v>
      </c>
      <c r="C2811" s="1">
        <v>50.89</v>
      </c>
      <c r="D2811" s="1">
        <v>2.92</v>
      </c>
      <c r="E2811" s="1" t="s">
        <v>113</v>
      </c>
      <c r="F2811" s="1" t="s">
        <v>113</v>
      </c>
      <c r="G2811" s="1" t="s">
        <v>113</v>
      </c>
      <c r="H2811" s="1" t="str">
        <f>VLOOKUP(F2811,Countries!$A$1:$B$161,2,0)</f>
        <v>United States of America</v>
      </c>
    </row>
    <row r="2812" spans="1:8" x14ac:dyDescent="0.3">
      <c r="A2812" s="3">
        <v>46253.388831018521</v>
      </c>
      <c r="B2812" s="1">
        <v>14.78</v>
      </c>
      <c r="C2812" s="1">
        <v>12.74</v>
      </c>
      <c r="D2812" s="1">
        <v>0.91</v>
      </c>
      <c r="E2812" s="1" t="s">
        <v>113</v>
      </c>
      <c r="F2812" s="1" t="s">
        <v>113</v>
      </c>
      <c r="G2812" s="1" t="s">
        <v>113</v>
      </c>
      <c r="H2812" s="1" t="str">
        <f>VLOOKUP(F2812,Countries!$A$1:$B$161,2,0)</f>
        <v>United States of America</v>
      </c>
    </row>
    <row r="2813" spans="1:8" x14ac:dyDescent="0.3">
      <c r="A2813" s="3">
        <v>46253.385706018518</v>
      </c>
      <c r="B2813" s="1">
        <v>7.98</v>
      </c>
      <c r="C2813" s="1">
        <v>6.88</v>
      </c>
      <c r="D2813" s="1">
        <v>0.49</v>
      </c>
      <c r="E2813" s="1" t="s">
        <v>125</v>
      </c>
      <c r="F2813" s="1" t="s">
        <v>125</v>
      </c>
      <c r="G2813" s="1" t="s">
        <v>125</v>
      </c>
      <c r="H2813" s="1" t="str">
        <f>VLOOKUP(F2813,Countries!$A$1:$B$161,2,0)</f>
        <v>Norway</v>
      </c>
    </row>
    <row r="2814" spans="1:8" x14ac:dyDescent="0.3">
      <c r="A2814" s="3">
        <v>46253.381006944437</v>
      </c>
      <c r="B2814" s="1">
        <v>14.78</v>
      </c>
      <c r="C2814" s="1">
        <v>12.74</v>
      </c>
      <c r="D2814" s="1">
        <v>0.91</v>
      </c>
      <c r="E2814" s="1" t="s">
        <v>113</v>
      </c>
      <c r="F2814" s="1" t="s">
        <v>113</v>
      </c>
      <c r="G2814" s="1" t="s">
        <v>113</v>
      </c>
      <c r="H2814" s="1" t="str">
        <f>VLOOKUP(F2814,Countries!$A$1:$B$161,2,0)</f>
        <v>United States of America</v>
      </c>
    </row>
    <row r="2815" spans="1:8" x14ac:dyDescent="0.3">
      <c r="A2815" s="3">
        <v>46253.376504629632</v>
      </c>
      <c r="B2815" s="1">
        <v>6.37</v>
      </c>
      <c r="C2815" s="1">
        <v>5.49</v>
      </c>
      <c r="D2815" s="1">
        <v>0.54</v>
      </c>
      <c r="E2815" s="1" t="s">
        <v>113</v>
      </c>
      <c r="F2815" s="1" t="s">
        <v>113</v>
      </c>
      <c r="G2815" s="1" t="s">
        <v>113</v>
      </c>
      <c r="H2815" s="1" t="str">
        <f>VLOOKUP(F2815,Countries!$A$1:$B$161,2,0)</f>
        <v>United States of America</v>
      </c>
    </row>
    <row r="2816" spans="1:8" x14ac:dyDescent="0.3">
      <c r="A2816" s="3">
        <v>46253.375972222217</v>
      </c>
      <c r="B2816" s="1">
        <v>6.37</v>
      </c>
      <c r="C2816" s="1">
        <v>5.49</v>
      </c>
      <c r="D2816" s="1">
        <v>0.54</v>
      </c>
      <c r="E2816" s="1" t="s">
        <v>113</v>
      </c>
      <c r="F2816" s="1" t="s">
        <v>113</v>
      </c>
      <c r="G2816" s="1" t="s">
        <v>113</v>
      </c>
      <c r="H2816" s="1" t="str">
        <f>VLOOKUP(F2816,Countries!$A$1:$B$161,2,0)</f>
        <v>United States of America</v>
      </c>
    </row>
    <row r="2817" spans="1:8" x14ac:dyDescent="0.3">
      <c r="A2817" s="3">
        <v>46253.375833333332</v>
      </c>
      <c r="B2817" s="1">
        <v>3.88</v>
      </c>
      <c r="C2817" s="1">
        <v>3.35</v>
      </c>
      <c r="D2817" s="1">
        <v>0.37</v>
      </c>
      <c r="E2817" s="1" t="s">
        <v>137</v>
      </c>
      <c r="F2817" s="1" t="s">
        <v>137</v>
      </c>
      <c r="G2817" s="1" t="s">
        <v>137</v>
      </c>
      <c r="H2817" s="1" t="str">
        <f>VLOOKUP(F2817,Countries!$A$1:$B$161,2,0)</f>
        <v>Poland</v>
      </c>
    </row>
    <row r="2818" spans="1:8" x14ac:dyDescent="0.3">
      <c r="A2818" s="3">
        <v>46253.375775462962</v>
      </c>
      <c r="B2818" s="1">
        <v>14.78</v>
      </c>
      <c r="C2818" s="1">
        <v>12.75</v>
      </c>
      <c r="D2818" s="1">
        <v>0.92</v>
      </c>
      <c r="E2818" s="1" t="s">
        <v>113</v>
      </c>
      <c r="F2818" s="1" t="s">
        <v>113</v>
      </c>
      <c r="G2818" s="1" t="s">
        <v>113</v>
      </c>
      <c r="H2818" s="1" t="str">
        <f>VLOOKUP(F2818,Countries!$A$1:$B$161,2,0)</f>
        <v>United States of America</v>
      </c>
    </row>
    <row r="2819" spans="1:8" x14ac:dyDescent="0.3">
      <c r="A2819" s="3">
        <v>46253.369780092587</v>
      </c>
      <c r="B2819" s="1">
        <v>7.77</v>
      </c>
      <c r="C2819" s="1">
        <v>6.7</v>
      </c>
      <c r="D2819" s="1">
        <v>0.48</v>
      </c>
      <c r="E2819" s="1" t="s">
        <v>137</v>
      </c>
      <c r="F2819" s="1" t="s">
        <v>137</v>
      </c>
      <c r="G2819" s="1" t="s">
        <v>137</v>
      </c>
      <c r="H2819" s="1" t="str">
        <f>VLOOKUP(F2819,Countries!$A$1:$B$161,2,0)</f>
        <v>Poland</v>
      </c>
    </row>
    <row r="2820" spans="1:8" x14ac:dyDescent="0.3">
      <c r="A2820" s="3">
        <v>46253.365543981483</v>
      </c>
      <c r="B2820" s="1">
        <v>14.78</v>
      </c>
      <c r="C2820" s="1">
        <v>12.75</v>
      </c>
      <c r="D2820" s="1">
        <v>0.92</v>
      </c>
      <c r="E2820" s="1" t="s">
        <v>113</v>
      </c>
      <c r="F2820" s="1" t="s">
        <v>113</v>
      </c>
      <c r="G2820" s="1" t="s">
        <v>113</v>
      </c>
      <c r="H2820" s="1" t="str">
        <f>VLOOKUP(F2820,Countries!$A$1:$B$161,2,0)</f>
        <v>United States of America</v>
      </c>
    </row>
    <row r="2821" spans="1:8" x14ac:dyDescent="0.3">
      <c r="A2821" s="3">
        <v>46253.364432870367</v>
      </c>
      <c r="B2821" s="1">
        <v>3.18</v>
      </c>
      <c r="C2821" s="1">
        <v>2.74</v>
      </c>
      <c r="D2821" s="1">
        <v>0.39</v>
      </c>
      <c r="E2821" s="1" t="s">
        <v>113</v>
      </c>
      <c r="F2821" s="1" t="s">
        <v>113</v>
      </c>
      <c r="G2821" s="1" t="s">
        <v>113</v>
      </c>
      <c r="H2821" s="1" t="str">
        <f>VLOOKUP(F2821,Countries!$A$1:$B$161,2,0)</f>
        <v>United States of America</v>
      </c>
    </row>
    <row r="2822" spans="1:8" x14ac:dyDescent="0.3">
      <c r="A2822" s="3">
        <v>46253.358900462961</v>
      </c>
      <c r="B2822" s="1">
        <v>17.36</v>
      </c>
      <c r="C2822" s="1">
        <v>14.97</v>
      </c>
      <c r="D2822" s="1">
        <v>0.92</v>
      </c>
      <c r="E2822" s="1" t="s">
        <v>119</v>
      </c>
      <c r="F2822" s="1" t="s">
        <v>119</v>
      </c>
      <c r="G2822" s="1" t="s">
        <v>119</v>
      </c>
      <c r="H2822" s="1" t="str">
        <f>VLOOKUP(F2822,Countries!$A$1:$B$161,2,0)</f>
        <v>Great Britain (United Kingdom)</v>
      </c>
    </row>
    <row r="2823" spans="1:8" x14ac:dyDescent="0.3">
      <c r="A2823" s="3">
        <v>46253.358402777783</v>
      </c>
      <c r="B2823" s="1">
        <v>6.37</v>
      </c>
      <c r="C2823" s="1">
        <v>5.49</v>
      </c>
      <c r="D2823" s="1">
        <v>0.54</v>
      </c>
      <c r="E2823" s="1" t="s">
        <v>113</v>
      </c>
      <c r="F2823" s="1" t="s">
        <v>113</v>
      </c>
      <c r="G2823" s="1" t="s">
        <v>113</v>
      </c>
      <c r="H2823" s="1" t="str">
        <f>VLOOKUP(F2823,Countries!$A$1:$B$161,2,0)</f>
        <v>United States of America</v>
      </c>
    </row>
    <row r="2824" spans="1:8" x14ac:dyDescent="0.3">
      <c r="A2824" s="3">
        <v>46253.354861111111</v>
      </c>
      <c r="B2824" s="1">
        <v>59.03</v>
      </c>
      <c r="C2824" s="1">
        <v>50.9</v>
      </c>
      <c r="D2824" s="1">
        <v>2.92</v>
      </c>
      <c r="E2824" s="1" t="s">
        <v>113</v>
      </c>
      <c r="F2824" s="1" t="s">
        <v>113</v>
      </c>
      <c r="G2824" s="1" t="s">
        <v>113</v>
      </c>
      <c r="H2824" s="1" t="str">
        <f>VLOOKUP(F2824,Countries!$A$1:$B$161,2,0)</f>
        <v>United States of America</v>
      </c>
    </row>
    <row r="2825" spans="1:8" x14ac:dyDescent="0.3">
      <c r="A2825" s="3">
        <v>46253.354583333326</v>
      </c>
      <c r="B2825" s="1">
        <v>26.06</v>
      </c>
      <c r="C2825" s="1">
        <v>22.47</v>
      </c>
      <c r="D2825" s="1">
        <v>1.26</v>
      </c>
      <c r="E2825" s="1" t="s">
        <v>119</v>
      </c>
      <c r="F2825" s="1" t="s">
        <v>119</v>
      </c>
      <c r="G2825" s="1" t="s">
        <v>119</v>
      </c>
      <c r="H2825" s="1" t="str">
        <f>VLOOKUP(F2825,Countries!$A$1:$B$161,2,0)</f>
        <v>Great Britain (United Kingdom)</v>
      </c>
    </row>
    <row r="2826" spans="1:8" x14ac:dyDescent="0.3">
      <c r="A2826" s="3">
        <v>46253.354363425933</v>
      </c>
      <c r="B2826" s="1">
        <v>34.75</v>
      </c>
      <c r="C2826" s="1">
        <v>29.97</v>
      </c>
      <c r="D2826" s="1">
        <v>1.6</v>
      </c>
      <c r="E2826" s="1" t="s">
        <v>119</v>
      </c>
      <c r="F2826" s="1" t="s">
        <v>119</v>
      </c>
      <c r="G2826" s="1" t="s">
        <v>119</v>
      </c>
      <c r="H2826" s="1" t="str">
        <f>VLOOKUP(F2826,Countries!$A$1:$B$161,2,0)</f>
        <v>Great Britain (United Kingdom)</v>
      </c>
    </row>
    <row r="2827" spans="1:8" x14ac:dyDescent="0.3">
      <c r="A2827" s="3">
        <v>46253.353229166663</v>
      </c>
      <c r="B2827" s="1">
        <v>4.99</v>
      </c>
      <c r="C2827" s="1">
        <v>4.3</v>
      </c>
      <c r="D2827" s="1">
        <v>0.48</v>
      </c>
      <c r="E2827" s="1" t="s">
        <v>118</v>
      </c>
      <c r="F2827" s="1" t="s">
        <v>118</v>
      </c>
      <c r="G2827" s="1" t="s">
        <v>118</v>
      </c>
      <c r="H2827" s="1" t="str">
        <f>VLOOKUP(F2827,Countries!$A$1:$B$161,2,0)</f>
        <v>Bermuda</v>
      </c>
    </row>
    <row r="2828" spans="1:8" x14ac:dyDescent="0.3">
      <c r="A2828" s="3">
        <v>46253.352071759262</v>
      </c>
      <c r="B2828" s="1">
        <v>3.73</v>
      </c>
      <c r="C2828" s="1">
        <v>3.22</v>
      </c>
      <c r="D2828" s="1">
        <v>0.39</v>
      </c>
      <c r="E2828" s="1" t="s">
        <v>119</v>
      </c>
      <c r="F2828" s="1" t="s">
        <v>119</v>
      </c>
      <c r="G2828" s="1" t="s">
        <v>119</v>
      </c>
      <c r="H2828" s="1" t="str">
        <f>VLOOKUP(F2828,Countries!$A$1:$B$161,2,0)</f>
        <v>Great Britain (United Kingdom)</v>
      </c>
    </row>
    <row r="2829" spans="1:8" x14ac:dyDescent="0.3">
      <c r="A2829" s="3">
        <v>46253.349652777782</v>
      </c>
      <c r="B2829" s="1">
        <v>7.39</v>
      </c>
      <c r="C2829" s="1">
        <v>6.37</v>
      </c>
      <c r="D2829" s="1">
        <v>0.48</v>
      </c>
      <c r="E2829" s="1" t="s">
        <v>147</v>
      </c>
      <c r="F2829" s="1" t="s">
        <v>147</v>
      </c>
      <c r="G2829" s="1" t="s">
        <v>147</v>
      </c>
      <c r="H2829" s="1" t="str">
        <f>VLOOKUP(F2829,Countries!$A$1:$B$161,2,0)</f>
        <v>Germany</v>
      </c>
    </row>
    <row r="2830" spans="1:8" x14ac:dyDescent="0.3">
      <c r="A2830" s="3">
        <v>46253.349409722221</v>
      </c>
      <c r="B2830" s="1">
        <v>6.37</v>
      </c>
      <c r="C2830" s="1">
        <v>5.49</v>
      </c>
      <c r="D2830" s="1">
        <v>0.54</v>
      </c>
      <c r="E2830" s="1" t="s">
        <v>113</v>
      </c>
      <c r="F2830" s="1" t="s">
        <v>113</v>
      </c>
      <c r="G2830" s="1" t="s">
        <v>113</v>
      </c>
      <c r="H2830" s="1" t="str">
        <f>VLOOKUP(F2830,Countries!$A$1:$B$161,2,0)</f>
        <v>United States of America</v>
      </c>
    </row>
    <row r="2831" spans="1:8" x14ac:dyDescent="0.3">
      <c r="A2831" s="3">
        <v>46253.348124999997</v>
      </c>
      <c r="B2831" s="1">
        <v>6.37</v>
      </c>
      <c r="C2831" s="1">
        <v>5.49</v>
      </c>
      <c r="D2831" s="1">
        <v>0.54</v>
      </c>
      <c r="E2831" s="1" t="s">
        <v>113</v>
      </c>
      <c r="F2831" s="1" t="s">
        <v>113</v>
      </c>
      <c r="G2831" s="1" t="s">
        <v>113</v>
      </c>
      <c r="H2831" s="1" t="str">
        <f>VLOOKUP(F2831,Countries!$A$1:$B$161,2,0)</f>
        <v>United States of America</v>
      </c>
    </row>
    <row r="2832" spans="1:8" x14ac:dyDescent="0.3">
      <c r="A2832" s="3">
        <v>46253.33934027778</v>
      </c>
      <c r="B2832" s="1">
        <v>1.99</v>
      </c>
      <c r="C2832" s="1">
        <v>1.72</v>
      </c>
      <c r="D2832" s="1">
        <v>0.34</v>
      </c>
      <c r="E2832" s="1" t="s">
        <v>182</v>
      </c>
      <c r="F2832" s="1" t="s">
        <v>182</v>
      </c>
      <c r="G2832" s="1" t="s">
        <v>182</v>
      </c>
      <c r="H2832" s="1" t="str">
        <f>VLOOKUP(F2832,Countries!$A$1:$B$161,2,0)</f>
        <v>Guatemala</v>
      </c>
    </row>
    <row r="2833" spans="1:8" x14ac:dyDescent="0.3">
      <c r="A2833" s="3">
        <v>46253.338090277779</v>
      </c>
      <c r="B2833" s="1">
        <v>14.78</v>
      </c>
      <c r="C2833" s="1">
        <v>12.75</v>
      </c>
      <c r="D2833" s="1">
        <v>0.92</v>
      </c>
      <c r="E2833" s="1" t="s">
        <v>113</v>
      </c>
      <c r="F2833" s="1" t="s">
        <v>113</v>
      </c>
      <c r="G2833" s="1" t="s">
        <v>113</v>
      </c>
      <c r="H2833" s="1" t="str">
        <f>VLOOKUP(F2833,Countries!$A$1:$B$161,2,0)</f>
        <v>United States of America</v>
      </c>
    </row>
    <row r="2834" spans="1:8" x14ac:dyDescent="0.3">
      <c r="A2834" s="3">
        <v>46253.334050925929</v>
      </c>
      <c r="B2834" s="1">
        <v>6.37</v>
      </c>
      <c r="C2834" s="1">
        <v>5.49</v>
      </c>
      <c r="D2834" s="1">
        <v>0.54</v>
      </c>
      <c r="E2834" s="1" t="s">
        <v>113</v>
      </c>
      <c r="F2834" s="1" t="s">
        <v>113</v>
      </c>
      <c r="G2834" s="1" t="s">
        <v>113</v>
      </c>
      <c r="H2834" s="1" t="str">
        <f>VLOOKUP(F2834,Countries!$A$1:$B$161,2,0)</f>
        <v>United States of America</v>
      </c>
    </row>
    <row r="2835" spans="1:8" x14ac:dyDescent="0.3">
      <c r="A2835" s="3">
        <v>46253.333807870367</v>
      </c>
      <c r="B2835" s="1">
        <v>6.37</v>
      </c>
      <c r="C2835" s="1">
        <v>5.49</v>
      </c>
      <c r="D2835" s="1">
        <v>0.54</v>
      </c>
      <c r="E2835" s="1" t="s">
        <v>113</v>
      </c>
      <c r="F2835" s="1" t="s">
        <v>113</v>
      </c>
      <c r="G2835" s="1" t="s">
        <v>113</v>
      </c>
      <c r="H2835" s="1" t="str">
        <f>VLOOKUP(F2835,Countries!$A$1:$B$161,2,0)</f>
        <v>United States of America</v>
      </c>
    </row>
    <row r="2836" spans="1:8" x14ac:dyDescent="0.3">
      <c r="A2836" s="3">
        <v>46253.332106481481</v>
      </c>
      <c r="B2836" s="1">
        <v>6.37</v>
      </c>
      <c r="C2836" s="1">
        <v>5.49</v>
      </c>
      <c r="D2836" s="1">
        <v>0.54</v>
      </c>
      <c r="E2836" s="1" t="s">
        <v>113</v>
      </c>
      <c r="F2836" s="1" t="s">
        <v>113</v>
      </c>
      <c r="G2836" s="1" t="s">
        <v>113</v>
      </c>
      <c r="H2836" s="1" t="str">
        <f>VLOOKUP(F2836,Countries!$A$1:$B$161,2,0)</f>
        <v>United States of America</v>
      </c>
    </row>
    <row r="2837" spans="1:8" x14ac:dyDescent="0.3">
      <c r="A2837" s="3">
        <v>46253.330254629633</v>
      </c>
      <c r="B2837" s="1">
        <v>10.85</v>
      </c>
      <c r="C2837" s="1">
        <v>9.36</v>
      </c>
      <c r="D2837" s="1">
        <v>0.74</v>
      </c>
      <c r="E2837" s="1" t="s">
        <v>115</v>
      </c>
      <c r="F2837" s="1" t="s">
        <v>115</v>
      </c>
      <c r="G2837" s="1" t="s">
        <v>115</v>
      </c>
      <c r="H2837" s="1" t="str">
        <f>VLOOKUP(F2837,Countries!$A$1:$B$161,2,0)</f>
        <v>Switzerland</v>
      </c>
    </row>
    <row r="2838" spans="1:8" x14ac:dyDescent="0.3">
      <c r="A2838" s="3">
        <v>46253.328773148147</v>
      </c>
      <c r="B2838" s="1">
        <v>3.18</v>
      </c>
      <c r="C2838" s="1">
        <v>2.74</v>
      </c>
      <c r="D2838" s="1">
        <v>0.39</v>
      </c>
      <c r="E2838" s="1" t="s">
        <v>113</v>
      </c>
      <c r="F2838" s="1" t="s">
        <v>113</v>
      </c>
      <c r="G2838" s="1" t="s">
        <v>113</v>
      </c>
      <c r="H2838" s="1" t="str">
        <f>VLOOKUP(F2838,Countries!$A$1:$B$161,2,0)</f>
        <v>United States of America</v>
      </c>
    </row>
    <row r="2839" spans="1:8" x14ac:dyDescent="0.3">
      <c r="A2839" s="3">
        <v>46253.324143518519</v>
      </c>
      <c r="B2839" s="1">
        <v>14.77</v>
      </c>
      <c r="C2839" s="1">
        <v>12.74</v>
      </c>
      <c r="D2839" s="1">
        <v>0.91</v>
      </c>
      <c r="E2839" s="1" t="s">
        <v>113</v>
      </c>
      <c r="F2839" s="1" t="s">
        <v>113</v>
      </c>
      <c r="G2839" s="1" t="s">
        <v>113</v>
      </c>
      <c r="H2839" s="1" t="str">
        <f>VLOOKUP(F2839,Countries!$A$1:$B$161,2,0)</f>
        <v>United States of America</v>
      </c>
    </row>
    <row r="2840" spans="1:8" x14ac:dyDescent="0.3">
      <c r="A2840" s="3">
        <v>46253.323078703703</v>
      </c>
      <c r="B2840" s="1">
        <v>5.99</v>
      </c>
      <c r="C2840" s="1">
        <v>5.17</v>
      </c>
      <c r="D2840" s="1">
        <v>0.52</v>
      </c>
      <c r="E2840" s="1" t="s">
        <v>129</v>
      </c>
      <c r="F2840" s="1" t="s">
        <v>129</v>
      </c>
      <c r="G2840" s="1" t="s">
        <v>129</v>
      </c>
      <c r="H2840" s="1" t="str">
        <f>VLOOKUP(F2840,Countries!$A$1:$B$161,2,0)</f>
        <v>Qatar</v>
      </c>
    </row>
    <row r="2841" spans="1:8" x14ac:dyDescent="0.3">
      <c r="A2841" s="3">
        <v>46253.319618055553</v>
      </c>
      <c r="B2841" s="1">
        <v>7.48</v>
      </c>
      <c r="C2841" s="1">
        <v>6.45</v>
      </c>
      <c r="D2841" s="1">
        <v>0.48</v>
      </c>
      <c r="E2841" s="1" t="s">
        <v>123</v>
      </c>
      <c r="F2841" s="1" t="s">
        <v>123</v>
      </c>
      <c r="G2841" s="1" t="s">
        <v>123</v>
      </c>
      <c r="H2841" s="1" t="str">
        <f>VLOOKUP(F2841,Countries!$A$1:$B$161,2,0)</f>
        <v>France</v>
      </c>
    </row>
    <row r="2842" spans="1:8" x14ac:dyDescent="0.3">
      <c r="A2842" s="3">
        <v>46253.316458333327</v>
      </c>
      <c r="B2842" s="1">
        <v>14.77</v>
      </c>
      <c r="C2842" s="1">
        <v>12.74</v>
      </c>
      <c r="D2842" s="1">
        <v>0.91</v>
      </c>
      <c r="E2842" s="1" t="s">
        <v>113</v>
      </c>
      <c r="F2842" s="1" t="s">
        <v>113</v>
      </c>
      <c r="G2842" s="1" t="s">
        <v>113</v>
      </c>
      <c r="H2842" s="1" t="str">
        <f>VLOOKUP(F2842,Countries!$A$1:$B$161,2,0)</f>
        <v>United States of America</v>
      </c>
    </row>
    <row r="2843" spans="1:8" x14ac:dyDescent="0.3">
      <c r="A2843" s="3">
        <v>46253.314930555563</v>
      </c>
      <c r="B2843" s="1">
        <v>10.85</v>
      </c>
      <c r="C2843" s="1">
        <v>9.36</v>
      </c>
      <c r="D2843" s="1">
        <v>0.74</v>
      </c>
      <c r="E2843" s="1" t="s">
        <v>115</v>
      </c>
      <c r="F2843" s="1" t="s">
        <v>115</v>
      </c>
      <c r="G2843" s="1" t="s">
        <v>115</v>
      </c>
      <c r="H2843" s="1" t="str">
        <f>VLOOKUP(F2843,Countries!$A$1:$B$161,2,0)</f>
        <v>Switzerland</v>
      </c>
    </row>
    <row r="2844" spans="1:8" x14ac:dyDescent="0.3">
      <c r="A2844" s="3">
        <v>46253.313460648147</v>
      </c>
      <c r="B2844" s="1">
        <v>11.35</v>
      </c>
      <c r="C2844" s="1">
        <v>9.7899999999999991</v>
      </c>
      <c r="D2844" s="1">
        <v>0.77</v>
      </c>
      <c r="E2844" s="1" t="s">
        <v>114</v>
      </c>
      <c r="F2844" s="1" t="s">
        <v>114</v>
      </c>
      <c r="G2844" s="1" t="s">
        <v>114</v>
      </c>
      <c r="H2844" s="1" t="str">
        <f>VLOOKUP(F2844,Countries!$A$1:$B$161,2,0)</f>
        <v>Philippines</v>
      </c>
    </row>
    <row r="2845" spans="1:8" x14ac:dyDescent="0.3">
      <c r="A2845" s="3">
        <v>46253.311076388891</v>
      </c>
      <c r="B2845" s="1">
        <v>14.78</v>
      </c>
      <c r="C2845" s="1">
        <v>12.75</v>
      </c>
      <c r="D2845" s="1">
        <v>0.92</v>
      </c>
      <c r="E2845" s="1" t="s">
        <v>113</v>
      </c>
      <c r="F2845" s="1" t="s">
        <v>113</v>
      </c>
      <c r="G2845" s="1" t="s">
        <v>113</v>
      </c>
      <c r="H2845" s="1" t="str">
        <f>VLOOKUP(F2845,Countries!$A$1:$B$161,2,0)</f>
        <v>United States of America</v>
      </c>
    </row>
    <row r="2846" spans="1:8" x14ac:dyDescent="0.3">
      <c r="A2846" s="3">
        <v>46253.310682870368</v>
      </c>
      <c r="B2846" s="1">
        <v>3.39</v>
      </c>
      <c r="C2846" s="1">
        <v>2.92</v>
      </c>
      <c r="D2846" s="1">
        <v>0.4</v>
      </c>
      <c r="E2846" s="1" t="s">
        <v>114</v>
      </c>
      <c r="F2846" s="1" t="s">
        <v>114</v>
      </c>
      <c r="G2846" s="1" t="s">
        <v>114</v>
      </c>
      <c r="H2846" s="1" t="str">
        <f>VLOOKUP(F2846,Countries!$A$1:$B$161,2,0)</f>
        <v>Philippines</v>
      </c>
    </row>
    <row r="2847" spans="1:8" x14ac:dyDescent="0.3">
      <c r="A2847" s="3">
        <v>46253.310011574067</v>
      </c>
      <c r="B2847" s="1">
        <v>14.77</v>
      </c>
      <c r="C2847" s="1">
        <v>12.74</v>
      </c>
      <c r="D2847" s="1">
        <v>0.91</v>
      </c>
      <c r="E2847" s="1" t="s">
        <v>113</v>
      </c>
      <c r="F2847" s="1" t="s">
        <v>113</v>
      </c>
      <c r="G2847" s="1" t="s">
        <v>113</v>
      </c>
      <c r="H2847" s="1" t="str">
        <f>VLOOKUP(F2847,Countries!$A$1:$B$161,2,0)</f>
        <v>United States of America</v>
      </c>
    </row>
    <row r="2848" spans="1:8" x14ac:dyDescent="0.3">
      <c r="A2848" s="3">
        <v>46253.307789351849</v>
      </c>
      <c r="B2848" s="1">
        <v>14.77</v>
      </c>
      <c r="C2848" s="1">
        <v>12.74</v>
      </c>
      <c r="D2848" s="1">
        <v>0.91</v>
      </c>
      <c r="E2848" s="1" t="s">
        <v>113</v>
      </c>
      <c r="F2848" s="1" t="s">
        <v>113</v>
      </c>
      <c r="G2848" s="1" t="s">
        <v>113</v>
      </c>
      <c r="H2848" s="1" t="str">
        <f>VLOOKUP(F2848,Countries!$A$1:$B$161,2,0)</f>
        <v>United States of America</v>
      </c>
    </row>
    <row r="2849" spans="1:8" x14ac:dyDescent="0.3">
      <c r="A2849" s="3">
        <v>46253.307743055557</v>
      </c>
      <c r="B2849" s="1">
        <v>6.37</v>
      </c>
      <c r="C2849" s="1">
        <v>5.49</v>
      </c>
      <c r="D2849" s="1">
        <v>0.54</v>
      </c>
      <c r="E2849" s="1" t="s">
        <v>113</v>
      </c>
      <c r="F2849" s="1" t="s">
        <v>113</v>
      </c>
      <c r="G2849" s="1" t="s">
        <v>113</v>
      </c>
      <c r="H2849" s="1" t="str">
        <f>VLOOKUP(F2849,Countries!$A$1:$B$161,2,0)</f>
        <v>United States of America</v>
      </c>
    </row>
    <row r="2850" spans="1:8" x14ac:dyDescent="0.3">
      <c r="A2850" s="3">
        <v>46253.305798611109</v>
      </c>
      <c r="B2850" s="1">
        <v>6.65</v>
      </c>
      <c r="C2850" s="1">
        <v>5.74</v>
      </c>
      <c r="D2850" s="1">
        <v>0.55000000000000004</v>
      </c>
      <c r="E2850" s="1" t="s">
        <v>130</v>
      </c>
      <c r="F2850" s="1" t="s">
        <v>130</v>
      </c>
      <c r="G2850" s="1" t="s">
        <v>130</v>
      </c>
      <c r="H2850" s="1" t="str">
        <f>VLOOKUP(F2850,Countries!$A$1:$B$161,2,0)</f>
        <v>Australia</v>
      </c>
    </row>
    <row r="2851" spans="1:8" x14ac:dyDescent="0.3">
      <c r="A2851" s="3">
        <v>46253.303553240738</v>
      </c>
      <c r="B2851" s="1">
        <v>14.77</v>
      </c>
      <c r="C2851" s="1">
        <v>12.74</v>
      </c>
      <c r="D2851" s="1">
        <v>0.91</v>
      </c>
      <c r="E2851" s="1" t="s">
        <v>113</v>
      </c>
      <c r="F2851" s="1" t="s">
        <v>113</v>
      </c>
      <c r="G2851" s="1" t="s">
        <v>113</v>
      </c>
      <c r="H2851" s="1" t="str">
        <f>VLOOKUP(F2851,Countries!$A$1:$B$161,2,0)</f>
        <v>United States of America</v>
      </c>
    </row>
    <row r="2852" spans="1:8" x14ac:dyDescent="0.3">
      <c r="A2852" s="3">
        <v>46253.302824074082</v>
      </c>
      <c r="B2852" s="1">
        <v>7.99</v>
      </c>
      <c r="C2852" s="1">
        <v>6.89</v>
      </c>
      <c r="D2852" s="1">
        <v>0.61</v>
      </c>
      <c r="E2852" s="1" t="s">
        <v>113</v>
      </c>
      <c r="F2852" s="1" t="s">
        <v>113</v>
      </c>
      <c r="G2852" s="1" t="s">
        <v>113</v>
      </c>
      <c r="H2852" s="1" t="str">
        <f>VLOOKUP(F2852,Countries!$A$1:$B$161,2,0)</f>
        <v>United States of America</v>
      </c>
    </row>
    <row r="2853" spans="1:8" x14ac:dyDescent="0.3">
      <c r="A2853" s="3">
        <v>46253.300856481481</v>
      </c>
      <c r="B2853" s="1">
        <v>14.78</v>
      </c>
      <c r="C2853" s="1">
        <v>12.75</v>
      </c>
      <c r="D2853" s="1">
        <v>0.92</v>
      </c>
      <c r="E2853" s="1" t="s">
        <v>113</v>
      </c>
      <c r="F2853" s="1" t="s">
        <v>113</v>
      </c>
      <c r="G2853" s="1" t="s">
        <v>113</v>
      </c>
      <c r="H2853" s="1" t="str">
        <f>VLOOKUP(F2853,Countries!$A$1:$B$161,2,0)</f>
        <v>United States of America</v>
      </c>
    </row>
    <row r="2854" spans="1:8" x14ac:dyDescent="0.3">
      <c r="A2854" s="3">
        <v>46253.299016203702</v>
      </c>
      <c r="B2854" s="1">
        <v>14.77</v>
      </c>
      <c r="C2854" s="1">
        <v>12.74</v>
      </c>
      <c r="D2854" s="1">
        <v>0.91</v>
      </c>
      <c r="E2854" s="1" t="s">
        <v>113</v>
      </c>
      <c r="F2854" s="1" t="s">
        <v>113</v>
      </c>
      <c r="G2854" s="1" t="s">
        <v>113</v>
      </c>
      <c r="H2854" s="1" t="str">
        <f>VLOOKUP(F2854,Countries!$A$1:$B$161,2,0)</f>
        <v>United States of America</v>
      </c>
    </row>
    <row r="2855" spans="1:8" x14ac:dyDescent="0.3">
      <c r="A2855" s="3">
        <v>46253.297361111108</v>
      </c>
      <c r="B2855" s="1">
        <v>7.21</v>
      </c>
      <c r="C2855" s="1">
        <v>6.22</v>
      </c>
      <c r="D2855" s="1">
        <v>0.56999999999999995</v>
      </c>
      <c r="E2855" s="1" t="s">
        <v>165</v>
      </c>
      <c r="F2855" s="1" t="s">
        <v>165</v>
      </c>
      <c r="G2855" s="1" t="s">
        <v>165</v>
      </c>
      <c r="H2855" s="1" t="str">
        <f>VLOOKUP(F2855,Countries!$A$1:$B$161,2,0)</f>
        <v>Israel</v>
      </c>
    </row>
    <row r="2856" spans="1:8" x14ac:dyDescent="0.3">
      <c r="A2856" s="3">
        <v>46253.296030092592</v>
      </c>
      <c r="B2856" s="1">
        <v>14.77</v>
      </c>
      <c r="C2856" s="1">
        <v>12.74</v>
      </c>
      <c r="D2856" s="1">
        <v>0.91</v>
      </c>
      <c r="E2856" s="1" t="s">
        <v>113</v>
      </c>
      <c r="F2856" s="1" t="s">
        <v>113</v>
      </c>
      <c r="G2856" s="1" t="s">
        <v>113</v>
      </c>
      <c r="H2856" s="1" t="str">
        <f>VLOOKUP(F2856,Countries!$A$1:$B$161,2,0)</f>
        <v>United States of America</v>
      </c>
    </row>
    <row r="2857" spans="1:8" x14ac:dyDescent="0.3">
      <c r="A2857" s="3">
        <v>46253.293599537043</v>
      </c>
      <c r="B2857" s="1">
        <v>12.03</v>
      </c>
      <c r="C2857" s="1">
        <v>10.38</v>
      </c>
      <c r="D2857" s="1">
        <v>0.8</v>
      </c>
      <c r="E2857" s="1" t="s">
        <v>165</v>
      </c>
      <c r="F2857" s="1" t="s">
        <v>165</v>
      </c>
      <c r="G2857" s="1" t="s">
        <v>165</v>
      </c>
      <c r="H2857" s="1" t="str">
        <f>VLOOKUP(F2857,Countries!$A$1:$B$161,2,0)</f>
        <v>Israel</v>
      </c>
    </row>
    <row r="2858" spans="1:8" x14ac:dyDescent="0.3">
      <c r="A2858" s="3">
        <v>46253.292175925933</v>
      </c>
      <c r="B2858" s="1">
        <v>17.36</v>
      </c>
      <c r="C2858" s="1">
        <v>14.98</v>
      </c>
      <c r="D2858" s="1">
        <v>0.77</v>
      </c>
      <c r="E2858" s="1" t="s">
        <v>123</v>
      </c>
      <c r="F2858" s="1" t="s">
        <v>123</v>
      </c>
      <c r="G2858" s="1" t="s">
        <v>123</v>
      </c>
      <c r="H2858" s="1" t="str">
        <f>VLOOKUP(F2858,Countries!$A$1:$B$161,2,0)</f>
        <v>France</v>
      </c>
    </row>
    <row r="2859" spans="1:8" x14ac:dyDescent="0.3">
      <c r="A2859" s="3">
        <v>46253.291643518518</v>
      </c>
      <c r="B2859" s="1">
        <v>2.11</v>
      </c>
      <c r="C2859" s="1">
        <v>1.82</v>
      </c>
      <c r="D2859" s="1">
        <v>0.35</v>
      </c>
      <c r="E2859" s="1" t="s">
        <v>113</v>
      </c>
      <c r="F2859" s="1" t="s">
        <v>113</v>
      </c>
      <c r="G2859" s="1" t="s">
        <v>113</v>
      </c>
      <c r="H2859" s="1" t="str">
        <f>VLOOKUP(F2859,Countries!$A$1:$B$161,2,0)</f>
        <v>United States of America</v>
      </c>
    </row>
    <row r="2860" spans="1:8" x14ac:dyDescent="0.3">
      <c r="A2860" s="3">
        <v>46253.29042824074</v>
      </c>
      <c r="B2860" s="1">
        <v>10.62</v>
      </c>
      <c r="C2860" s="1">
        <v>9.16</v>
      </c>
      <c r="D2860" s="1">
        <v>0.73</v>
      </c>
      <c r="E2860" s="1" t="s">
        <v>113</v>
      </c>
      <c r="F2860" s="1" t="s">
        <v>113</v>
      </c>
      <c r="G2860" s="1" t="s">
        <v>113</v>
      </c>
      <c r="H2860" s="1" t="str">
        <f>VLOOKUP(F2860,Countries!$A$1:$B$161,2,0)</f>
        <v>United States of America</v>
      </c>
    </row>
    <row r="2861" spans="1:8" x14ac:dyDescent="0.3">
      <c r="A2861" s="3">
        <v>46253.289594907408</v>
      </c>
      <c r="B2861" s="1">
        <v>14.77</v>
      </c>
      <c r="C2861" s="1">
        <v>12.75</v>
      </c>
      <c r="D2861" s="1">
        <v>0.92</v>
      </c>
      <c r="E2861" s="1" t="s">
        <v>113</v>
      </c>
      <c r="F2861" s="1" t="s">
        <v>113</v>
      </c>
      <c r="G2861" s="1" t="s">
        <v>113</v>
      </c>
      <c r="H2861" s="1" t="str">
        <f>VLOOKUP(F2861,Countries!$A$1:$B$161,2,0)</f>
        <v>United States of America</v>
      </c>
    </row>
    <row r="2862" spans="1:8" x14ac:dyDescent="0.3">
      <c r="A2862" s="3">
        <v>46253.289027777777</v>
      </c>
      <c r="B2862" s="1">
        <v>10.85</v>
      </c>
      <c r="C2862" s="1">
        <v>9.36</v>
      </c>
      <c r="D2862" s="1">
        <v>0.74</v>
      </c>
      <c r="E2862" s="1" t="s">
        <v>115</v>
      </c>
      <c r="F2862" s="1" t="s">
        <v>115</v>
      </c>
      <c r="G2862" s="1" t="s">
        <v>115</v>
      </c>
      <c r="H2862" s="1" t="str">
        <f>VLOOKUP(F2862,Countries!$A$1:$B$161,2,0)</f>
        <v>Switzerland</v>
      </c>
    </row>
    <row r="2863" spans="1:8" x14ac:dyDescent="0.3">
      <c r="A2863" s="3">
        <v>46253.288981481477</v>
      </c>
      <c r="B2863" s="1">
        <v>6.37</v>
      </c>
      <c r="C2863" s="1">
        <v>5.5</v>
      </c>
      <c r="D2863" s="1">
        <v>0.54</v>
      </c>
      <c r="E2863" s="1" t="s">
        <v>113</v>
      </c>
      <c r="F2863" s="1" t="s">
        <v>113</v>
      </c>
      <c r="G2863" s="1" t="s">
        <v>113</v>
      </c>
      <c r="H2863" s="1" t="str">
        <f>VLOOKUP(F2863,Countries!$A$1:$B$161,2,0)</f>
        <v>United States of America</v>
      </c>
    </row>
    <row r="2864" spans="1:8" x14ac:dyDescent="0.3">
      <c r="A2864" s="3">
        <v>46253.282222222217</v>
      </c>
      <c r="B2864" s="1">
        <v>10.85</v>
      </c>
      <c r="C2864" s="1">
        <v>9.36</v>
      </c>
      <c r="D2864" s="1">
        <v>0.74</v>
      </c>
      <c r="E2864" s="1" t="s">
        <v>115</v>
      </c>
      <c r="F2864" s="1" t="s">
        <v>115</v>
      </c>
      <c r="G2864" s="1" t="s">
        <v>115</v>
      </c>
      <c r="H2864" s="1" t="str">
        <f>VLOOKUP(F2864,Countries!$A$1:$B$161,2,0)</f>
        <v>Switzerland</v>
      </c>
    </row>
    <row r="2865" spans="1:8" x14ac:dyDescent="0.3">
      <c r="A2865" s="3">
        <v>46253.281006944453</v>
      </c>
      <c r="B2865" s="1">
        <v>14.77</v>
      </c>
      <c r="C2865" s="1">
        <v>12.75</v>
      </c>
      <c r="D2865" s="1">
        <v>0.92</v>
      </c>
      <c r="E2865" s="1" t="s">
        <v>113</v>
      </c>
      <c r="F2865" s="1" t="s">
        <v>113</v>
      </c>
      <c r="G2865" s="1" t="s">
        <v>113</v>
      </c>
      <c r="H2865" s="1" t="str">
        <f>VLOOKUP(F2865,Countries!$A$1:$B$161,2,0)</f>
        <v>United States of America</v>
      </c>
    </row>
    <row r="2866" spans="1:8" x14ac:dyDescent="0.3">
      <c r="A2866" s="3">
        <v>46253.277754629627</v>
      </c>
      <c r="B2866" s="1">
        <v>6.65</v>
      </c>
      <c r="C2866" s="1">
        <v>5.74</v>
      </c>
      <c r="D2866" s="1">
        <v>0.55000000000000004</v>
      </c>
      <c r="E2866" s="1" t="s">
        <v>130</v>
      </c>
      <c r="F2866" s="1" t="s">
        <v>130</v>
      </c>
      <c r="G2866" s="1" t="s">
        <v>130</v>
      </c>
      <c r="H2866" s="1" t="str">
        <f>VLOOKUP(F2866,Countries!$A$1:$B$161,2,0)</f>
        <v>Australia</v>
      </c>
    </row>
    <row r="2867" spans="1:8" x14ac:dyDescent="0.3">
      <c r="A2867" s="3">
        <v>46253.276493055557</v>
      </c>
      <c r="B2867" s="1">
        <v>17.36</v>
      </c>
      <c r="C2867" s="1">
        <v>14.98</v>
      </c>
      <c r="D2867" s="1">
        <v>0.77</v>
      </c>
      <c r="E2867" s="1" t="s">
        <v>123</v>
      </c>
      <c r="F2867" s="1" t="s">
        <v>123</v>
      </c>
      <c r="G2867" s="1" t="s">
        <v>123</v>
      </c>
      <c r="H2867" s="1" t="str">
        <f>VLOOKUP(F2867,Countries!$A$1:$B$161,2,0)</f>
        <v>France</v>
      </c>
    </row>
    <row r="2868" spans="1:8" x14ac:dyDescent="0.3">
      <c r="A2868" s="3">
        <v>46253.276435185187</v>
      </c>
      <c r="B2868" s="1">
        <v>10.85</v>
      </c>
      <c r="C2868" s="1">
        <v>9.36</v>
      </c>
      <c r="D2868" s="1">
        <v>0.74</v>
      </c>
      <c r="E2868" s="1" t="s">
        <v>115</v>
      </c>
      <c r="F2868" s="1" t="s">
        <v>115</v>
      </c>
      <c r="G2868" s="1" t="s">
        <v>115</v>
      </c>
      <c r="H2868" s="1" t="str">
        <f>VLOOKUP(F2868,Countries!$A$1:$B$161,2,0)</f>
        <v>Switzerland</v>
      </c>
    </row>
    <row r="2869" spans="1:8" x14ac:dyDescent="0.3">
      <c r="A2869" s="3">
        <v>46253.274814814817</v>
      </c>
      <c r="B2869" s="1">
        <v>14.77</v>
      </c>
      <c r="C2869" s="1">
        <v>12.75</v>
      </c>
      <c r="D2869" s="1">
        <v>0.92</v>
      </c>
      <c r="E2869" s="1" t="s">
        <v>113</v>
      </c>
      <c r="F2869" s="1" t="s">
        <v>113</v>
      </c>
      <c r="G2869" s="1" t="s">
        <v>113</v>
      </c>
      <c r="H2869" s="1" t="str">
        <f>VLOOKUP(F2869,Countries!$A$1:$B$161,2,0)</f>
        <v>United States of America</v>
      </c>
    </row>
    <row r="2870" spans="1:8" x14ac:dyDescent="0.3">
      <c r="A2870" s="3">
        <v>46253.270370370366</v>
      </c>
      <c r="B2870" s="1">
        <v>10.85</v>
      </c>
      <c r="C2870" s="1">
        <v>9.36</v>
      </c>
      <c r="D2870" s="1">
        <v>0.74</v>
      </c>
      <c r="E2870" s="1" t="s">
        <v>115</v>
      </c>
      <c r="F2870" s="1" t="s">
        <v>115</v>
      </c>
      <c r="G2870" s="1" t="s">
        <v>115</v>
      </c>
      <c r="H2870" s="1" t="str">
        <f>VLOOKUP(F2870,Countries!$A$1:$B$161,2,0)</f>
        <v>Switzerland</v>
      </c>
    </row>
    <row r="2871" spans="1:8" x14ac:dyDescent="0.3">
      <c r="A2871" s="3">
        <v>46253.269942129627</v>
      </c>
      <c r="B2871" s="1">
        <v>50.38</v>
      </c>
      <c r="C2871" s="1">
        <v>43.47</v>
      </c>
      <c r="D2871" s="1">
        <v>1.77</v>
      </c>
      <c r="E2871" s="1" t="s">
        <v>123</v>
      </c>
      <c r="F2871" s="1" t="s">
        <v>123</v>
      </c>
      <c r="G2871" s="1" t="s">
        <v>123</v>
      </c>
      <c r="H2871" s="1" t="str">
        <f>VLOOKUP(F2871,Countries!$A$1:$B$161,2,0)</f>
        <v>France</v>
      </c>
    </row>
    <row r="2872" spans="1:8" x14ac:dyDescent="0.3">
      <c r="A2872" s="3">
        <v>46253.268900462957</v>
      </c>
      <c r="B2872" s="1">
        <v>6.37</v>
      </c>
      <c r="C2872" s="1">
        <v>5.5</v>
      </c>
      <c r="D2872" s="1">
        <v>0.54</v>
      </c>
      <c r="E2872" s="1" t="s">
        <v>113</v>
      </c>
      <c r="F2872" s="1" t="s">
        <v>113</v>
      </c>
      <c r="G2872" s="1" t="s">
        <v>113</v>
      </c>
      <c r="H2872" s="1" t="str">
        <f>VLOOKUP(F2872,Countries!$A$1:$B$161,2,0)</f>
        <v>United States of America</v>
      </c>
    </row>
    <row r="2873" spans="1:8" x14ac:dyDescent="0.3">
      <c r="A2873" s="3">
        <v>46253.268368055556</v>
      </c>
      <c r="B2873" s="1">
        <v>14.77</v>
      </c>
      <c r="C2873" s="1">
        <v>12.75</v>
      </c>
      <c r="D2873" s="1">
        <v>0.92</v>
      </c>
      <c r="E2873" s="1" t="s">
        <v>113</v>
      </c>
      <c r="F2873" s="1" t="s">
        <v>113</v>
      </c>
      <c r="G2873" s="1" t="s">
        <v>113</v>
      </c>
      <c r="H2873" s="1" t="str">
        <f>VLOOKUP(F2873,Countries!$A$1:$B$161,2,0)</f>
        <v>United States of America</v>
      </c>
    </row>
    <row r="2874" spans="1:8" x14ac:dyDescent="0.3">
      <c r="A2874" s="3">
        <v>46253.267523148148</v>
      </c>
      <c r="B2874" s="1">
        <v>2.99</v>
      </c>
      <c r="C2874" s="1">
        <v>2.58</v>
      </c>
      <c r="D2874" s="1">
        <v>0.38</v>
      </c>
      <c r="E2874" s="1" t="s">
        <v>202</v>
      </c>
      <c r="F2874" s="1" t="s">
        <v>202</v>
      </c>
      <c r="G2874" s="1" t="s">
        <v>202</v>
      </c>
      <c r="H2874" s="1" t="str">
        <f>VLOOKUP(F2874,Countries!$A$1:$B$161,2,0)</f>
        <v>Lebanon</v>
      </c>
    </row>
    <row r="2875" spans="1:8" x14ac:dyDescent="0.3">
      <c r="A2875" s="3">
        <v>46253.265405092592</v>
      </c>
      <c r="B2875" s="1">
        <v>10.85</v>
      </c>
      <c r="C2875" s="1">
        <v>9.36</v>
      </c>
      <c r="D2875" s="1">
        <v>0.74</v>
      </c>
      <c r="E2875" s="1" t="s">
        <v>115</v>
      </c>
      <c r="F2875" s="1" t="s">
        <v>115</v>
      </c>
      <c r="G2875" s="1" t="s">
        <v>115</v>
      </c>
      <c r="H2875" s="1" t="str">
        <f>VLOOKUP(F2875,Countries!$A$1:$B$161,2,0)</f>
        <v>Switzerland</v>
      </c>
    </row>
    <row r="2876" spans="1:8" x14ac:dyDescent="0.3">
      <c r="A2876" s="3">
        <v>46253.262164351851</v>
      </c>
      <c r="B2876" s="1">
        <v>14.77</v>
      </c>
      <c r="C2876" s="1">
        <v>12.75</v>
      </c>
      <c r="D2876" s="1">
        <v>0.92</v>
      </c>
      <c r="E2876" s="1" t="s">
        <v>113</v>
      </c>
      <c r="F2876" s="1" t="s">
        <v>113</v>
      </c>
      <c r="G2876" s="1" t="s">
        <v>113</v>
      </c>
      <c r="H2876" s="1" t="str">
        <f>VLOOKUP(F2876,Countries!$A$1:$B$161,2,0)</f>
        <v>United States of America</v>
      </c>
    </row>
    <row r="2877" spans="1:8" x14ac:dyDescent="0.3">
      <c r="A2877" s="3">
        <v>46253.260694444441</v>
      </c>
      <c r="B2877" s="1">
        <v>10.85</v>
      </c>
      <c r="C2877" s="1">
        <v>9.36</v>
      </c>
      <c r="D2877" s="1">
        <v>0.74</v>
      </c>
      <c r="E2877" s="1" t="s">
        <v>115</v>
      </c>
      <c r="F2877" s="1" t="s">
        <v>115</v>
      </c>
      <c r="G2877" s="1" t="s">
        <v>115</v>
      </c>
      <c r="H2877" s="1" t="str">
        <f>VLOOKUP(F2877,Countries!$A$1:$B$161,2,0)</f>
        <v>Switzerland</v>
      </c>
    </row>
    <row r="2878" spans="1:8" x14ac:dyDescent="0.3">
      <c r="A2878" s="3">
        <v>46253.258506944447</v>
      </c>
      <c r="B2878" s="1">
        <v>17.36</v>
      </c>
      <c r="C2878" s="1">
        <v>14.98</v>
      </c>
      <c r="D2878" s="1">
        <v>0.77</v>
      </c>
      <c r="E2878" s="1" t="s">
        <v>123</v>
      </c>
      <c r="F2878" s="1" t="s">
        <v>123</v>
      </c>
      <c r="G2878" s="1" t="s">
        <v>123</v>
      </c>
      <c r="H2878" s="1" t="str">
        <f>VLOOKUP(F2878,Countries!$A$1:$B$161,2,0)</f>
        <v>France</v>
      </c>
    </row>
    <row r="2879" spans="1:8" x14ac:dyDescent="0.3">
      <c r="A2879" s="3">
        <v>46253.257430555554</v>
      </c>
      <c r="B2879" s="1">
        <v>1.99</v>
      </c>
      <c r="C2879" s="1">
        <v>1.72</v>
      </c>
      <c r="D2879" s="1">
        <v>0.34</v>
      </c>
      <c r="E2879" s="1" t="s">
        <v>150</v>
      </c>
      <c r="F2879" s="1" t="s">
        <v>150</v>
      </c>
      <c r="G2879" s="1" t="s">
        <v>150</v>
      </c>
      <c r="H2879" s="1" t="str">
        <f>VLOOKUP(F2879,Countries!$A$1:$B$161,2,0)</f>
        <v>El Salvador</v>
      </c>
    </row>
    <row r="2880" spans="1:8" x14ac:dyDescent="0.3">
      <c r="A2880" s="3">
        <v>46253.256215277783</v>
      </c>
      <c r="B2880" s="1">
        <v>50.38</v>
      </c>
      <c r="C2880" s="1">
        <v>43.47</v>
      </c>
      <c r="D2880" s="1">
        <v>1.77</v>
      </c>
      <c r="E2880" s="1" t="s">
        <v>123</v>
      </c>
      <c r="F2880" s="1" t="s">
        <v>123</v>
      </c>
      <c r="G2880" s="1" t="s">
        <v>123</v>
      </c>
      <c r="H2880" s="1" t="str">
        <f>VLOOKUP(F2880,Countries!$A$1:$B$161,2,0)</f>
        <v>France</v>
      </c>
    </row>
    <row r="2881" spans="1:8" x14ac:dyDescent="0.3">
      <c r="A2881" s="3">
        <v>46253.25472222222</v>
      </c>
      <c r="B2881" s="1">
        <v>10.85</v>
      </c>
      <c r="C2881" s="1">
        <v>9.36</v>
      </c>
      <c r="D2881" s="1">
        <v>0.74</v>
      </c>
      <c r="E2881" s="1" t="s">
        <v>115</v>
      </c>
      <c r="F2881" s="1" t="s">
        <v>115</v>
      </c>
      <c r="G2881" s="1" t="s">
        <v>115</v>
      </c>
      <c r="H2881" s="1" t="str">
        <f>VLOOKUP(F2881,Countries!$A$1:$B$161,2,0)</f>
        <v>Switzerland</v>
      </c>
    </row>
    <row r="2882" spans="1:8" x14ac:dyDescent="0.3">
      <c r="A2882" s="3">
        <v>46253.253842592603</v>
      </c>
      <c r="B2882" s="1">
        <v>14.77</v>
      </c>
      <c r="C2882" s="1">
        <v>12.75</v>
      </c>
      <c r="D2882" s="1">
        <v>0.92</v>
      </c>
      <c r="E2882" s="1" t="s">
        <v>113</v>
      </c>
      <c r="F2882" s="1" t="s">
        <v>113</v>
      </c>
      <c r="G2882" s="1" t="s">
        <v>113</v>
      </c>
      <c r="H2882" s="1" t="str">
        <f>VLOOKUP(F2882,Countries!$A$1:$B$161,2,0)</f>
        <v>United States of America</v>
      </c>
    </row>
    <row r="2883" spans="1:8" x14ac:dyDescent="0.3">
      <c r="A2883" s="3">
        <v>46253.252372685187</v>
      </c>
      <c r="B2883" s="1">
        <v>6.37</v>
      </c>
      <c r="C2883" s="1">
        <v>5.5</v>
      </c>
      <c r="D2883" s="1">
        <v>0.54</v>
      </c>
      <c r="E2883" s="1" t="s">
        <v>113</v>
      </c>
      <c r="F2883" s="1" t="s">
        <v>113</v>
      </c>
      <c r="G2883" s="1" t="s">
        <v>113</v>
      </c>
      <c r="H2883" s="1" t="str">
        <f>VLOOKUP(F2883,Countries!$A$1:$B$161,2,0)</f>
        <v>United States of America</v>
      </c>
    </row>
    <row r="2884" spans="1:8" x14ac:dyDescent="0.3">
      <c r="A2884" s="3">
        <v>46253.250092592592</v>
      </c>
      <c r="B2884" s="1">
        <v>10.85</v>
      </c>
      <c r="C2884" s="1">
        <v>9.3699999999999992</v>
      </c>
      <c r="D2884" s="1">
        <v>0.74</v>
      </c>
      <c r="E2884" s="1" t="s">
        <v>115</v>
      </c>
      <c r="F2884" s="1" t="s">
        <v>115</v>
      </c>
      <c r="G2884" s="1" t="s">
        <v>115</v>
      </c>
      <c r="H2884" s="1" t="str">
        <f>VLOOKUP(F2884,Countries!$A$1:$B$161,2,0)</f>
        <v>Switzerland</v>
      </c>
    </row>
    <row r="2885" spans="1:8" x14ac:dyDescent="0.3">
      <c r="A2885" s="3">
        <v>46253.248923611107</v>
      </c>
      <c r="B2885" s="1">
        <v>7.48</v>
      </c>
      <c r="C2885" s="1">
        <v>6.46</v>
      </c>
      <c r="D2885" s="1">
        <v>0.54</v>
      </c>
      <c r="E2885" s="1" t="s">
        <v>119</v>
      </c>
      <c r="F2885" s="1" t="s">
        <v>119</v>
      </c>
      <c r="G2885" s="1" t="s">
        <v>119</v>
      </c>
      <c r="H2885" s="1" t="str">
        <f>VLOOKUP(F2885,Countries!$A$1:$B$161,2,0)</f>
        <v>Great Britain (United Kingdom)</v>
      </c>
    </row>
    <row r="2886" spans="1:8" x14ac:dyDescent="0.3">
      <c r="A2886" s="3">
        <v>46253.245833333327</v>
      </c>
      <c r="B2886" s="1">
        <v>14.77</v>
      </c>
      <c r="C2886" s="1">
        <v>12.75</v>
      </c>
      <c r="D2886" s="1">
        <v>0.92</v>
      </c>
      <c r="E2886" s="1" t="s">
        <v>113</v>
      </c>
      <c r="F2886" s="1" t="s">
        <v>113</v>
      </c>
      <c r="G2886" s="1" t="s">
        <v>113</v>
      </c>
      <c r="H2886" s="1" t="str">
        <f>VLOOKUP(F2886,Countries!$A$1:$B$161,2,0)</f>
        <v>United States of America</v>
      </c>
    </row>
    <row r="2887" spans="1:8" x14ac:dyDescent="0.3">
      <c r="A2887" s="3">
        <v>46253.243946759263</v>
      </c>
      <c r="B2887" s="1">
        <v>25</v>
      </c>
      <c r="C2887" s="1">
        <v>21.58</v>
      </c>
      <c r="D2887" s="1">
        <v>1.38</v>
      </c>
      <c r="E2887" s="1" t="s">
        <v>122</v>
      </c>
      <c r="F2887" s="1" t="s">
        <v>122</v>
      </c>
      <c r="G2887" s="1" t="s">
        <v>122</v>
      </c>
      <c r="H2887" s="1" t="str">
        <f>VLOOKUP(F2887,Countries!$A$1:$B$161,2,0)</f>
        <v>Myanmar</v>
      </c>
    </row>
    <row r="2888" spans="1:8" x14ac:dyDescent="0.3">
      <c r="A2888" s="3">
        <v>46253.242129629631</v>
      </c>
      <c r="B2888" s="1">
        <v>6.3</v>
      </c>
      <c r="C2888" s="1">
        <v>5.44</v>
      </c>
      <c r="D2888" s="1">
        <v>0.54</v>
      </c>
      <c r="E2888" s="1" t="s">
        <v>143</v>
      </c>
      <c r="F2888" s="1" t="s">
        <v>143</v>
      </c>
      <c r="G2888" s="1" t="s">
        <v>143</v>
      </c>
      <c r="H2888" s="1" t="str">
        <f>VLOOKUP(F2888,Countries!$A$1:$B$161,2,0)</f>
        <v>United Arab Emirates</v>
      </c>
    </row>
    <row r="2889" spans="1:8" x14ac:dyDescent="0.3">
      <c r="A2889" s="3">
        <v>46253.239907407413</v>
      </c>
      <c r="B2889" s="1">
        <v>15</v>
      </c>
      <c r="C2889" s="1">
        <v>12.95</v>
      </c>
      <c r="D2889" s="1">
        <v>0.93</v>
      </c>
      <c r="E2889" s="1" t="s">
        <v>122</v>
      </c>
      <c r="F2889" s="1" t="s">
        <v>122</v>
      </c>
      <c r="G2889" s="1" t="s">
        <v>122</v>
      </c>
      <c r="H2889" s="1" t="str">
        <f>VLOOKUP(F2889,Countries!$A$1:$B$161,2,0)</f>
        <v>Myanmar</v>
      </c>
    </row>
    <row r="2890" spans="1:8" x14ac:dyDescent="0.3">
      <c r="A2890" s="3">
        <v>46253.237164351849</v>
      </c>
      <c r="B2890" s="1">
        <v>7.48</v>
      </c>
      <c r="C2890" s="1">
        <v>6.46</v>
      </c>
      <c r="D2890" s="1">
        <v>0.48</v>
      </c>
      <c r="E2890" s="1" t="s">
        <v>123</v>
      </c>
      <c r="F2890" s="1" t="s">
        <v>123</v>
      </c>
      <c r="G2890" s="1" t="s">
        <v>123</v>
      </c>
      <c r="H2890" s="1" t="str">
        <f>VLOOKUP(F2890,Countries!$A$1:$B$161,2,0)</f>
        <v>France</v>
      </c>
    </row>
    <row r="2891" spans="1:8" x14ac:dyDescent="0.3">
      <c r="A2891" s="3">
        <v>46253.236342592587</v>
      </c>
      <c r="B2891" s="1">
        <v>20</v>
      </c>
      <c r="C2891" s="1">
        <v>17.260000000000002</v>
      </c>
      <c r="D2891" s="1">
        <v>1.1599999999999999</v>
      </c>
      <c r="E2891" s="1" t="s">
        <v>122</v>
      </c>
      <c r="F2891" s="1" t="s">
        <v>122</v>
      </c>
      <c r="G2891" s="1" t="s">
        <v>122</v>
      </c>
      <c r="H2891" s="1" t="str">
        <f>VLOOKUP(F2891,Countries!$A$1:$B$161,2,0)</f>
        <v>Myanmar</v>
      </c>
    </row>
    <row r="2892" spans="1:8" x14ac:dyDescent="0.3">
      <c r="A2892" s="3">
        <v>46253.234652777777</v>
      </c>
      <c r="B2892" s="1">
        <v>15.98</v>
      </c>
      <c r="C2892" s="1">
        <v>13.79</v>
      </c>
      <c r="D2892" s="1">
        <v>0.98</v>
      </c>
      <c r="E2892" s="1" t="s">
        <v>122</v>
      </c>
      <c r="F2892" s="1" t="s">
        <v>122</v>
      </c>
      <c r="G2892" s="1" t="s">
        <v>122</v>
      </c>
      <c r="H2892" s="1" t="str">
        <f>VLOOKUP(F2892,Countries!$A$1:$B$161,2,0)</f>
        <v>Myanmar</v>
      </c>
    </row>
    <row r="2893" spans="1:8" x14ac:dyDescent="0.3">
      <c r="A2893" s="3">
        <v>46253.231620370367</v>
      </c>
      <c r="B2893" s="1">
        <v>59.03</v>
      </c>
      <c r="C2893" s="1">
        <v>50.95</v>
      </c>
      <c r="D2893" s="1">
        <v>2.93</v>
      </c>
      <c r="E2893" s="1" t="s">
        <v>113</v>
      </c>
      <c r="F2893" s="1" t="s">
        <v>113</v>
      </c>
      <c r="G2893" s="1" t="s">
        <v>113</v>
      </c>
      <c r="H2893" s="1" t="str">
        <f>VLOOKUP(F2893,Countries!$A$1:$B$161,2,0)</f>
        <v>United States of America</v>
      </c>
    </row>
    <row r="2894" spans="1:8" x14ac:dyDescent="0.3">
      <c r="A2894" s="3">
        <v>46253.231585648151</v>
      </c>
      <c r="B2894" s="1">
        <v>3.99</v>
      </c>
      <c r="C2894" s="1">
        <v>3.44</v>
      </c>
      <c r="D2894" s="1">
        <v>0.43</v>
      </c>
      <c r="E2894" s="1" t="s">
        <v>113</v>
      </c>
      <c r="F2894" s="1" t="s">
        <v>113</v>
      </c>
      <c r="G2894" s="1" t="s">
        <v>113</v>
      </c>
      <c r="H2894" s="1" t="str">
        <f>VLOOKUP(F2894,Countries!$A$1:$B$161,2,0)</f>
        <v>United States of America</v>
      </c>
    </row>
    <row r="2895" spans="1:8" x14ac:dyDescent="0.3">
      <c r="A2895" s="3">
        <v>46253.227500000001</v>
      </c>
      <c r="B2895" s="1">
        <v>6.37</v>
      </c>
      <c r="C2895" s="1">
        <v>5.5</v>
      </c>
      <c r="D2895" s="1">
        <v>0.54</v>
      </c>
      <c r="E2895" s="1" t="s">
        <v>113</v>
      </c>
      <c r="F2895" s="1" t="s">
        <v>113</v>
      </c>
      <c r="G2895" s="1" t="s">
        <v>113</v>
      </c>
      <c r="H2895" s="1" t="str">
        <f>VLOOKUP(F2895,Countries!$A$1:$B$161,2,0)</f>
        <v>United States of America</v>
      </c>
    </row>
    <row r="2896" spans="1:8" x14ac:dyDescent="0.3">
      <c r="A2896" s="3">
        <v>46253.226875</v>
      </c>
      <c r="B2896" s="1">
        <v>5.99</v>
      </c>
      <c r="C2896" s="1">
        <v>5.17</v>
      </c>
      <c r="D2896" s="1">
        <v>0.52</v>
      </c>
      <c r="E2896" s="1" t="s">
        <v>113</v>
      </c>
      <c r="F2896" s="1" t="s">
        <v>113</v>
      </c>
      <c r="G2896" s="1" t="s">
        <v>113</v>
      </c>
      <c r="H2896" s="1" t="str">
        <f>VLOOKUP(F2896,Countries!$A$1:$B$161,2,0)</f>
        <v>United States of America</v>
      </c>
    </row>
    <row r="2897" spans="1:8" x14ac:dyDescent="0.3">
      <c r="A2897" s="3">
        <v>46253.222881944443</v>
      </c>
      <c r="B2897" s="1">
        <v>2.11</v>
      </c>
      <c r="C2897" s="1">
        <v>1.82</v>
      </c>
      <c r="D2897" s="1">
        <v>0.35</v>
      </c>
      <c r="E2897" s="1" t="s">
        <v>113</v>
      </c>
      <c r="F2897" s="1" t="s">
        <v>113</v>
      </c>
      <c r="G2897" s="1" t="s">
        <v>113</v>
      </c>
      <c r="H2897" s="1" t="str">
        <f>VLOOKUP(F2897,Countries!$A$1:$B$161,2,0)</f>
        <v>United States of America</v>
      </c>
    </row>
    <row r="2898" spans="1:8" x14ac:dyDescent="0.3">
      <c r="A2898" s="3">
        <v>46253.202789351853</v>
      </c>
      <c r="B2898" s="1">
        <v>10.85</v>
      </c>
      <c r="C2898" s="1">
        <v>9.3699999999999992</v>
      </c>
      <c r="D2898" s="1">
        <v>0.74</v>
      </c>
      <c r="E2898" s="1" t="s">
        <v>115</v>
      </c>
      <c r="F2898" s="1" t="s">
        <v>115</v>
      </c>
      <c r="G2898" s="1" t="s">
        <v>115</v>
      </c>
      <c r="H2898" s="1" t="str">
        <f>VLOOKUP(F2898,Countries!$A$1:$B$161,2,0)</f>
        <v>Switzerland</v>
      </c>
    </row>
    <row r="2899" spans="1:8" x14ac:dyDescent="0.3">
      <c r="A2899" s="3">
        <v>46253.199444444443</v>
      </c>
      <c r="B2899" s="1">
        <v>10.85</v>
      </c>
      <c r="C2899" s="1">
        <v>9.3699999999999992</v>
      </c>
      <c r="D2899" s="1">
        <v>0.74</v>
      </c>
      <c r="E2899" s="1" t="s">
        <v>115</v>
      </c>
      <c r="F2899" s="1" t="s">
        <v>115</v>
      </c>
      <c r="G2899" s="1" t="s">
        <v>115</v>
      </c>
      <c r="H2899" s="1" t="str">
        <f>VLOOKUP(F2899,Countries!$A$1:$B$161,2,0)</f>
        <v>Switzerland</v>
      </c>
    </row>
    <row r="2900" spans="1:8" x14ac:dyDescent="0.3">
      <c r="A2900" s="3">
        <v>46253.195648148147</v>
      </c>
      <c r="B2900" s="1">
        <v>10.85</v>
      </c>
      <c r="C2900" s="1">
        <v>9.3699999999999992</v>
      </c>
      <c r="D2900" s="1">
        <v>0.74</v>
      </c>
      <c r="E2900" s="1" t="s">
        <v>115</v>
      </c>
      <c r="F2900" s="1" t="s">
        <v>115</v>
      </c>
      <c r="G2900" s="1" t="s">
        <v>115</v>
      </c>
      <c r="H2900" s="1" t="str">
        <f>VLOOKUP(F2900,Countries!$A$1:$B$161,2,0)</f>
        <v>Switzerland</v>
      </c>
    </row>
    <row r="2901" spans="1:8" x14ac:dyDescent="0.3">
      <c r="A2901" s="3">
        <v>46253.188020833331</v>
      </c>
      <c r="B2901" s="1">
        <v>6.37</v>
      </c>
      <c r="C2901" s="1">
        <v>5.5</v>
      </c>
      <c r="D2901" s="1">
        <v>0.54</v>
      </c>
      <c r="E2901" s="1" t="s">
        <v>113</v>
      </c>
      <c r="F2901" s="1" t="s">
        <v>113</v>
      </c>
      <c r="G2901" s="1" t="s">
        <v>113</v>
      </c>
      <c r="H2901" s="1" t="str">
        <f>VLOOKUP(F2901,Countries!$A$1:$B$161,2,0)</f>
        <v>United States of America</v>
      </c>
    </row>
    <row r="2902" spans="1:8" x14ac:dyDescent="0.3">
      <c r="A2902" s="3">
        <v>46253.188020833331</v>
      </c>
      <c r="B2902" s="1">
        <v>27.17</v>
      </c>
      <c r="C2902" s="1">
        <v>23.46</v>
      </c>
      <c r="D2902" s="1">
        <v>1.48</v>
      </c>
      <c r="E2902" s="1" t="s">
        <v>115</v>
      </c>
      <c r="F2902" s="1" t="s">
        <v>115</v>
      </c>
      <c r="G2902" s="1" t="s">
        <v>115</v>
      </c>
      <c r="H2902" s="1" t="str">
        <f>VLOOKUP(F2902,Countries!$A$1:$B$161,2,0)</f>
        <v>Switzerland</v>
      </c>
    </row>
    <row r="2903" spans="1:8" x14ac:dyDescent="0.3">
      <c r="A2903" s="3">
        <v>46253.187280092592</v>
      </c>
      <c r="B2903" s="1">
        <v>10.85</v>
      </c>
      <c r="C2903" s="1">
        <v>9.3699999999999992</v>
      </c>
      <c r="D2903" s="1">
        <v>0.74</v>
      </c>
      <c r="E2903" s="1" t="s">
        <v>115</v>
      </c>
      <c r="F2903" s="1" t="s">
        <v>115</v>
      </c>
      <c r="G2903" s="1" t="s">
        <v>115</v>
      </c>
      <c r="H2903" s="1" t="str">
        <f>VLOOKUP(F2903,Countries!$A$1:$B$161,2,0)</f>
        <v>Switzerland</v>
      </c>
    </row>
    <row r="2904" spans="1:8" x14ac:dyDescent="0.3">
      <c r="A2904" s="3">
        <v>46253.186180555553</v>
      </c>
      <c r="B2904" s="1">
        <v>7.48</v>
      </c>
      <c r="C2904" s="1">
        <v>6.46</v>
      </c>
      <c r="D2904" s="1">
        <v>0.48</v>
      </c>
      <c r="E2904" s="1" t="s">
        <v>123</v>
      </c>
      <c r="F2904" s="1" t="s">
        <v>123</v>
      </c>
      <c r="G2904" s="1" t="s">
        <v>123</v>
      </c>
      <c r="H2904" s="1" t="str">
        <f>VLOOKUP(F2904,Countries!$A$1:$B$161,2,0)</f>
        <v>France</v>
      </c>
    </row>
    <row r="2905" spans="1:8" x14ac:dyDescent="0.3">
      <c r="A2905" s="3">
        <v>46253.181041666663</v>
      </c>
      <c r="B2905" s="1">
        <v>1.99</v>
      </c>
      <c r="C2905" s="1">
        <v>1.72</v>
      </c>
      <c r="D2905" s="1">
        <v>0.34</v>
      </c>
      <c r="E2905" s="1" t="s">
        <v>191</v>
      </c>
      <c r="F2905" s="1" t="s">
        <v>191</v>
      </c>
      <c r="G2905" s="1" t="s">
        <v>191</v>
      </c>
      <c r="H2905" s="1" t="str">
        <f>VLOOKUP(F2905,Countries!$A$1:$B$161,2,0)</f>
        <v>Uganda</v>
      </c>
    </row>
    <row r="2906" spans="1:8" x14ac:dyDescent="0.3">
      <c r="A2906" s="3">
        <v>46253.175833333327</v>
      </c>
      <c r="B2906" s="1">
        <v>6.37</v>
      </c>
      <c r="C2906" s="1">
        <v>5.5</v>
      </c>
      <c r="D2906" s="1">
        <v>0.54</v>
      </c>
      <c r="E2906" s="1" t="s">
        <v>113</v>
      </c>
      <c r="F2906" s="1" t="s">
        <v>113</v>
      </c>
      <c r="G2906" s="1" t="s">
        <v>113</v>
      </c>
      <c r="H2906" s="1" t="str">
        <f>VLOOKUP(F2906,Countries!$A$1:$B$161,2,0)</f>
        <v>United States of America</v>
      </c>
    </row>
    <row r="2907" spans="1:8" x14ac:dyDescent="0.3">
      <c r="A2907" s="3">
        <v>46253.173738425918</v>
      </c>
      <c r="B2907" s="1">
        <v>7.58</v>
      </c>
      <c r="C2907" s="1">
        <v>6.54</v>
      </c>
      <c r="D2907" s="1">
        <v>0.48</v>
      </c>
      <c r="E2907" s="1" t="s">
        <v>116</v>
      </c>
      <c r="F2907" s="1" t="s">
        <v>116</v>
      </c>
      <c r="G2907" s="1" t="s">
        <v>116</v>
      </c>
      <c r="H2907" s="1" t="str">
        <f>VLOOKUP(F2907,Countries!$A$1:$B$161,2,0)</f>
        <v>Spain</v>
      </c>
    </row>
    <row r="2908" spans="1:8" x14ac:dyDescent="0.3">
      <c r="A2908" s="3">
        <v>46253.172407407408</v>
      </c>
      <c r="B2908" s="1">
        <v>10.85</v>
      </c>
      <c r="C2908" s="1">
        <v>9.3699999999999992</v>
      </c>
      <c r="D2908" s="1">
        <v>0.74</v>
      </c>
      <c r="E2908" s="1" t="s">
        <v>115</v>
      </c>
      <c r="F2908" s="1" t="s">
        <v>115</v>
      </c>
      <c r="G2908" s="1" t="s">
        <v>115</v>
      </c>
      <c r="H2908" s="1" t="str">
        <f>VLOOKUP(F2908,Countries!$A$1:$B$161,2,0)</f>
        <v>Switzerland</v>
      </c>
    </row>
    <row r="2909" spans="1:8" x14ac:dyDescent="0.3">
      <c r="A2909" s="3">
        <v>46253.163541666669</v>
      </c>
      <c r="B2909" s="1">
        <v>3.51</v>
      </c>
      <c r="C2909" s="1">
        <v>3.03</v>
      </c>
      <c r="D2909" s="1">
        <v>0.41</v>
      </c>
      <c r="E2909" s="1" t="s">
        <v>163</v>
      </c>
      <c r="F2909" s="1" t="s">
        <v>163</v>
      </c>
      <c r="G2909" s="1" t="s">
        <v>163</v>
      </c>
      <c r="H2909" s="1" t="str">
        <f>VLOOKUP(F2909,Countries!$A$1:$B$161,2,0)</f>
        <v>Saudi Arabia</v>
      </c>
    </row>
    <row r="2910" spans="1:8" x14ac:dyDescent="0.3">
      <c r="A2910" s="3">
        <v>46253.162523148138</v>
      </c>
      <c r="B2910" s="1">
        <v>6.37</v>
      </c>
      <c r="C2910" s="1">
        <v>5.5</v>
      </c>
      <c r="D2910" s="1">
        <v>0.54</v>
      </c>
      <c r="E2910" s="1" t="s">
        <v>113</v>
      </c>
      <c r="F2910" s="1" t="s">
        <v>113</v>
      </c>
      <c r="G2910" s="1" t="s">
        <v>113</v>
      </c>
      <c r="H2910" s="1" t="str">
        <f>VLOOKUP(F2910,Countries!$A$1:$B$161,2,0)</f>
        <v>United States of America</v>
      </c>
    </row>
    <row r="2911" spans="1:8" x14ac:dyDescent="0.3">
      <c r="A2911" s="3">
        <v>46253.148923611108</v>
      </c>
      <c r="B2911" s="1">
        <v>6.37</v>
      </c>
      <c r="C2911" s="1">
        <v>5.5</v>
      </c>
      <c r="D2911" s="1">
        <v>0.54</v>
      </c>
      <c r="E2911" s="1" t="s">
        <v>113</v>
      </c>
      <c r="F2911" s="1" t="s">
        <v>113</v>
      </c>
      <c r="G2911" s="1" t="s">
        <v>113</v>
      </c>
      <c r="H2911" s="1" t="str">
        <f>VLOOKUP(F2911,Countries!$A$1:$B$161,2,0)</f>
        <v>United States of America</v>
      </c>
    </row>
    <row r="2912" spans="1:8" x14ac:dyDescent="0.3">
      <c r="A2912" s="3">
        <v>46253.14880787037</v>
      </c>
      <c r="B2912" s="1">
        <v>7.48</v>
      </c>
      <c r="C2912" s="1">
        <v>6.46</v>
      </c>
      <c r="D2912" s="1">
        <v>0.59</v>
      </c>
      <c r="E2912" s="1" t="s">
        <v>119</v>
      </c>
      <c r="F2912" s="1" t="s">
        <v>127</v>
      </c>
      <c r="G2912" s="1" t="s">
        <v>127</v>
      </c>
      <c r="H2912" s="1" t="str">
        <f>VLOOKUP(F2912,Countries!$A$1:$B$161,2,0)</f>
        <v>Puerto Rico</v>
      </c>
    </row>
    <row r="2913" spans="1:8" x14ac:dyDescent="0.3">
      <c r="A2913" s="3">
        <v>46253.121134259258</v>
      </c>
      <c r="B2913" s="1">
        <v>6.65</v>
      </c>
      <c r="C2913" s="1">
        <v>5.74</v>
      </c>
      <c r="D2913" s="1">
        <v>0.55000000000000004</v>
      </c>
      <c r="E2913" s="1" t="s">
        <v>130</v>
      </c>
      <c r="F2913" s="1" t="s">
        <v>130</v>
      </c>
      <c r="G2913" s="1" t="s">
        <v>130</v>
      </c>
      <c r="H2913" s="1" t="str">
        <f>VLOOKUP(F2913,Countries!$A$1:$B$161,2,0)</f>
        <v>Australia</v>
      </c>
    </row>
    <row r="2914" spans="1:8" x14ac:dyDescent="0.3">
      <c r="A2914" s="3">
        <v>46253.107245370367</v>
      </c>
      <c r="B2914" s="1">
        <v>6.37</v>
      </c>
      <c r="C2914" s="1">
        <v>5.5</v>
      </c>
      <c r="D2914" s="1">
        <v>0.54</v>
      </c>
      <c r="E2914" s="1" t="s">
        <v>113</v>
      </c>
      <c r="F2914" s="1" t="s">
        <v>113</v>
      </c>
      <c r="G2914" s="1" t="s">
        <v>113</v>
      </c>
      <c r="H2914" s="1" t="str">
        <f>VLOOKUP(F2914,Countries!$A$1:$B$161,2,0)</f>
        <v>United States of America</v>
      </c>
    </row>
    <row r="2915" spans="1:8" x14ac:dyDescent="0.3">
      <c r="A2915" s="3">
        <v>46253.097129629627</v>
      </c>
      <c r="B2915" s="1">
        <v>7.98</v>
      </c>
      <c r="C2915" s="1">
        <v>6.89</v>
      </c>
      <c r="D2915" s="1">
        <v>0.49</v>
      </c>
      <c r="E2915" s="1" t="s">
        <v>125</v>
      </c>
      <c r="F2915" s="1" t="s">
        <v>125</v>
      </c>
      <c r="G2915" s="1" t="s">
        <v>125</v>
      </c>
      <c r="H2915" s="1" t="str">
        <f>VLOOKUP(F2915,Countries!$A$1:$B$161,2,0)</f>
        <v>Norway</v>
      </c>
    </row>
    <row r="2916" spans="1:8" x14ac:dyDescent="0.3">
      <c r="A2916" s="3">
        <v>46253.081493055557</v>
      </c>
      <c r="B2916" s="1">
        <v>6.37</v>
      </c>
      <c r="C2916" s="1">
        <v>5.5</v>
      </c>
      <c r="D2916" s="1">
        <v>0.54</v>
      </c>
      <c r="E2916" s="1" t="s">
        <v>113</v>
      </c>
      <c r="F2916" s="1" t="s">
        <v>113</v>
      </c>
      <c r="G2916" s="1" t="s">
        <v>113</v>
      </c>
      <c r="H2916" s="1" t="str">
        <f>VLOOKUP(F2916,Countries!$A$1:$B$161,2,0)</f>
        <v>United States of America</v>
      </c>
    </row>
    <row r="2917" spans="1:8" x14ac:dyDescent="0.3">
      <c r="A2917" s="3">
        <v>46253.048784722218</v>
      </c>
      <c r="B2917" s="1">
        <v>2.99</v>
      </c>
      <c r="C2917" s="1">
        <v>2.58</v>
      </c>
      <c r="D2917" s="1">
        <v>0.38</v>
      </c>
      <c r="E2917" s="1" t="s">
        <v>129</v>
      </c>
      <c r="F2917" s="1" t="s">
        <v>129</v>
      </c>
      <c r="G2917" s="1" t="s">
        <v>129</v>
      </c>
      <c r="H2917" s="1" t="str">
        <f>VLOOKUP(F2917,Countries!$A$1:$B$161,2,0)</f>
        <v>Qatar</v>
      </c>
    </row>
    <row r="2918" spans="1:8" x14ac:dyDescent="0.3">
      <c r="A2918" s="3">
        <v>46253.044525462959</v>
      </c>
      <c r="B2918" s="1">
        <v>6.65</v>
      </c>
      <c r="C2918" s="1">
        <v>5.74</v>
      </c>
      <c r="D2918" s="1">
        <v>0.55000000000000004</v>
      </c>
      <c r="E2918" s="1" t="s">
        <v>121</v>
      </c>
      <c r="F2918" s="1" t="s">
        <v>121</v>
      </c>
      <c r="G2918" s="1" t="s">
        <v>121</v>
      </c>
      <c r="H2918" s="1" t="str">
        <f>VLOOKUP(F2918,Countries!$A$1:$B$161,2,0)</f>
        <v>Japan</v>
      </c>
    </row>
    <row r="2919" spans="1:8" x14ac:dyDescent="0.3">
      <c r="A2919" s="3">
        <v>46253.042326388888</v>
      </c>
      <c r="B2919" s="1">
        <v>3.99</v>
      </c>
      <c r="C2919" s="1">
        <v>3.45</v>
      </c>
      <c r="D2919" s="1">
        <v>0.43</v>
      </c>
      <c r="E2919" s="1" t="s">
        <v>165</v>
      </c>
      <c r="F2919" s="1" t="s">
        <v>165</v>
      </c>
      <c r="G2919" s="1" t="s">
        <v>165</v>
      </c>
      <c r="H2919" s="1" t="str">
        <f>VLOOKUP(F2919,Countries!$A$1:$B$161,2,0)</f>
        <v>Israel</v>
      </c>
    </row>
    <row r="2920" spans="1:8" x14ac:dyDescent="0.3">
      <c r="A2920" s="3">
        <v>46253.04184027778</v>
      </c>
      <c r="B2920" s="1">
        <v>2.99</v>
      </c>
      <c r="C2920" s="1">
        <v>2.58</v>
      </c>
      <c r="D2920" s="1">
        <v>0.38</v>
      </c>
      <c r="E2920" s="1" t="s">
        <v>167</v>
      </c>
      <c r="F2920" s="1" t="s">
        <v>136</v>
      </c>
      <c r="G2920" s="1" t="s">
        <v>136</v>
      </c>
      <c r="H2920" s="1" t="str">
        <f>VLOOKUP(F2920,Countries!$A$1:$B$161,2,0)</f>
        <v>Turkey</v>
      </c>
    </row>
    <row r="2921" spans="1:8" x14ac:dyDescent="0.3">
      <c r="A2921" s="3">
        <v>46253.039351851847</v>
      </c>
      <c r="B2921" s="1">
        <v>6.37</v>
      </c>
      <c r="C2921" s="1">
        <v>5.5</v>
      </c>
      <c r="D2921" s="1">
        <v>0.54</v>
      </c>
      <c r="E2921" s="1" t="s">
        <v>113</v>
      </c>
      <c r="F2921" s="1" t="s">
        <v>113</v>
      </c>
      <c r="G2921" s="1" t="s">
        <v>113</v>
      </c>
      <c r="H2921" s="1" t="str">
        <f>VLOOKUP(F2921,Countries!$A$1:$B$161,2,0)</f>
        <v>United States of America</v>
      </c>
    </row>
    <row r="2922" spans="1:8" x14ac:dyDescent="0.3">
      <c r="A2922" s="3">
        <v>46253.036377314813</v>
      </c>
      <c r="B2922" s="1">
        <v>14.77</v>
      </c>
      <c r="C2922" s="1">
        <v>12.76</v>
      </c>
      <c r="D2922" s="1">
        <v>0.92</v>
      </c>
      <c r="E2922" s="1" t="s">
        <v>113</v>
      </c>
      <c r="F2922" s="1" t="s">
        <v>113</v>
      </c>
      <c r="G2922" s="1" t="s">
        <v>113</v>
      </c>
      <c r="H2922" s="1" t="str">
        <f>VLOOKUP(F2922,Countries!$A$1:$B$161,2,0)</f>
        <v>United States of America</v>
      </c>
    </row>
    <row r="2923" spans="1:8" x14ac:dyDescent="0.3">
      <c r="A2923" s="3">
        <v>46253.034108796302</v>
      </c>
      <c r="B2923" s="1">
        <v>2.11</v>
      </c>
      <c r="C2923" s="1">
        <v>1.82</v>
      </c>
      <c r="D2923" s="1">
        <v>0.35</v>
      </c>
      <c r="E2923" s="1" t="s">
        <v>113</v>
      </c>
      <c r="F2923" s="1" t="s">
        <v>113</v>
      </c>
      <c r="G2923" s="1" t="s">
        <v>113</v>
      </c>
      <c r="H2923" s="1" t="str">
        <f>VLOOKUP(F2923,Countries!$A$1:$B$161,2,0)</f>
        <v>United States of America</v>
      </c>
    </row>
    <row r="2924" spans="1:8" x14ac:dyDescent="0.3">
      <c r="A2924" s="3">
        <v>46253.029710648138</v>
      </c>
      <c r="B2924" s="1">
        <v>15.43</v>
      </c>
      <c r="C2924" s="1">
        <v>13.33</v>
      </c>
      <c r="D2924" s="1">
        <v>0.95</v>
      </c>
      <c r="E2924" s="1" t="s">
        <v>130</v>
      </c>
      <c r="F2924" s="1" t="s">
        <v>130</v>
      </c>
      <c r="G2924" s="1" t="s">
        <v>130</v>
      </c>
      <c r="H2924" s="1" t="str">
        <f>VLOOKUP(F2924,Countries!$A$1:$B$161,2,0)</f>
        <v>Australia</v>
      </c>
    </row>
    <row r="2925" spans="1:8" x14ac:dyDescent="0.3">
      <c r="A2925" s="3">
        <v>46253.028715277767</v>
      </c>
      <c r="B2925" s="1">
        <v>5.99</v>
      </c>
      <c r="C2925" s="1">
        <v>5.17</v>
      </c>
      <c r="D2925" s="1">
        <v>0.52</v>
      </c>
      <c r="E2925" s="1" t="s">
        <v>129</v>
      </c>
      <c r="F2925" s="1" t="s">
        <v>129</v>
      </c>
      <c r="G2925" s="1" t="s">
        <v>129</v>
      </c>
      <c r="H2925" s="1" t="str">
        <f>VLOOKUP(F2925,Countries!$A$1:$B$161,2,0)</f>
        <v>Qatar</v>
      </c>
    </row>
    <row r="2926" spans="1:8" x14ac:dyDescent="0.3">
      <c r="A2926" s="3">
        <v>46253.023645833331</v>
      </c>
      <c r="B2926" s="1">
        <v>7.39</v>
      </c>
      <c r="C2926" s="1">
        <v>6.38</v>
      </c>
      <c r="D2926" s="1">
        <v>0.48</v>
      </c>
      <c r="E2926" s="1" t="s">
        <v>147</v>
      </c>
      <c r="F2926" s="1" t="s">
        <v>147</v>
      </c>
      <c r="G2926" s="1" t="s">
        <v>147</v>
      </c>
      <c r="H2926" s="1" t="str">
        <f>VLOOKUP(F2926,Countries!$A$1:$B$161,2,0)</f>
        <v>Germany</v>
      </c>
    </row>
    <row r="2927" spans="1:8" x14ac:dyDescent="0.3">
      <c r="A2927" s="3">
        <v>46253.016828703701</v>
      </c>
      <c r="B2927" s="1">
        <v>15.43</v>
      </c>
      <c r="C2927" s="1">
        <v>13.33</v>
      </c>
      <c r="D2927" s="1">
        <v>0.95</v>
      </c>
      <c r="E2927" s="1" t="s">
        <v>130</v>
      </c>
      <c r="F2927" s="1" t="s">
        <v>130</v>
      </c>
      <c r="G2927" s="1" t="s">
        <v>130</v>
      </c>
      <c r="H2927" s="1" t="str">
        <f>VLOOKUP(F2927,Countries!$A$1:$B$161,2,0)</f>
        <v>Australia</v>
      </c>
    </row>
    <row r="2928" spans="1:8" x14ac:dyDescent="0.3">
      <c r="A2928" s="3">
        <v>46253.015034722222</v>
      </c>
      <c r="B2928" s="1">
        <v>6.37</v>
      </c>
      <c r="C2928" s="1">
        <v>5.5</v>
      </c>
      <c r="D2928" s="1">
        <v>0.54</v>
      </c>
      <c r="E2928" s="1" t="s">
        <v>113</v>
      </c>
      <c r="F2928" s="1" t="s">
        <v>113</v>
      </c>
      <c r="G2928" s="1" t="s">
        <v>113</v>
      </c>
      <c r="H2928" s="1" t="str">
        <f>VLOOKUP(F2928,Countries!$A$1:$B$161,2,0)</f>
        <v>United States of America</v>
      </c>
    </row>
    <row r="2929" spans="1:8" x14ac:dyDescent="0.3">
      <c r="A2929" s="3">
        <v>46253.013344907413</v>
      </c>
      <c r="B2929" s="1">
        <v>3.51</v>
      </c>
      <c r="C2929" s="1">
        <v>3.03</v>
      </c>
      <c r="D2929" s="1">
        <v>0.41</v>
      </c>
      <c r="E2929" s="1" t="s">
        <v>160</v>
      </c>
      <c r="F2929" s="1" t="s">
        <v>160</v>
      </c>
      <c r="G2929" s="1" t="s">
        <v>160</v>
      </c>
      <c r="H2929" s="1" t="str">
        <f>VLOOKUP(F2929,Countries!$A$1:$B$161,2,0)</f>
        <v>New Zealand</v>
      </c>
    </row>
    <row r="2930" spans="1:8" x14ac:dyDescent="0.3">
      <c r="A2930" s="3">
        <v>46253.010347222233</v>
      </c>
      <c r="B2930" s="1">
        <v>15.43</v>
      </c>
      <c r="C2930" s="1">
        <v>13.33</v>
      </c>
      <c r="D2930" s="1">
        <v>0.95</v>
      </c>
      <c r="E2930" s="1" t="s">
        <v>130</v>
      </c>
      <c r="F2930" s="1" t="s">
        <v>130</v>
      </c>
      <c r="G2930" s="1" t="s">
        <v>130</v>
      </c>
      <c r="H2930" s="1" t="str">
        <f>VLOOKUP(F2930,Countries!$A$1:$B$161,2,0)</f>
        <v>Australia</v>
      </c>
    </row>
    <row r="2931" spans="1:8" x14ac:dyDescent="0.3">
      <c r="A2931" s="3">
        <v>46253.008356481478</v>
      </c>
      <c r="B2931" s="1">
        <v>7.48</v>
      </c>
      <c r="C2931" s="1">
        <v>6.46</v>
      </c>
      <c r="D2931" s="1">
        <v>0.54</v>
      </c>
      <c r="E2931" s="1" t="s">
        <v>119</v>
      </c>
      <c r="F2931" s="1" t="s">
        <v>119</v>
      </c>
      <c r="G2931" s="1" t="s">
        <v>119</v>
      </c>
      <c r="H2931" s="1" t="str">
        <f>VLOOKUP(F2931,Countries!$A$1:$B$161,2,0)</f>
        <v>Great Britain (United Kingdom)</v>
      </c>
    </row>
    <row r="2932" spans="1:8" x14ac:dyDescent="0.3">
      <c r="A2932" s="3">
        <v>46253.005787037036</v>
      </c>
      <c r="B2932" s="1">
        <v>6.37</v>
      </c>
      <c r="C2932" s="1">
        <v>5.5</v>
      </c>
      <c r="D2932" s="1">
        <v>0.54</v>
      </c>
      <c r="E2932" s="1" t="s">
        <v>113</v>
      </c>
      <c r="F2932" s="1" t="s">
        <v>113</v>
      </c>
      <c r="G2932" s="1" t="s">
        <v>113</v>
      </c>
      <c r="H2932" s="1" t="str">
        <f>VLOOKUP(F2932,Countries!$A$1:$B$161,2,0)</f>
        <v>United States of America</v>
      </c>
    </row>
    <row r="2933" spans="1:8" x14ac:dyDescent="0.3">
      <c r="A2933" s="3">
        <v>46253.003437500003</v>
      </c>
      <c r="B2933" s="1">
        <v>6.37</v>
      </c>
      <c r="C2933" s="1">
        <v>5.5</v>
      </c>
      <c r="D2933" s="1">
        <v>0.54</v>
      </c>
      <c r="E2933" s="1" t="s">
        <v>113</v>
      </c>
      <c r="F2933" s="1" t="s">
        <v>113</v>
      </c>
      <c r="G2933" s="1" t="s">
        <v>113</v>
      </c>
      <c r="H2933" s="1" t="str">
        <f>VLOOKUP(F2933,Countries!$A$1:$B$161,2,0)</f>
        <v>United States of America</v>
      </c>
    </row>
    <row r="2934" spans="1:8" x14ac:dyDescent="0.3">
      <c r="A2934" s="3">
        <v>46253.001793981479</v>
      </c>
      <c r="B2934" s="1">
        <v>21.05</v>
      </c>
      <c r="C2934" s="1">
        <v>18.18</v>
      </c>
      <c r="D2934" s="1">
        <v>1.2</v>
      </c>
      <c r="E2934" s="1" t="s">
        <v>132</v>
      </c>
      <c r="F2934" s="1" t="s">
        <v>132</v>
      </c>
      <c r="G2934" s="1" t="s">
        <v>132</v>
      </c>
      <c r="H2934" s="1" t="str">
        <f>VLOOKUP(F2934,Countries!$A$1:$B$161,2,0)</f>
        <v>Canada</v>
      </c>
    </row>
    <row r="2935" spans="1:8" x14ac:dyDescent="0.3">
      <c r="A2935" s="3">
        <v>46253.001400462963</v>
      </c>
      <c r="B2935" s="1">
        <v>15.78</v>
      </c>
      <c r="C2935" s="1">
        <v>13.63</v>
      </c>
      <c r="D2935" s="1">
        <v>0.96</v>
      </c>
      <c r="E2935" s="1" t="s">
        <v>132</v>
      </c>
      <c r="F2935" s="1" t="s">
        <v>132</v>
      </c>
      <c r="G2935" s="1" t="s">
        <v>132</v>
      </c>
      <c r="H2935" s="1" t="str">
        <f>VLOOKUP(F2935,Countries!$A$1:$B$161,2,0)</f>
        <v>Canada</v>
      </c>
    </row>
    <row r="2936" spans="1:8" x14ac:dyDescent="0.3">
      <c r="A2936" s="3">
        <v>46253.000335648147</v>
      </c>
      <c r="B2936" s="1">
        <v>9.99</v>
      </c>
      <c r="C2936" s="1">
        <v>8.6300000000000008</v>
      </c>
      <c r="D2936" s="1">
        <v>0.7</v>
      </c>
      <c r="E2936" s="1" t="s">
        <v>130</v>
      </c>
      <c r="F2936" s="1" t="s">
        <v>130</v>
      </c>
      <c r="G2936" s="1" t="s">
        <v>130</v>
      </c>
      <c r="H2936" s="1" t="str">
        <f>VLOOKUP(F2936,Countries!$A$1:$B$161,2,0)</f>
        <v>Australia</v>
      </c>
    </row>
    <row r="2937" spans="1:8" x14ac:dyDescent="0.3">
      <c r="A2937" s="3">
        <v>46252.99796296296</v>
      </c>
      <c r="B2937" s="1">
        <v>16.829999999999998</v>
      </c>
      <c r="C2937" s="1">
        <v>14.54</v>
      </c>
      <c r="D2937" s="1">
        <v>1.01</v>
      </c>
      <c r="E2937" s="1" t="s">
        <v>132</v>
      </c>
      <c r="F2937" s="1" t="s">
        <v>132</v>
      </c>
      <c r="G2937" s="1" t="s">
        <v>132</v>
      </c>
      <c r="H2937" s="1" t="str">
        <f>VLOOKUP(F2937,Countries!$A$1:$B$161,2,0)</f>
        <v>Canada</v>
      </c>
    </row>
    <row r="2938" spans="1:8" x14ac:dyDescent="0.3">
      <c r="A2938" s="3">
        <v>46252.993171296293</v>
      </c>
      <c r="B2938" s="1">
        <v>3.25</v>
      </c>
      <c r="C2938" s="1">
        <v>2.81</v>
      </c>
      <c r="D2938" s="1">
        <v>0.4</v>
      </c>
      <c r="E2938" s="1" t="s">
        <v>115</v>
      </c>
      <c r="F2938" s="1" t="s">
        <v>115</v>
      </c>
      <c r="G2938" s="1" t="s">
        <v>115</v>
      </c>
      <c r="H2938" s="1" t="str">
        <f>VLOOKUP(F2938,Countries!$A$1:$B$161,2,0)</f>
        <v>Switzerland</v>
      </c>
    </row>
    <row r="2939" spans="1:8" x14ac:dyDescent="0.3">
      <c r="A2939" s="3">
        <v>46252.990682870368</v>
      </c>
      <c r="B2939" s="1">
        <v>10.85</v>
      </c>
      <c r="C2939" s="1">
        <v>9.3699999999999992</v>
      </c>
      <c r="D2939" s="1">
        <v>0.74</v>
      </c>
      <c r="E2939" s="1" t="s">
        <v>115</v>
      </c>
      <c r="F2939" s="1" t="s">
        <v>115</v>
      </c>
      <c r="G2939" s="1" t="s">
        <v>115</v>
      </c>
      <c r="H2939" s="1" t="str">
        <f>VLOOKUP(F2939,Countries!$A$1:$B$161,2,0)</f>
        <v>Switzerland</v>
      </c>
    </row>
    <row r="2940" spans="1:8" x14ac:dyDescent="0.3">
      <c r="A2940" s="3">
        <v>46252.988159722219</v>
      </c>
      <c r="B2940" s="1">
        <v>14.77</v>
      </c>
      <c r="C2940" s="1">
        <v>12.76</v>
      </c>
      <c r="D2940" s="1">
        <v>0.92</v>
      </c>
      <c r="E2940" s="1" t="s">
        <v>113</v>
      </c>
      <c r="F2940" s="1" t="s">
        <v>113</v>
      </c>
      <c r="G2940" s="1" t="s">
        <v>113</v>
      </c>
      <c r="H2940" s="1" t="str">
        <f>VLOOKUP(F2940,Countries!$A$1:$B$161,2,0)</f>
        <v>United States of America</v>
      </c>
    </row>
    <row r="2941" spans="1:8" x14ac:dyDescent="0.3">
      <c r="A2941" s="3">
        <v>46252.986134259263</v>
      </c>
      <c r="B2941" s="1">
        <v>6.37</v>
      </c>
      <c r="C2941" s="1">
        <v>5.5</v>
      </c>
      <c r="D2941" s="1">
        <v>0.54</v>
      </c>
      <c r="E2941" s="1" t="s">
        <v>113</v>
      </c>
      <c r="F2941" s="1" t="s">
        <v>113</v>
      </c>
      <c r="G2941" s="1" t="s">
        <v>113</v>
      </c>
      <c r="H2941" s="1" t="str">
        <f>VLOOKUP(F2941,Countries!$A$1:$B$161,2,0)</f>
        <v>United States of America</v>
      </c>
    </row>
    <row r="2942" spans="1:8" x14ac:dyDescent="0.3">
      <c r="A2942" s="3">
        <v>46252.985289351847</v>
      </c>
      <c r="B2942" s="1">
        <v>6.3</v>
      </c>
      <c r="C2942" s="1">
        <v>5.44</v>
      </c>
      <c r="D2942" s="1">
        <v>0.54</v>
      </c>
      <c r="E2942" s="1" t="s">
        <v>132</v>
      </c>
      <c r="F2942" s="1" t="s">
        <v>132</v>
      </c>
      <c r="G2942" s="1" t="s">
        <v>132</v>
      </c>
      <c r="H2942" s="1" t="str">
        <f>VLOOKUP(F2942,Countries!$A$1:$B$161,2,0)</f>
        <v>Canada</v>
      </c>
    </row>
    <row r="2943" spans="1:8" x14ac:dyDescent="0.3">
      <c r="A2943" s="3">
        <v>46252.978425925918</v>
      </c>
      <c r="B2943" s="1">
        <v>10.85</v>
      </c>
      <c r="C2943" s="1">
        <v>9.3699999999999992</v>
      </c>
      <c r="D2943" s="1">
        <v>0.74</v>
      </c>
      <c r="E2943" s="1" t="s">
        <v>115</v>
      </c>
      <c r="F2943" s="1" t="s">
        <v>115</v>
      </c>
      <c r="G2943" s="1" t="s">
        <v>115</v>
      </c>
      <c r="H2943" s="1" t="str">
        <f>VLOOKUP(F2943,Countries!$A$1:$B$161,2,0)</f>
        <v>Switzerland</v>
      </c>
    </row>
    <row r="2944" spans="1:8" x14ac:dyDescent="0.3">
      <c r="A2944" s="3">
        <v>46252.972303240742</v>
      </c>
      <c r="B2944" s="1">
        <v>6.37</v>
      </c>
      <c r="C2944" s="1">
        <v>5.5</v>
      </c>
      <c r="D2944" s="1">
        <v>0.54</v>
      </c>
      <c r="E2944" s="1" t="s">
        <v>113</v>
      </c>
      <c r="F2944" s="1" t="s">
        <v>113</v>
      </c>
      <c r="G2944" s="1" t="s">
        <v>113</v>
      </c>
      <c r="H2944" s="1" t="str">
        <f>VLOOKUP(F2944,Countries!$A$1:$B$161,2,0)</f>
        <v>United States of America</v>
      </c>
    </row>
    <row r="2945" spans="1:8" x14ac:dyDescent="0.3">
      <c r="A2945" s="3">
        <v>46252.971712962957</v>
      </c>
      <c r="B2945" s="1">
        <v>10.85</v>
      </c>
      <c r="C2945" s="1">
        <v>9.3699999999999992</v>
      </c>
      <c r="D2945" s="1">
        <v>0.74</v>
      </c>
      <c r="E2945" s="1" t="s">
        <v>115</v>
      </c>
      <c r="F2945" s="1" t="s">
        <v>115</v>
      </c>
      <c r="G2945" s="1" t="s">
        <v>115</v>
      </c>
      <c r="H2945" s="1" t="str">
        <f>VLOOKUP(F2945,Countries!$A$1:$B$161,2,0)</f>
        <v>Switzerland</v>
      </c>
    </row>
    <row r="2946" spans="1:8" x14ac:dyDescent="0.3">
      <c r="A2946" s="3">
        <v>46252.968298611107</v>
      </c>
      <c r="B2946" s="1">
        <v>10.85</v>
      </c>
      <c r="C2946" s="1">
        <v>9.3699999999999992</v>
      </c>
      <c r="D2946" s="1">
        <v>0.74</v>
      </c>
      <c r="E2946" s="1" t="s">
        <v>115</v>
      </c>
      <c r="F2946" s="1" t="s">
        <v>115</v>
      </c>
      <c r="G2946" s="1" t="s">
        <v>115</v>
      </c>
      <c r="H2946" s="1" t="str">
        <f>VLOOKUP(F2946,Countries!$A$1:$B$161,2,0)</f>
        <v>Switzerland</v>
      </c>
    </row>
    <row r="2947" spans="1:8" x14ac:dyDescent="0.3">
      <c r="A2947" s="3">
        <v>46252.965543981481</v>
      </c>
      <c r="B2947" s="1">
        <v>6.37</v>
      </c>
      <c r="C2947" s="1">
        <v>5.5</v>
      </c>
      <c r="D2947" s="1">
        <v>0.54</v>
      </c>
      <c r="E2947" s="1" t="s">
        <v>113</v>
      </c>
      <c r="F2947" s="1" t="s">
        <v>113</v>
      </c>
      <c r="G2947" s="1" t="s">
        <v>113</v>
      </c>
      <c r="H2947" s="1" t="str">
        <f>VLOOKUP(F2947,Countries!$A$1:$B$161,2,0)</f>
        <v>United States of America</v>
      </c>
    </row>
    <row r="2948" spans="1:8" x14ac:dyDescent="0.3">
      <c r="A2948" s="3">
        <v>46252.965405092589</v>
      </c>
      <c r="B2948" s="1">
        <v>21.73</v>
      </c>
      <c r="C2948" s="1">
        <v>18.77</v>
      </c>
      <c r="D2948" s="1">
        <v>1.24</v>
      </c>
      <c r="E2948" s="1" t="s">
        <v>115</v>
      </c>
      <c r="F2948" s="1" t="s">
        <v>115</v>
      </c>
      <c r="G2948" s="1" t="s">
        <v>115</v>
      </c>
      <c r="H2948" s="1" t="str">
        <f>VLOOKUP(F2948,Countries!$A$1:$B$161,2,0)</f>
        <v>Switzerland</v>
      </c>
    </row>
    <row r="2949" spans="1:8" x14ac:dyDescent="0.3">
      <c r="A2949" s="3">
        <v>46252.958020833343</v>
      </c>
      <c r="B2949" s="1">
        <v>1.99</v>
      </c>
      <c r="C2949" s="1">
        <v>1.72</v>
      </c>
      <c r="D2949" s="1">
        <v>0.31</v>
      </c>
      <c r="E2949" s="1" t="s">
        <v>112</v>
      </c>
      <c r="F2949" s="1" t="s">
        <v>112</v>
      </c>
      <c r="G2949" s="1" t="s">
        <v>112</v>
      </c>
      <c r="H2949" s="1" t="str">
        <f>VLOOKUP(F2949,Countries!$A$1:$B$161,2,0)</f>
        <v>Ireland</v>
      </c>
    </row>
    <row r="2950" spans="1:8" x14ac:dyDescent="0.3">
      <c r="A2950" s="3">
        <v>46252.957083333327</v>
      </c>
      <c r="B2950" s="1">
        <v>96.11</v>
      </c>
      <c r="C2950" s="1">
        <v>83.03</v>
      </c>
      <c r="D2950" s="1">
        <v>4.6100000000000003</v>
      </c>
      <c r="E2950" s="1" t="s">
        <v>113</v>
      </c>
      <c r="F2950" s="1" t="s">
        <v>113</v>
      </c>
      <c r="G2950" s="1" t="s">
        <v>113</v>
      </c>
      <c r="H2950" s="1" t="str">
        <f>VLOOKUP(F2950,Countries!$A$1:$B$161,2,0)</f>
        <v>United States of America</v>
      </c>
    </row>
    <row r="2951" spans="1:8" x14ac:dyDescent="0.3">
      <c r="A2951" s="3">
        <v>46252.956446759257</v>
      </c>
      <c r="B2951" s="1">
        <v>10.85</v>
      </c>
      <c r="C2951" s="1">
        <v>9.3699999999999992</v>
      </c>
      <c r="D2951" s="1">
        <v>0.74</v>
      </c>
      <c r="E2951" s="1" t="s">
        <v>115</v>
      </c>
      <c r="F2951" s="1" t="s">
        <v>115</v>
      </c>
      <c r="G2951" s="1" t="s">
        <v>115</v>
      </c>
      <c r="H2951" s="1" t="str">
        <f>VLOOKUP(F2951,Countries!$A$1:$B$161,2,0)</f>
        <v>Switzerland</v>
      </c>
    </row>
    <row r="2952" spans="1:8" x14ac:dyDescent="0.3">
      <c r="A2952" s="3">
        <v>46252.954236111109</v>
      </c>
      <c r="B2952" s="1">
        <v>3.69</v>
      </c>
      <c r="C2952" s="1">
        <v>3.19</v>
      </c>
      <c r="D2952" s="1">
        <v>0.36</v>
      </c>
      <c r="E2952" s="1" t="s">
        <v>159</v>
      </c>
      <c r="F2952" s="1" t="s">
        <v>159</v>
      </c>
      <c r="G2952" s="1" t="s">
        <v>159</v>
      </c>
      <c r="H2952" s="1" t="str">
        <f>VLOOKUP(F2952,Countries!$A$1:$B$161,2,0)</f>
        <v>Romania</v>
      </c>
    </row>
    <row r="2953" spans="1:8" x14ac:dyDescent="0.3">
      <c r="A2953" s="3">
        <v>46252.951956018522</v>
      </c>
      <c r="B2953" s="1">
        <v>10.85</v>
      </c>
      <c r="C2953" s="1">
        <v>9.3699999999999992</v>
      </c>
      <c r="D2953" s="1">
        <v>0.74</v>
      </c>
      <c r="E2953" s="1" t="s">
        <v>115</v>
      </c>
      <c r="F2953" s="1" t="s">
        <v>115</v>
      </c>
      <c r="G2953" s="1" t="s">
        <v>115</v>
      </c>
      <c r="H2953" s="1" t="str">
        <f>VLOOKUP(F2953,Countries!$A$1:$B$161,2,0)</f>
        <v>Switzerland</v>
      </c>
    </row>
    <row r="2954" spans="1:8" x14ac:dyDescent="0.3">
      <c r="A2954" s="3">
        <v>46252.951585648138</v>
      </c>
      <c r="B2954" s="1">
        <v>15.43</v>
      </c>
      <c r="C2954" s="1">
        <v>13.33</v>
      </c>
      <c r="D2954" s="1">
        <v>0.95</v>
      </c>
      <c r="E2954" s="1" t="s">
        <v>130</v>
      </c>
      <c r="F2954" s="1" t="s">
        <v>130</v>
      </c>
      <c r="G2954" s="1" t="s">
        <v>130</v>
      </c>
      <c r="H2954" s="1" t="str">
        <f>VLOOKUP(F2954,Countries!$A$1:$B$161,2,0)</f>
        <v>Australia</v>
      </c>
    </row>
    <row r="2955" spans="1:8" x14ac:dyDescent="0.3">
      <c r="A2955" s="3">
        <v>46252.950243055559</v>
      </c>
      <c r="B2955" s="1">
        <v>10.85</v>
      </c>
      <c r="C2955" s="1">
        <v>9.3699999999999992</v>
      </c>
      <c r="D2955" s="1">
        <v>0.74</v>
      </c>
      <c r="E2955" s="1" t="s">
        <v>115</v>
      </c>
      <c r="F2955" s="1" t="s">
        <v>115</v>
      </c>
      <c r="G2955" s="1" t="s">
        <v>115</v>
      </c>
      <c r="H2955" s="1" t="str">
        <f>VLOOKUP(F2955,Countries!$A$1:$B$161,2,0)</f>
        <v>Switzerland</v>
      </c>
    </row>
    <row r="2956" spans="1:8" x14ac:dyDescent="0.3">
      <c r="A2956" s="3">
        <v>46252.949849537043</v>
      </c>
      <c r="B2956" s="1">
        <v>13.04</v>
      </c>
      <c r="C2956" s="1">
        <v>11.27</v>
      </c>
      <c r="D2956" s="1">
        <v>0.85</v>
      </c>
      <c r="E2956" s="1" t="s">
        <v>115</v>
      </c>
      <c r="F2956" s="1" t="s">
        <v>115</v>
      </c>
      <c r="G2956" s="1" t="s">
        <v>115</v>
      </c>
      <c r="H2956" s="1" t="str">
        <f>VLOOKUP(F2956,Countries!$A$1:$B$161,2,0)</f>
        <v>Switzerland</v>
      </c>
    </row>
    <row r="2957" spans="1:8" x14ac:dyDescent="0.3">
      <c r="A2957" s="3">
        <v>46252.943715277783</v>
      </c>
      <c r="B2957" s="1">
        <v>10.85</v>
      </c>
      <c r="C2957" s="1">
        <v>9.3699999999999992</v>
      </c>
      <c r="D2957" s="1">
        <v>0.74</v>
      </c>
      <c r="E2957" s="1" t="s">
        <v>115</v>
      </c>
      <c r="F2957" s="1" t="s">
        <v>115</v>
      </c>
      <c r="G2957" s="1" t="s">
        <v>115</v>
      </c>
      <c r="H2957" s="1" t="str">
        <f>VLOOKUP(F2957,Countries!$A$1:$B$161,2,0)</f>
        <v>Switzerland</v>
      </c>
    </row>
    <row r="2958" spans="1:8" x14ac:dyDescent="0.3">
      <c r="A2958" s="3">
        <v>46252.942604166667</v>
      </c>
      <c r="B2958" s="1">
        <v>6.37</v>
      </c>
      <c r="C2958" s="1">
        <v>5.5</v>
      </c>
      <c r="D2958" s="1">
        <v>0.54</v>
      </c>
      <c r="E2958" s="1" t="s">
        <v>113</v>
      </c>
      <c r="F2958" s="1" t="s">
        <v>113</v>
      </c>
      <c r="G2958" s="1" t="s">
        <v>113</v>
      </c>
      <c r="H2958" s="1" t="str">
        <f>VLOOKUP(F2958,Countries!$A$1:$B$161,2,0)</f>
        <v>United States of America</v>
      </c>
    </row>
    <row r="2959" spans="1:8" x14ac:dyDescent="0.3">
      <c r="A2959" s="3">
        <v>46252.940555555557</v>
      </c>
      <c r="B2959" s="1">
        <v>6.37</v>
      </c>
      <c r="C2959" s="1">
        <v>5.5</v>
      </c>
      <c r="D2959" s="1">
        <v>0.54</v>
      </c>
      <c r="E2959" s="1" t="s">
        <v>113</v>
      </c>
      <c r="F2959" s="1" t="s">
        <v>113</v>
      </c>
      <c r="G2959" s="1" t="s">
        <v>113</v>
      </c>
      <c r="H2959" s="1" t="str">
        <f>VLOOKUP(F2959,Countries!$A$1:$B$161,2,0)</f>
        <v>United States of America</v>
      </c>
    </row>
    <row r="2960" spans="1:8" x14ac:dyDescent="0.3">
      <c r="A2960" s="3">
        <v>46252.938310185193</v>
      </c>
      <c r="B2960" s="1">
        <v>10.85</v>
      </c>
      <c r="C2960" s="1">
        <v>9.3699999999999992</v>
      </c>
      <c r="D2960" s="1">
        <v>0.74</v>
      </c>
      <c r="E2960" s="1" t="s">
        <v>115</v>
      </c>
      <c r="F2960" s="1" t="s">
        <v>115</v>
      </c>
      <c r="G2960" s="1" t="s">
        <v>115</v>
      </c>
      <c r="H2960" s="1" t="str">
        <f>VLOOKUP(F2960,Countries!$A$1:$B$161,2,0)</f>
        <v>Switzerland</v>
      </c>
    </row>
    <row r="2961" spans="1:8" x14ac:dyDescent="0.3">
      <c r="A2961" s="3">
        <v>46252.938148148147</v>
      </c>
      <c r="B2961" s="1">
        <v>1.99</v>
      </c>
      <c r="C2961" s="1">
        <v>1.72</v>
      </c>
      <c r="D2961" s="1">
        <v>0.31</v>
      </c>
      <c r="E2961" s="1" t="s">
        <v>117</v>
      </c>
      <c r="F2961" s="1" t="s">
        <v>117</v>
      </c>
      <c r="G2961" s="1" t="s">
        <v>117</v>
      </c>
      <c r="H2961" s="1" t="str">
        <f>VLOOKUP(F2961,Countries!$A$1:$B$161,2,0)</f>
        <v>Slovak Republic</v>
      </c>
    </row>
    <row r="2962" spans="1:8" x14ac:dyDescent="0.3">
      <c r="A2962" s="3">
        <v>46252.937175925923</v>
      </c>
      <c r="B2962" s="1">
        <v>26.31</v>
      </c>
      <c r="C2962" s="1">
        <v>22.73</v>
      </c>
      <c r="D2962" s="1">
        <v>1.44</v>
      </c>
      <c r="E2962" s="1" t="s">
        <v>132</v>
      </c>
      <c r="F2962" s="1" t="s">
        <v>132</v>
      </c>
      <c r="G2962" s="1" t="s">
        <v>132</v>
      </c>
      <c r="H2962" s="1" t="str">
        <f>VLOOKUP(F2962,Countries!$A$1:$B$161,2,0)</f>
        <v>Canada</v>
      </c>
    </row>
    <row r="2963" spans="1:8" x14ac:dyDescent="0.3">
      <c r="A2963" s="3">
        <v>46252.925844907397</v>
      </c>
      <c r="B2963" s="1">
        <v>10.85</v>
      </c>
      <c r="C2963" s="1">
        <v>9.3699999999999992</v>
      </c>
      <c r="D2963" s="1">
        <v>0.74</v>
      </c>
      <c r="E2963" s="1" t="s">
        <v>115</v>
      </c>
      <c r="F2963" s="1" t="s">
        <v>115</v>
      </c>
      <c r="G2963" s="1" t="s">
        <v>115</v>
      </c>
      <c r="H2963" s="1" t="str">
        <f>VLOOKUP(F2963,Countries!$A$1:$B$161,2,0)</f>
        <v>Switzerland</v>
      </c>
    </row>
    <row r="2964" spans="1:8" x14ac:dyDescent="0.3">
      <c r="A2964" s="3">
        <v>46252.92046296296</v>
      </c>
      <c r="B2964" s="1">
        <v>10.51</v>
      </c>
      <c r="C2964" s="1">
        <v>9.08</v>
      </c>
      <c r="D2964" s="1">
        <v>0.73</v>
      </c>
      <c r="E2964" s="1" t="s">
        <v>143</v>
      </c>
      <c r="F2964" s="1" t="s">
        <v>143</v>
      </c>
      <c r="G2964" s="1" t="s">
        <v>143</v>
      </c>
      <c r="H2964" s="1" t="str">
        <f>VLOOKUP(F2964,Countries!$A$1:$B$161,2,0)</f>
        <v>United Arab Emirates</v>
      </c>
    </row>
    <row r="2965" spans="1:8" x14ac:dyDescent="0.3">
      <c r="A2965" s="3">
        <v>46252.917604166672</v>
      </c>
      <c r="B2965" s="1">
        <v>1.99</v>
      </c>
      <c r="C2965" s="1">
        <v>1.72</v>
      </c>
      <c r="D2965" s="1">
        <v>0.34</v>
      </c>
      <c r="E2965" s="1"/>
      <c r="F2965" s="1" t="s">
        <v>113</v>
      </c>
      <c r="G2965" s="1" t="s">
        <v>113</v>
      </c>
      <c r="H2965" s="1" t="str">
        <f>VLOOKUP(F2965,Countries!$A$1:$B$161,2,0)</f>
        <v>United States of America</v>
      </c>
    </row>
    <row r="2966" spans="1:8" x14ac:dyDescent="0.3">
      <c r="A2966" s="3">
        <v>46252.917372685188</v>
      </c>
      <c r="B2966" s="1">
        <v>14.77</v>
      </c>
      <c r="C2966" s="1">
        <v>12.76</v>
      </c>
      <c r="D2966" s="1">
        <v>0.92</v>
      </c>
      <c r="E2966" s="1" t="s">
        <v>113</v>
      </c>
      <c r="F2966" s="1" t="s">
        <v>113</v>
      </c>
      <c r="G2966" s="1" t="s">
        <v>113</v>
      </c>
      <c r="H2966" s="1" t="str">
        <f>VLOOKUP(F2966,Countries!$A$1:$B$161,2,0)</f>
        <v>United States of America</v>
      </c>
    </row>
    <row r="2967" spans="1:8" x14ac:dyDescent="0.3">
      <c r="A2967" s="3">
        <v>46252.916562500002</v>
      </c>
      <c r="B2967" s="1">
        <v>6.37</v>
      </c>
      <c r="C2967" s="1">
        <v>5.5</v>
      </c>
      <c r="D2967" s="1">
        <v>0.54</v>
      </c>
      <c r="E2967" s="1" t="s">
        <v>113</v>
      </c>
      <c r="F2967" s="1" t="s">
        <v>113</v>
      </c>
      <c r="G2967" s="1" t="s">
        <v>113</v>
      </c>
      <c r="H2967" s="1" t="str">
        <f>VLOOKUP(F2967,Countries!$A$1:$B$161,2,0)</f>
        <v>United States of America</v>
      </c>
    </row>
    <row r="2968" spans="1:8" x14ac:dyDescent="0.3">
      <c r="A2968" s="3">
        <v>46252.916493055563</v>
      </c>
      <c r="B2968" s="1">
        <v>10.62</v>
      </c>
      <c r="C2968" s="1">
        <v>9.17</v>
      </c>
      <c r="D2968" s="1">
        <v>0.73</v>
      </c>
      <c r="E2968" s="1" t="s">
        <v>113</v>
      </c>
      <c r="F2968" s="1" t="s">
        <v>113</v>
      </c>
      <c r="G2968" s="1" t="s">
        <v>113</v>
      </c>
      <c r="H2968" s="1" t="str">
        <f>VLOOKUP(F2968,Countries!$A$1:$B$161,2,0)</f>
        <v>United States of America</v>
      </c>
    </row>
    <row r="2969" spans="1:8" x14ac:dyDescent="0.3">
      <c r="A2969" s="3">
        <v>46252.914143518523</v>
      </c>
      <c r="B2969" s="1">
        <v>7.04</v>
      </c>
      <c r="C2969" s="1">
        <v>6.08</v>
      </c>
      <c r="D2969" s="1">
        <v>0.56999999999999995</v>
      </c>
      <c r="E2969" s="1" t="s">
        <v>163</v>
      </c>
      <c r="F2969" s="1" t="s">
        <v>163</v>
      </c>
      <c r="G2969" s="1" t="s">
        <v>163</v>
      </c>
      <c r="H2969" s="1" t="str">
        <f>VLOOKUP(F2969,Countries!$A$1:$B$161,2,0)</f>
        <v>Saudi Arabia</v>
      </c>
    </row>
    <row r="2970" spans="1:8" x14ac:dyDescent="0.3">
      <c r="A2970" s="3">
        <v>46252.912997685176</v>
      </c>
      <c r="B2970" s="1">
        <v>6.37</v>
      </c>
      <c r="C2970" s="1">
        <v>5.5</v>
      </c>
      <c r="D2970" s="1">
        <v>0.54</v>
      </c>
      <c r="E2970" s="1" t="s">
        <v>113</v>
      </c>
      <c r="F2970" s="1" t="s">
        <v>113</v>
      </c>
      <c r="G2970" s="1" t="s">
        <v>113</v>
      </c>
      <c r="H2970" s="1" t="str">
        <f>VLOOKUP(F2970,Countries!$A$1:$B$161,2,0)</f>
        <v>United States of America</v>
      </c>
    </row>
    <row r="2971" spans="1:8" x14ac:dyDescent="0.3">
      <c r="A2971" s="3">
        <v>46252.911249999997</v>
      </c>
      <c r="B2971" s="1">
        <v>10.85</v>
      </c>
      <c r="C2971" s="1">
        <v>9.3699999999999992</v>
      </c>
      <c r="D2971" s="1">
        <v>0.74</v>
      </c>
      <c r="E2971" s="1" t="s">
        <v>115</v>
      </c>
      <c r="F2971" s="1" t="s">
        <v>115</v>
      </c>
      <c r="G2971" s="1" t="s">
        <v>115</v>
      </c>
      <c r="H2971" s="1" t="str">
        <f>VLOOKUP(F2971,Countries!$A$1:$B$161,2,0)</f>
        <v>Switzerland</v>
      </c>
    </row>
    <row r="2972" spans="1:8" x14ac:dyDescent="0.3">
      <c r="A2972" s="3">
        <v>46252.909722222219</v>
      </c>
      <c r="B2972" s="1">
        <v>15.43</v>
      </c>
      <c r="C2972" s="1">
        <v>13.33</v>
      </c>
      <c r="D2972" s="1">
        <v>0.95</v>
      </c>
      <c r="E2972" s="1" t="s">
        <v>130</v>
      </c>
      <c r="F2972" s="1" t="s">
        <v>130</v>
      </c>
      <c r="G2972" s="1" t="s">
        <v>130</v>
      </c>
      <c r="H2972" s="1" t="str">
        <f>VLOOKUP(F2972,Countries!$A$1:$B$161,2,0)</f>
        <v>Australia</v>
      </c>
    </row>
    <row r="2973" spans="1:8" x14ac:dyDescent="0.3">
      <c r="A2973" s="3">
        <v>46252.90425925926</v>
      </c>
      <c r="B2973" s="1">
        <v>7.67</v>
      </c>
      <c r="C2973" s="1">
        <v>6.63</v>
      </c>
      <c r="D2973" s="1">
        <v>0.48</v>
      </c>
      <c r="E2973" s="1" t="s">
        <v>124</v>
      </c>
      <c r="F2973" s="1" t="s">
        <v>124</v>
      </c>
      <c r="G2973" s="1" t="s">
        <v>124</v>
      </c>
      <c r="H2973" s="1" t="str">
        <f>VLOOKUP(F2973,Countries!$A$1:$B$161,2,0)</f>
        <v>Italy</v>
      </c>
    </row>
    <row r="2974" spans="1:8" x14ac:dyDescent="0.3">
      <c r="A2974" s="3">
        <v>46252.902361111112</v>
      </c>
      <c r="B2974" s="1">
        <v>6.58</v>
      </c>
      <c r="C2974" s="1">
        <v>5.68</v>
      </c>
      <c r="D2974" s="1">
        <v>0.54</v>
      </c>
      <c r="E2974" s="1" t="s">
        <v>152</v>
      </c>
      <c r="F2974" s="1" t="s">
        <v>152</v>
      </c>
      <c r="G2974" s="1" t="s">
        <v>152</v>
      </c>
      <c r="H2974" s="1" t="str">
        <f>VLOOKUP(F2974,Countries!$A$1:$B$161,2,0)</f>
        <v>Singapore</v>
      </c>
    </row>
    <row r="2975" spans="1:8" x14ac:dyDescent="0.3">
      <c r="A2975" s="3">
        <v>46252.898657407408</v>
      </c>
      <c r="B2975" s="1">
        <v>10.62</v>
      </c>
      <c r="C2975" s="1">
        <v>9.17</v>
      </c>
      <c r="D2975" s="1">
        <v>0.73</v>
      </c>
      <c r="E2975" s="1" t="s">
        <v>113</v>
      </c>
      <c r="F2975" s="1" t="s">
        <v>113</v>
      </c>
      <c r="G2975" s="1" t="s">
        <v>113</v>
      </c>
      <c r="H2975" s="1" t="str">
        <f>VLOOKUP(F2975,Countries!$A$1:$B$161,2,0)</f>
        <v>United States of America</v>
      </c>
    </row>
    <row r="2976" spans="1:8" x14ac:dyDescent="0.3">
      <c r="A2976" s="3">
        <v>46252.895671296297</v>
      </c>
      <c r="B2976" s="1">
        <v>15.43</v>
      </c>
      <c r="C2976" s="1">
        <v>13.33</v>
      </c>
      <c r="D2976" s="1">
        <v>0.95</v>
      </c>
      <c r="E2976" s="1" t="s">
        <v>130</v>
      </c>
      <c r="F2976" s="1" t="s">
        <v>130</v>
      </c>
      <c r="G2976" s="1" t="s">
        <v>130</v>
      </c>
      <c r="H2976" s="1" t="str">
        <f>VLOOKUP(F2976,Countries!$A$1:$B$161,2,0)</f>
        <v>Australia</v>
      </c>
    </row>
    <row r="2977" spans="1:8" x14ac:dyDescent="0.3">
      <c r="A2977" s="3">
        <v>46252.89471064815</v>
      </c>
      <c r="B2977" s="1">
        <v>10.51</v>
      </c>
      <c r="C2977" s="1">
        <v>9.08</v>
      </c>
      <c r="D2977" s="1">
        <v>0.73</v>
      </c>
      <c r="E2977" s="1" t="s">
        <v>143</v>
      </c>
      <c r="F2977" s="1" t="s">
        <v>143</v>
      </c>
      <c r="G2977" s="1" t="s">
        <v>143</v>
      </c>
      <c r="H2977" s="1" t="str">
        <f>VLOOKUP(F2977,Countries!$A$1:$B$161,2,0)</f>
        <v>United Arab Emirates</v>
      </c>
    </row>
    <row r="2978" spans="1:8" x14ac:dyDescent="0.3">
      <c r="A2978" s="3">
        <v>46252.892002314817</v>
      </c>
      <c r="B2978" s="1">
        <v>6.37</v>
      </c>
      <c r="C2978" s="1">
        <v>5.5</v>
      </c>
      <c r="D2978" s="1">
        <v>0.54</v>
      </c>
      <c r="E2978" s="1" t="s">
        <v>113</v>
      </c>
      <c r="F2978" s="1" t="s">
        <v>113</v>
      </c>
      <c r="G2978" s="1" t="s">
        <v>113</v>
      </c>
      <c r="H2978" s="1" t="str">
        <f>VLOOKUP(F2978,Countries!$A$1:$B$161,2,0)</f>
        <v>United States of America</v>
      </c>
    </row>
    <row r="2979" spans="1:8" x14ac:dyDescent="0.3">
      <c r="A2979" s="3">
        <v>46252.889155092591</v>
      </c>
      <c r="B2979" s="1">
        <v>6.37</v>
      </c>
      <c r="C2979" s="1">
        <v>5.5</v>
      </c>
      <c r="D2979" s="1">
        <v>0.54</v>
      </c>
      <c r="E2979" s="1" t="s">
        <v>113</v>
      </c>
      <c r="F2979" s="1" t="s">
        <v>113</v>
      </c>
      <c r="G2979" s="1" t="s">
        <v>113</v>
      </c>
      <c r="H2979" s="1" t="str">
        <f>VLOOKUP(F2979,Countries!$A$1:$B$161,2,0)</f>
        <v>United States of America</v>
      </c>
    </row>
    <row r="2980" spans="1:8" x14ac:dyDescent="0.3">
      <c r="A2980" s="3">
        <v>46252.888078703712</v>
      </c>
      <c r="B2980" s="1">
        <v>6.37</v>
      </c>
      <c r="C2980" s="1">
        <v>5.5</v>
      </c>
      <c r="D2980" s="1">
        <v>0.54</v>
      </c>
      <c r="E2980" s="1" t="s">
        <v>113</v>
      </c>
      <c r="F2980" s="1" t="s">
        <v>113</v>
      </c>
      <c r="G2980" s="1" t="s">
        <v>113</v>
      </c>
      <c r="H2980" s="1" t="str">
        <f>VLOOKUP(F2980,Countries!$A$1:$B$161,2,0)</f>
        <v>United States of America</v>
      </c>
    </row>
    <row r="2981" spans="1:8" x14ac:dyDescent="0.3">
      <c r="A2981" s="3">
        <v>46252.886631944442</v>
      </c>
      <c r="B2981" s="1">
        <v>2.99</v>
      </c>
      <c r="C2981" s="1">
        <v>2.58</v>
      </c>
      <c r="D2981" s="1">
        <v>0.38</v>
      </c>
      <c r="E2981" s="1" t="s">
        <v>113</v>
      </c>
      <c r="F2981" s="1" t="s">
        <v>113</v>
      </c>
      <c r="G2981" s="1" t="s">
        <v>113</v>
      </c>
      <c r="H2981" s="1" t="str">
        <f>VLOOKUP(F2981,Countries!$A$1:$B$161,2,0)</f>
        <v>United States of America</v>
      </c>
    </row>
    <row r="2982" spans="1:8" x14ac:dyDescent="0.3">
      <c r="A2982" s="3">
        <v>46252.886562500003</v>
      </c>
      <c r="B2982" s="1">
        <v>15.43</v>
      </c>
      <c r="C2982" s="1">
        <v>13.33</v>
      </c>
      <c r="D2982" s="1">
        <v>0.95</v>
      </c>
      <c r="E2982" s="1" t="s">
        <v>130</v>
      </c>
      <c r="F2982" s="1" t="s">
        <v>130</v>
      </c>
      <c r="G2982" s="1" t="s">
        <v>130</v>
      </c>
      <c r="H2982" s="1" t="str">
        <f>VLOOKUP(F2982,Countries!$A$1:$B$161,2,0)</f>
        <v>Australia</v>
      </c>
    </row>
    <row r="2983" spans="1:8" x14ac:dyDescent="0.3">
      <c r="A2983" s="3">
        <v>46252.884525462963</v>
      </c>
      <c r="B2983" s="1">
        <v>6.37</v>
      </c>
      <c r="C2983" s="1">
        <v>5.5</v>
      </c>
      <c r="D2983" s="1">
        <v>0.54</v>
      </c>
      <c r="E2983" s="1" t="s">
        <v>113</v>
      </c>
      <c r="F2983" s="1" t="s">
        <v>113</v>
      </c>
      <c r="G2983" s="1" t="s">
        <v>113</v>
      </c>
      <c r="H2983" s="1" t="str">
        <f>VLOOKUP(F2983,Countries!$A$1:$B$161,2,0)</f>
        <v>United States of America</v>
      </c>
    </row>
    <row r="2984" spans="1:8" x14ac:dyDescent="0.3">
      <c r="A2984" s="3">
        <v>46252.883055555547</v>
      </c>
      <c r="B2984" s="1">
        <v>6.65</v>
      </c>
      <c r="C2984" s="1">
        <v>5.74</v>
      </c>
      <c r="D2984" s="1">
        <v>0.55000000000000004</v>
      </c>
      <c r="E2984" s="1" t="s">
        <v>121</v>
      </c>
      <c r="F2984" s="1" t="s">
        <v>121</v>
      </c>
      <c r="G2984" s="1" t="s">
        <v>121</v>
      </c>
      <c r="H2984" s="1" t="str">
        <f>VLOOKUP(F2984,Countries!$A$1:$B$161,2,0)</f>
        <v>Japan</v>
      </c>
    </row>
    <row r="2985" spans="1:8" x14ac:dyDescent="0.3">
      <c r="A2985" s="3">
        <v>46252.880196759259</v>
      </c>
      <c r="B2985" s="1">
        <v>15.43</v>
      </c>
      <c r="C2985" s="1">
        <v>13.33</v>
      </c>
      <c r="D2985" s="1">
        <v>0.95</v>
      </c>
      <c r="E2985" s="1" t="s">
        <v>130</v>
      </c>
      <c r="F2985" s="1" t="s">
        <v>130</v>
      </c>
      <c r="G2985" s="1" t="s">
        <v>130</v>
      </c>
      <c r="H2985" s="1" t="str">
        <f>VLOOKUP(F2985,Countries!$A$1:$B$161,2,0)</f>
        <v>Australia</v>
      </c>
    </row>
    <row r="2986" spans="1:8" x14ac:dyDescent="0.3">
      <c r="A2986" s="3">
        <v>46252.862835648149</v>
      </c>
      <c r="B2986" s="1">
        <v>6.37</v>
      </c>
      <c r="C2986" s="1">
        <v>5.5</v>
      </c>
      <c r="D2986" s="1">
        <v>0.54</v>
      </c>
      <c r="E2986" s="1" t="s">
        <v>113</v>
      </c>
      <c r="F2986" s="1" t="s">
        <v>113</v>
      </c>
      <c r="G2986" s="1" t="s">
        <v>113</v>
      </c>
      <c r="H2986" s="1" t="str">
        <f>VLOOKUP(F2986,Countries!$A$1:$B$161,2,0)</f>
        <v>United States of America</v>
      </c>
    </row>
    <row r="2987" spans="1:8" x14ac:dyDescent="0.3">
      <c r="A2987" s="3">
        <v>46252.856932870367</v>
      </c>
      <c r="B2987" s="1">
        <v>2.99</v>
      </c>
      <c r="C2987" s="1">
        <v>2.58</v>
      </c>
      <c r="D2987" s="1">
        <v>0.38</v>
      </c>
      <c r="E2987" s="1" t="s">
        <v>113</v>
      </c>
      <c r="F2987" s="1" t="s">
        <v>113</v>
      </c>
      <c r="G2987" s="1" t="s">
        <v>113</v>
      </c>
      <c r="H2987" s="1" t="str">
        <f>VLOOKUP(F2987,Countries!$A$1:$B$161,2,0)</f>
        <v>United States of America</v>
      </c>
    </row>
    <row r="2988" spans="1:8" x14ac:dyDescent="0.3">
      <c r="A2988" s="3">
        <v>46252.853807870371</v>
      </c>
      <c r="B2988" s="1">
        <v>1.99</v>
      </c>
      <c r="C2988" s="1">
        <v>1.72</v>
      </c>
      <c r="D2988" s="1">
        <v>0.34</v>
      </c>
      <c r="E2988" s="1" t="s">
        <v>139</v>
      </c>
      <c r="F2988" s="1" t="s">
        <v>139</v>
      </c>
      <c r="G2988" s="1" t="s">
        <v>139</v>
      </c>
      <c r="H2988" s="1" t="str">
        <f>VLOOKUP(F2988,Countries!$A$1:$B$161,2,0)</f>
        <v>Nigeria</v>
      </c>
    </row>
    <row r="2989" spans="1:8" x14ac:dyDescent="0.3">
      <c r="A2989" s="3">
        <v>46252.851319444453</v>
      </c>
      <c r="B2989" s="1">
        <v>7.58</v>
      </c>
      <c r="C2989" s="1">
        <v>6.55</v>
      </c>
      <c r="D2989" s="1">
        <v>0.48</v>
      </c>
      <c r="E2989" s="1" t="s">
        <v>116</v>
      </c>
      <c r="F2989" s="1" t="s">
        <v>116</v>
      </c>
      <c r="G2989" s="1" t="s">
        <v>116</v>
      </c>
      <c r="H2989" s="1" t="str">
        <f>VLOOKUP(F2989,Countries!$A$1:$B$161,2,0)</f>
        <v>Spain</v>
      </c>
    </row>
    <row r="2990" spans="1:8" x14ac:dyDescent="0.3">
      <c r="A2990" s="3">
        <v>46252.835486111107</v>
      </c>
      <c r="B2990" s="1">
        <v>6.37</v>
      </c>
      <c r="C2990" s="1">
        <v>5.5</v>
      </c>
      <c r="D2990" s="1">
        <v>0.54</v>
      </c>
      <c r="E2990" s="1" t="s">
        <v>113</v>
      </c>
      <c r="F2990" s="1" t="s">
        <v>113</v>
      </c>
      <c r="G2990" s="1" t="s">
        <v>113</v>
      </c>
      <c r="H2990" s="1" t="str">
        <f>VLOOKUP(F2990,Countries!$A$1:$B$161,2,0)</f>
        <v>United States of America</v>
      </c>
    </row>
    <row r="2991" spans="1:8" x14ac:dyDescent="0.3">
      <c r="A2991" s="3">
        <v>46252.835370370369</v>
      </c>
      <c r="B2991" s="1">
        <v>6.37</v>
      </c>
      <c r="C2991" s="1">
        <v>5.5</v>
      </c>
      <c r="D2991" s="1">
        <v>0.54</v>
      </c>
      <c r="E2991" s="1" t="s">
        <v>113</v>
      </c>
      <c r="F2991" s="1" t="s">
        <v>113</v>
      </c>
      <c r="G2991" s="1" t="s">
        <v>113</v>
      </c>
      <c r="H2991" s="1" t="str">
        <f>VLOOKUP(F2991,Countries!$A$1:$B$161,2,0)</f>
        <v>United States of America</v>
      </c>
    </row>
    <row r="2992" spans="1:8" x14ac:dyDescent="0.3">
      <c r="A2992" s="3">
        <v>46252.834502314807</v>
      </c>
      <c r="B2992" s="1">
        <v>6.37</v>
      </c>
      <c r="C2992" s="1">
        <v>5.5</v>
      </c>
      <c r="D2992" s="1">
        <v>0.54</v>
      </c>
      <c r="E2992" s="1" t="s">
        <v>113</v>
      </c>
      <c r="F2992" s="1" t="s">
        <v>113</v>
      </c>
      <c r="G2992" s="1" t="s">
        <v>113</v>
      </c>
      <c r="H2992" s="1" t="str">
        <f>VLOOKUP(F2992,Countries!$A$1:$B$161,2,0)</f>
        <v>United States of America</v>
      </c>
    </row>
    <row r="2993" spans="1:8" x14ac:dyDescent="0.3">
      <c r="A2993" s="3">
        <v>46252.826319444437</v>
      </c>
      <c r="B2993" s="1">
        <v>21.27</v>
      </c>
      <c r="C2993" s="1">
        <v>18.38</v>
      </c>
      <c r="D2993" s="1">
        <v>1.22</v>
      </c>
      <c r="E2993" s="1" t="s">
        <v>113</v>
      </c>
      <c r="F2993" s="1" t="s">
        <v>113</v>
      </c>
      <c r="G2993" s="1" t="s">
        <v>113</v>
      </c>
      <c r="H2993" s="1" t="str">
        <f>VLOOKUP(F2993,Countries!$A$1:$B$161,2,0)</f>
        <v>United States of America</v>
      </c>
    </row>
    <row r="2994" spans="1:8" x14ac:dyDescent="0.3">
      <c r="A2994" s="3">
        <v>46252.823842592603</v>
      </c>
      <c r="B2994" s="1">
        <v>17.36</v>
      </c>
      <c r="C2994" s="1">
        <v>15</v>
      </c>
      <c r="D2994" s="1">
        <v>0.93</v>
      </c>
      <c r="E2994" s="1" t="s">
        <v>119</v>
      </c>
      <c r="F2994" s="1" t="s">
        <v>119</v>
      </c>
      <c r="G2994" s="1" t="s">
        <v>119</v>
      </c>
      <c r="H2994" s="1" t="str">
        <f>VLOOKUP(F2994,Countries!$A$1:$B$161,2,0)</f>
        <v>Great Britain (United Kingdom)</v>
      </c>
    </row>
    <row r="2995" spans="1:8" x14ac:dyDescent="0.3">
      <c r="A2995" s="3">
        <v>46252.819282407407</v>
      </c>
      <c r="B2995" s="1">
        <v>2.11</v>
      </c>
      <c r="C2995" s="1">
        <v>1.82</v>
      </c>
      <c r="D2995" s="1">
        <v>0.35</v>
      </c>
      <c r="E2995" s="1" t="s">
        <v>113</v>
      </c>
      <c r="F2995" s="1" t="s">
        <v>113</v>
      </c>
      <c r="G2995" s="1" t="s">
        <v>113</v>
      </c>
      <c r="H2995" s="1" t="str">
        <f>VLOOKUP(F2995,Countries!$A$1:$B$161,2,0)</f>
        <v>United States of America</v>
      </c>
    </row>
    <row r="2996" spans="1:8" x14ac:dyDescent="0.3">
      <c r="A2996" s="3">
        <v>46252.80877314815</v>
      </c>
      <c r="B2996" s="1">
        <v>3.73</v>
      </c>
      <c r="C2996" s="1">
        <v>3.22</v>
      </c>
      <c r="D2996" s="1">
        <v>0.41</v>
      </c>
      <c r="E2996" s="1" t="s">
        <v>131</v>
      </c>
      <c r="F2996" s="1" t="s">
        <v>131</v>
      </c>
      <c r="G2996" s="1" t="s">
        <v>131</v>
      </c>
      <c r="H2996" s="1" t="str">
        <f>VLOOKUP(F2996,Countries!$A$1:$B$161,2,0)</f>
        <v>Ukraine</v>
      </c>
    </row>
    <row r="2997" spans="1:8" x14ac:dyDescent="0.3">
      <c r="A2997" s="3">
        <v>46252.801712962973</v>
      </c>
      <c r="B2997" s="1">
        <v>17.96</v>
      </c>
      <c r="C2997" s="1">
        <v>15.52</v>
      </c>
      <c r="D2997" s="1">
        <v>1.06</v>
      </c>
      <c r="E2997" s="1" t="s">
        <v>113</v>
      </c>
      <c r="F2997" s="1" t="s">
        <v>113</v>
      </c>
      <c r="G2997" s="1" t="s">
        <v>113</v>
      </c>
      <c r="H2997" s="1" t="str">
        <f>VLOOKUP(F2997,Countries!$A$1:$B$161,2,0)</f>
        <v>United States of America</v>
      </c>
    </row>
    <row r="2998" spans="1:8" x14ac:dyDescent="0.3">
      <c r="A2998" s="3">
        <v>46252.796527777777</v>
      </c>
      <c r="B2998" s="1">
        <v>6.37</v>
      </c>
      <c r="C2998" s="1">
        <v>5.5</v>
      </c>
      <c r="D2998" s="1">
        <v>0.54</v>
      </c>
      <c r="E2998" s="1" t="s">
        <v>132</v>
      </c>
      <c r="F2998" s="1" t="s">
        <v>132</v>
      </c>
      <c r="G2998" s="1" t="s">
        <v>132</v>
      </c>
      <c r="H2998" s="1" t="str">
        <f>VLOOKUP(F2998,Countries!$A$1:$B$161,2,0)</f>
        <v>Canada</v>
      </c>
    </row>
    <row r="2999" spans="1:8" x14ac:dyDescent="0.3">
      <c r="A2999" s="3">
        <v>46252.79277777778</v>
      </c>
      <c r="B2999" s="1">
        <v>17.96</v>
      </c>
      <c r="C2999" s="1">
        <v>15.51</v>
      </c>
      <c r="D2999" s="1">
        <v>1.06</v>
      </c>
      <c r="E2999" s="1" t="s">
        <v>113</v>
      </c>
      <c r="F2999" s="1" t="s">
        <v>113</v>
      </c>
      <c r="G2999" s="1" t="s">
        <v>113</v>
      </c>
      <c r="H2999" s="1" t="str">
        <f>VLOOKUP(F2999,Countries!$A$1:$B$161,2,0)</f>
        <v>United States of America</v>
      </c>
    </row>
    <row r="3000" spans="1:8" x14ac:dyDescent="0.3">
      <c r="A3000" s="3">
        <v>46252.775740740741</v>
      </c>
      <c r="B3000" s="1">
        <v>50.62</v>
      </c>
      <c r="C3000" s="1">
        <v>43.73</v>
      </c>
      <c r="D3000" s="1">
        <v>1.78</v>
      </c>
      <c r="E3000" s="1" t="s">
        <v>113</v>
      </c>
      <c r="F3000" s="1" t="s">
        <v>113</v>
      </c>
      <c r="G3000" s="1" t="s">
        <v>113</v>
      </c>
      <c r="H3000" s="1" t="str">
        <f>VLOOKUP(F3000,Countries!$A$1:$B$161,2,0)</f>
        <v>United States of America</v>
      </c>
    </row>
    <row r="3001" spans="1:8" x14ac:dyDescent="0.3">
      <c r="A3001" s="3">
        <v>46252.767638888887</v>
      </c>
      <c r="B3001" s="1">
        <v>12.64</v>
      </c>
      <c r="C3001" s="1">
        <v>10.92</v>
      </c>
      <c r="D3001" s="1">
        <v>0.63</v>
      </c>
      <c r="E3001" s="1" t="s">
        <v>113</v>
      </c>
      <c r="F3001" s="1" t="s">
        <v>113</v>
      </c>
      <c r="G3001" s="1" t="s">
        <v>113</v>
      </c>
      <c r="H3001" s="1" t="str">
        <f>VLOOKUP(F3001,Countries!$A$1:$B$161,2,0)</f>
        <v>United States of America</v>
      </c>
    </row>
    <row r="3002" spans="1:8" x14ac:dyDescent="0.3">
      <c r="A3002" s="3">
        <v>46252.767083333332</v>
      </c>
      <c r="B3002" s="1">
        <v>3.32</v>
      </c>
      <c r="C3002" s="1">
        <v>2.87</v>
      </c>
      <c r="D3002" s="1">
        <v>0.4</v>
      </c>
      <c r="E3002" s="1" t="s">
        <v>121</v>
      </c>
      <c r="F3002" s="1" t="s">
        <v>121</v>
      </c>
      <c r="G3002" s="1" t="s">
        <v>121</v>
      </c>
      <c r="H3002" s="1" t="str">
        <f>VLOOKUP(F3002,Countries!$A$1:$B$161,2,0)</f>
        <v>Japan</v>
      </c>
    </row>
    <row r="3003" spans="1:8" x14ac:dyDescent="0.3">
      <c r="A3003" s="3">
        <v>46252.759884259263</v>
      </c>
      <c r="B3003" s="1">
        <v>15.18</v>
      </c>
      <c r="C3003" s="1">
        <v>13.11</v>
      </c>
      <c r="D3003" s="1">
        <v>0.71</v>
      </c>
      <c r="E3003" s="1" t="s">
        <v>113</v>
      </c>
      <c r="F3003" s="1" t="s">
        <v>113</v>
      </c>
      <c r="G3003" s="1" t="s">
        <v>113</v>
      </c>
      <c r="H3003" s="1" t="str">
        <f>VLOOKUP(F3003,Countries!$A$1:$B$161,2,0)</f>
        <v>United States of America</v>
      </c>
    </row>
    <row r="3004" spans="1:8" x14ac:dyDescent="0.3">
      <c r="A3004" s="3">
        <v>46252.759768518517</v>
      </c>
      <c r="B3004" s="1">
        <v>12.64</v>
      </c>
      <c r="C3004" s="1">
        <v>10.92</v>
      </c>
      <c r="D3004" s="1">
        <v>0.63</v>
      </c>
      <c r="E3004" s="1" t="s">
        <v>113</v>
      </c>
      <c r="F3004" s="1" t="s">
        <v>113</v>
      </c>
      <c r="G3004" s="1" t="s">
        <v>113</v>
      </c>
      <c r="H3004" s="1" t="str">
        <f>VLOOKUP(F3004,Countries!$A$1:$B$161,2,0)</f>
        <v>United States of America</v>
      </c>
    </row>
    <row r="3005" spans="1:8" x14ac:dyDescent="0.3">
      <c r="A3005" s="3">
        <v>46252.759467592587</v>
      </c>
      <c r="B3005" s="1">
        <v>6.37</v>
      </c>
      <c r="C3005" s="1">
        <v>5.5</v>
      </c>
      <c r="D3005" s="1">
        <v>0.54</v>
      </c>
      <c r="E3005" s="1" t="s">
        <v>113</v>
      </c>
      <c r="F3005" s="1" t="s">
        <v>113</v>
      </c>
      <c r="G3005" s="1" t="s">
        <v>113</v>
      </c>
      <c r="H3005" s="1" t="str">
        <f>VLOOKUP(F3005,Countries!$A$1:$B$161,2,0)</f>
        <v>United States of America</v>
      </c>
    </row>
    <row r="3006" spans="1:8" x14ac:dyDescent="0.3">
      <c r="A3006" s="3">
        <v>46252.754872685182</v>
      </c>
      <c r="B3006" s="1">
        <v>6.37</v>
      </c>
      <c r="C3006" s="1">
        <v>5.5</v>
      </c>
      <c r="D3006" s="1">
        <v>0.54</v>
      </c>
      <c r="E3006" s="1" t="s">
        <v>113</v>
      </c>
      <c r="F3006" s="1" t="s">
        <v>113</v>
      </c>
      <c r="G3006" s="1" t="s">
        <v>113</v>
      </c>
      <c r="H3006" s="1" t="str">
        <f>VLOOKUP(F3006,Countries!$A$1:$B$161,2,0)</f>
        <v>United States of America</v>
      </c>
    </row>
    <row r="3007" spans="1:8" x14ac:dyDescent="0.3">
      <c r="A3007" s="3">
        <v>46252.745405092603</v>
      </c>
      <c r="B3007" s="1">
        <v>6.37</v>
      </c>
      <c r="C3007" s="1">
        <v>5.5</v>
      </c>
      <c r="D3007" s="1">
        <v>0.54</v>
      </c>
      <c r="E3007" s="1" t="s">
        <v>113</v>
      </c>
      <c r="F3007" s="1" t="s">
        <v>113</v>
      </c>
      <c r="G3007" s="1" t="s">
        <v>113</v>
      </c>
      <c r="H3007" s="1" t="str">
        <f>VLOOKUP(F3007,Countries!$A$1:$B$161,2,0)</f>
        <v>United States of America</v>
      </c>
    </row>
    <row r="3008" spans="1:8" x14ac:dyDescent="0.3">
      <c r="A3008" s="3">
        <v>46252.744479166657</v>
      </c>
      <c r="B3008" s="1">
        <v>7.58</v>
      </c>
      <c r="C3008" s="1">
        <v>6.55</v>
      </c>
      <c r="D3008" s="1">
        <v>0.5</v>
      </c>
      <c r="E3008" s="1" t="s">
        <v>116</v>
      </c>
      <c r="F3008" s="1" t="s">
        <v>116</v>
      </c>
      <c r="G3008" s="1" t="s">
        <v>116</v>
      </c>
      <c r="H3008" s="1" t="str">
        <f>VLOOKUP(F3008,Countries!$A$1:$B$161,2,0)</f>
        <v>Spain</v>
      </c>
    </row>
    <row r="3009" spans="1:8" x14ac:dyDescent="0.3">
      <c r="A3009" s="3">
        <v>46252.739675925928</v>
      </c>
      <c r="B3009" s="1">
        <v>6.37</v>
      </c>
      <c r="C3009" s="1">
        <v>5.5</v>
      </c>
      <c r="D3009" s="1">
        <v>0.54</v>
      </c>
      <c r="E3009" s="1" t="s">
        <v>113</v>
      </c>
      <c r="F3009" s="1" t="s">
        <v>113</v>
      </c>
      <c r="G3009" s="1" t="s">
        <v>113</v>
      </c>
      <c r="H3009" s="1" t="str">
        <f>VLOOKUP(F3009,Countries!$A$1:$B$161,2,0)</f>
        <v>United States of America</v>
      </c>
    </row>
    <row r="3010" spans="1:8" x14ac:dyDescent="0.3">
      <c r="A3010" s="3">
        <v>46252.73909722222</v>
      </c>
      <c r="B3010" s="1">
        <v>1.99</v>
      </c>
      <c r="C3010" s="1">
        <v>1.72</v>
      </c>
      <c r="D3010" s="1">
        <v>0.31</v>
      </c>
      <c r="E3010" s="1" t="s">
        <v>123</v>
      </c>
      <c r="F3010" s="1" t="s">
        <v>123</v>
      </c>
      <c r="G3010" s="1" t="s">
        <v>123</v>
      </c>
      <c r="H3010" s="1" t="str">
        <f>VLOOKUP(F3010,Countries!$A$1:$B$161,2,0)</f>
        <v>France</v>
      </c>
    </row>
    <row r="3011" spans="1:8" x14ac:dyDescent="0.3">
      <c r="A3011" s="3">
        <v>46252.731064814812</v>
      </c>
      <c r="B3011" s="1">
        <v>6.37</v>
      </c>
      <c r="C3011" s="1">
        <v>5.5</v>
      </c>
      <c r="D3011" s="1">
        <v>0.54</v>
      </c>
      <c r="E3011" s="1" t="s">
        <v>113</v>
      </c>
      <c r="F3011" s="1" t="s">
        <v>113</v>
      </c>
      <c r="G3011" s="1" t="s">
        <v>113</v>
      </c>
      <c r="H3011" s="1" t="str">
        <f>VLOOKUP(F3011,Countries!$A$1:$B$161,2,0)</f>
        <v>United States of America</v>
      </c>
    </row>
    <row r="3012" spans="1:8" x14ac:dyDescent="0.3">
      <c r="A3012" s="3">
        <v>46252.726944444446</v>
      </c>
      <c r="B3012" s="1">
        <v>2.99</v>
      </c>
      <c r="C3012" s="1">
        <v>2.58</v>
      </c>
      <c r="D3012" s="1">
        <v>0.38</v>
      </c>
      <c r="E3012" s="1" t="s">
        <v>135</v>
      </c>
      <c r="F3012" s="1" t="s">
        <v>135</v>
      </c>
      <c r="G3012" s="1" t="s">
        <v>135</v>
      </c>
      <c r="H3012" s="1" t="str">
        <f>VLOOKUP(F3012,Countries!$A$1:$B$161,2,0)</f>
        <v>Kuwait</v>
      </c>
    </row>
    <row r="3013" spans="1:8" x14ac:dyDescent="0.3">
      <c r="A3013" s="3">
        <v>46252.700752314813</v>
      </c>
      <c r="B3013" s="1">
        <v>14.77</v>
      </c>
      <c r="C3013" s="1">
        <v>12.76</v>
      </c>
      <c r="D3013" s="1">
        <v>0.92</v>
      </c>
      <c r="E3013" s="1" t="s">
        <v>113</v>
      </c>
      <c r="F3013" s="1" t="s">
        <v>113</v>
      </c>
      <c r="G3013" s="1" t="s">
        <v>113</v>
      </c>
      <c r="H3013" s="1" t="str">
        <f>VLOOKUP(F3013,Countries!$A$1:$B$161,2,0)</f>
        <v>United States of America</v>
      </c>
    </row>
    <row r="3014" spans="1:8" x14ac:dyDescent="0.3">
      <c r="A3014" s="3">
        <v>46252.697013888886</v>
      </c>
      <c r="B3014" s="1">
        <v>36.96</v>
      </c>
      <c r="C3014" s="1">
        <v>31.92</v>
      </c>
      <c r="D3014" s="1">
        <v>1.93</v>
      </c>
      <c r="E3014" s="1" t="s">
        <v>113</v>
      </c>
      <c r="F3014" s="1" t="s">
        <v>113</v>
      </c>
      <c r="G3014" s="1" t="s">
        <v>113</v>
      </c>
      <c r="H3014" s="1" t="str">
        <f>VLOOKUP(F3014,Countries!$A$1:$B$161,2,0)</f>
        <v>United States of America</v>
      </c>
    </row>
    <row r="3015" spans="1:8" x14ac:dyDescent="0.3">
      <c r="A3015" s="3">
        <v>46252.695717592593</v>
      </c>
      <c r="B3015" s="1">
        <v>17.010000000000002</v>
      </c>
      <c r="C3015" s="1">
        <v>14.69</v>
      </c>
      <c r="D3015" s="1">
        <v>1.02</v>
      </c>
      <c r="E3015" s="1" t="s">
        <v>113</v>
      </c>
      <c r="F3015" s="1" t="s">
        <v>113</v>
      </c>
      <c r="G3015" s="1" t="s">
        <v>113</v>
      </c>
      <c r="H3015" s="1" t="str">
        <f>VLOOKUP(F3015,Countries!$A$1:$B$161,2,0)</f>
        <v>United States of America</v>
      </c>
    </row>
    <row r="3016" spans="1:8" x14ac:dyDescent="0.3">
      <c r="A3016" s="3">
        <v>46252.693611111114</v>
      </c>
      <c r="B3016" s="1">
        <v>6.3</v>
      </c>
      <c r="C3016" s="1">
        <v>5.44</v>
      </c>
      <c r="D3016" s="1">
        <v>0.54</v>
      </c>
      <c r="E3016" s="1" t="s">
        <v>132</v>
      </c>
      <c r="F3016" s="1" t="s">
        <v>132</v>
      </c>
      <c r="G3016" s="1" t="s">
        <v>132</v>
      </c>
      <c r="H3016" s="1" t="str">
        <f>VLOOKUP(F3016,Countries!$A$1:$B$161,2,0)</f>
        <v>Canada</v>
      </c>
    </row>
    <row r="3017" spans="1:8" x14ac:dyDescent="0.3">
      <c r="A3017" s="3">
        <v>46252.690150462957</v>
      </c>
      <c r="B3017" s="1">
        <v>2.11</v>
      </c>
      <c r="C3017" s="1">
        <v>1.82</v>
      </c>
      <c r="D3017" s="1">
        <v>0.35</v>
      </c>
      <c r="E3017" s="1" t="s">
        <v>113</v>
      </c>
      <c r="F3017" s="1" t="s">
        <v>113</v>
      </c>
      <c r="G3017" s="1" t="s">
        <v>113</v>
      </c>
      <c r="H3017" s="1" t="str">
        <f>VLOOKUP(F3017,Countries!$A$1:$B$161,2,0)</f>
        <v>United States of America</v>
      </c>
    </row>
    <row r="3018" spans="1:8" x14ac:dyDescent="0.3">
      <c r="A3018" s="3">
        <v>46252.678981481477</v>
      </c>
      <c r="B3018" s="1">
        <v>3.18</v>
      </c>
      <c r="C3018" s="1">
        <v>2.75</v>
      </c>
      <c r="D3018" s="1">
        <v>0.4</v>
      </c>
      <c r="E3018" s="1" t="s">
        <v>113</v>
      </c>
      <c r="F3018" s="1" t="s">
        <v>113</v>
      </c>
      <c r="G3018" s="1" t="s">
        <v>113</v>
      </c>
      <c r="H3018" s="1" t="str">
        <f>VLOOKUP(F3018,Countries!$A$1:$B$161,2,0)</f>
        <v>United States of America</v>
      </c>
    </row>
    <row r="3019" spans="1:8" x14ac:dyDescent="0.3">
      <c r="A3019" s="3">
        <v>46252.677824074082</v>
      </c>
      <c r="B3019" s="1">
        <v>3.18</v>
      </c>
      <c r="C3019" s="1">
        <v>2.75</v>
      </c>
      <c r="D3019" s="1">
        <v>0.4</v>
      </c>
      <c r="E3019" s="1" t="s">
        <v>113</v>
      </c>
      <c r="F3019" s="1" t="s">
        <v>113</v>
      </c>
      <c r="G3019" s="1" t="s">
        <v>113</v>
      </c>
      <c r="H3019" s="1" t="str">
        <f>VLOOKUP(F3019,Countries!$A$1:$B$161,2,0)</f>
        <v>United States of America</v>
      </c>
    </row>
    <row r="3020" spans="1:8" x14ac:dyDescent="0.3">
      <c r="A3020" s="3">
        <v>46252.673368055563</v>
      </c>
      <c r="B3020" s="1">
        <v>8.8699999999999992</v>
      </c>
      <c r="C3020" s="1">
        <v>7.66</v>
      </c>
      <c r="D3020" s="1">
        <v>0.65</v>
      </c>
      <c r="E3020" s="1" t="s">
        <v>113</v>
      </c>
      <c r="F3020" s="1" t="s">
        <v>113</v>
      </c>
      <c r="G3020" s="1" t="s">
        <v>113</v>
      </c>
      <c r="H3020" s="1" t="str">
        <f>VLOOKUP(F3020,Countries!$A$1:$B$161,2,0)</f>
        <v>United States of America</v>
      </c>
    </row>
    <row r="3021" spans="1:8" x14ac:dyDescent="0.3">
      <c r="A3021" s="3">
        <v>46252.671851851846</v>
      </c>
      <c r="B3021" s="1">
        <v>6.37</v>
      </c>
      <c r="C3021" s="1">
        <v>5.5</v>
      </c>
      <c r="D3021" s="1">
        <v>0.54</v>
      </c>
      <c r="E3021" s="1" t="s">
        <v>113</v>
      </c>
      <c r="F3021" s="1" t="s">
        <v>113</v>
      </c>
      <c r="G3021" s="1" t="s">
        <v>113</v>
      </c>
      <c r="H3021" s="1" t="str">
        <f>VLOOKUP(F3021,Countries!$A$1:$B$161,2,0)</f>
        <v>United States of America</v>
      </c>
    </row>
    <row r="3022" spans="1:8" x14ac:dyDescent="0.3">
      <c r="A3022" s="3">
        <v>46252.660624999997</v>
      </c>
      <c r="B3022" s="1">
        <v>6.37</v>
      </c>
      <c r="C3022" s="1">
        <v>5.5</v>
      </c>
      <c r="D3022" s="1">
        <v>0.54</v>
      </c>
      <c r="E3022" s="1" t="s">
        <v>113</v>
      </c>
      <c r="F3022" s="1" t="s">
        <v>113</v>
      </c>
      <c r="G3022" s="1" t="s">
        <v>113</v>
      </c>
      <c r="H3022" s="1" t="str">
        <f>VLOOKUP(F3022,Countries!$A$1:$B$161,2,0)</f>
        <v>United States of America</v>
      </c>
    </row>
    <row r="3023" spans="1:8" x14ac:dyDescent="0.3">
      <c r="A3023" s="3">
        <v>46252.653668981482</v>
      </c>
      <c r="B3023" s="1">
        <v>7.67</v>
      </c>
      <c r="C3023" s="1">
        <v>6.62</v>
      </c>
      <c r="D3023" s="1">
        <v>0.48</v>
      </c>
      <c r="E3023" s="1" t="s">
        <v>124</v>
      </c>
      <c r="F3023" s="1" t="s">
        <v>124</v>
      </c>
      <c r="G3023" s="1" t="s">
        <v>124</v>
      </c>
      <c r="H3023" s="1" t="str">
        <f>VLOOKUP(F3023,Countries!$A$1:$B$161,2,0)</f>
        <v>Italy</v>
      </c>
    </row>
    <row r="3024" spans="1:8" x14ac:dyDescent="0.3">
      <c r="A3024" s="3">
        <v>46252.653124999997</v>
      </c>
      <c r="B3024" s="1">
        <v>7.58</v>
      </c>
      <c r="C3024" s="1">
        <v>6.54</v>
      </c>
      <c r="D3024" s="1">
        <v>0.48</v>
      </c>
      <c r="E3024" s="1" t="s">
        <v>116</v>
      </c>
      <c r="F3024" s="1" t="s">
        <v>116</v>
      </c>
      <c r="G3024" s="1" t="s">
        <v>116</v>
      </c>
      <c r="H3024" s="1" t="str">
        <f>VLOOKUP(F3024,Countries!$A$1:$B$161,2,0)</f>
        <v>Spain</v>
      </c>
    </row>
    <row r="3025" spans="1:8" x14ac:dyDescent="0.3">
      <c r="A3025" s="3">
        <v>46252.636458333327</v>
      </c>
      <c r="B3025" s="1">
        <v>6.37</v>
      </c>
      <c r="C3025" s="1">
        <v>5.5</v>
      </c>
      <c r="D3025" s="1">
        <v>0.54</v>
      </c>
      <c r="E3025" s="1" t="s">
        <v>113</v>
      </c>
      <c r="F3025" s="1" t="s">
        <v>113</v>
      </c>
      <c r="G3025" s="1" t="s">
        <v>113</v>
      </c>
      <c r="H3025" s="1" t="str">
        <f>VLOOKUP(F3025,Countries!$A$1:$B$161,2,0)</f>
        <v>United States of America</v>
      </c>
    </row>
    <row r="3026" spans="1:8" x14ac:dyDescent="0.3">
      <c r="A3026" s="3">
        <v>46252.622465277767</v>
      </c>
      <c r="B3026" s="1">
        <v>8.5</v>
      </c>
      <c r="C3026" s="1">
        <v>7.34</v>
      </c>
      <c r="D3026" s="1">
        <v>0.64</v>
      </c>
      <c r="E3026" s="1" t="s">
        <v>113</v>
      </c>
      <c r="F3026" s="1" t="s">
        <v>113</v>
      </c>
      <c r="G3026" s="1" t="s">
        <v>113</v>
      </c>
      <c r="H3026" s="1" t="str">
        <f>VLOOKUP(F3026,Countries!$A$1:$B$161,2,0)</f>
        <v>United States of America</v>
      </c>
    </row>
    <row r="3027" spans="1:8" x14ac:dyDescent="0.3">
      <c r="A3027" s="3">
        <v>46252.619583333333</v>
      </c>
      <c r="B3027" s="1">
        <v>5.99</v>
      </c>
      <c r="C3027" s="1">
        <v>5.17</v>
      </c>
      <c r="D3027" s="1">
        <v>0.52</v>
      </c>
      <c r="E3027" s="1" t="s">
        <v>113</v>
      </c>
      <c r="F3027" s="1" t="s">
        <v>113</v>
      </c>
      <c r="G3027" s="1" t="s">
        <v>113</v>
      </c>
      <c r="H3027" s="1" t="str">
        <f>VLOOKUP(F3027,Countries!$A$1:$B$161,2,0)</f>
        <v>United States of America</v>
      </c>
    </row>
    <row r="3028" spans="1:8" x14ac:dyDescent="0.3">
      <c r="A3028" s="3">
        <v>46252.619386574072</v>
      </c>
      <c r="B3028" s="1">
        <v>6.65</v>
      </c>
      <c r="C3028" s="1">
        <v>5.74</v>
      </c>
      <c r="D3028" s="1">
        <v>0.55000000000000004</v>
      </c>
      <c r="E3028" s="1" t="s">
        <v>130</v>
      </c>
      <c r="F3028" s="1" t="s">
        <v>130</v>
      </c>
      <c r="G3028" s="1" t="s">
        <v>130</v>
      </c>
      <c r="H3028" s="1" t="str">
        <f>VLOOKUP(F3028,Countries!$A$1:$B$161,2,0)</f>
        <v>Australia</v>
      </c>
    </row>
    <row r="3029" spans="1:8" x14ac:dyDescent="0.3">
      <c r="A3029" s="3">
        <v>46252.611550925933</v>
      </c>
      <c r="B3029" s="1">
        <v>1.99</v>
      </c>
      <c r="C3029" s="1">
        <v>1.72</v>
      </c>
      <c r="D3029" s="1">
        <v>0.34</v>
      </c>
      <c r="E3029" s="1" t="s">
        <v>113</v>
      </c>
      <c r="F3029" s="1" t="s">
        <v>113</v>
      </c>
      <c r="G3029" s="1" t="s">
        <v>113</v>
      </c>
      <c r="H3029" s="1" t="str">
        <f>VLOOKUP(F3029,Countries!$A$1:$B$161,2,0)</f>
        <v>United States of America</v>
      </c>
    </row>
    <row r="3030" spans="1:8" x14ac:dyDescent="0.3">
      <c r="A3030" s="3">
        <v>46252.610543981478</v>
      </c>
      <c r="B3030" s="1">
        <v>14.77</v>
      </c>
      <c r="C3030" s="1">
        <v>12.76</v>
      </c>
      <c r="D3030" s="1">
        <v>0.92</v>
      </c>
      <c r="E3030" s="1" t="s">
        <v>113</v>
      </c>
      <c r="F3030" s="1" t="s">
        <v>113</v>
      </c>
      <c r="G3030" s="1" t="s">
        <v>113</v>
      </c>
      <c r="H3030" s="1" t="str">
        <f>VLOOKUP(F3030,Countries!$A$1:$B$161,2,0)</f>
        <v>United States of America</v>
      </c>
    </row>
    <row r="3031" spans="1:8" x14ac:dyDescent="0.3">
      <c r="A3031" s="3">
        <v>46252.604722222219</v>
      </c>
      <c r="B3031" s="1">
        <v>17.010000000000002</v>
      </c>
      <c r="C3031" s="1">
        <v>14.69</v>
      </c>
      <c r="D3031" s="1">
        <v>1.02</v>
      </c>
      <c r="E3031" s="1" t="s">
        <v>113</v>
      </c>
      <c r="F3031" s="1" t="s">
        <v>113</v>
      </c>
      <c r="G3031" s="1" t="s">
        <v>113</v>
      </c>
      <c r="H3031" s="1" t="str">
        <f>VLOOKUP(F3031,Countries!$A$1:$B$161,2,0)</f>
        <v>United States of America</v>
      </c>
    </row>
    <row r="3032" spans="1:8" x14ac:dyDescent="0.3">
      <c r="A3032" s="3">
        <v>46252.599537037036</v>
      </c>
      <c r="B3032" s="1">
        <v>70.239999999999995</v>
      </c>
      <c r="C3032" s="1">
        <v>60.66</v>
      </c>
      <c r="D3032" s="1">
        <v>2.37</v>
      </c>
      <c r="E3032" s="1" t="s">
        <v>120</v>
      </c>
      <c r="F3032" s="1" t="s">
        <v>120</v>
      </c>
      <c r="G3032" s="1" t="s">
        <v>120</v>
      </c>
      <c r="H3032" s="1" t="str">
        <f>VLOOKUP(F3032,Countries!$A$1:$B$161,2,0)</f>
        <v>Czech Republic</v>
      </c>
    </row>
    <row r="3033" spans="1:8" x14ac:dyDescent="0.3">
      <c r="A3033" s="3">
        <v>46252.597314814811</v>
      </c>
      <c r="B3033" s="1">
        <v>2.48</v>
      </c>
      <c r="C3033" s="1">
        <v>2.14</v>
      </c>
      <c r="D3033" s="1">
        <v>0.34</v>
      </c>
      <c r="E3033" s="1" t="s">
        <v>119</v>
      </c>
      <c r="F3033" s="1" t="s">
        <v>119</v>
      </c>
      <c r="G3033" s="1" t="s">
        <v>119</v>
      </c>
      <c r="H3033" s="1" t="str">
        <f>VLOOKUP(F3033,Countries!$A$1:$B$161,2,0)</f>
        <v>Great Britain (United Kingdom)</v>
      </c>
    </row>
    <row r="3034" spans="1:8" x14ac:dyDescent="0.3">
      <c r="A3034" s="3">
        <v>46252.590879629628</v>
      </c>
      <c r="B3034" s="1">
        <v>6.37</v>
      </c>
      <c r="C3034" s="1">
        <v>5.5</v>
      </c>
      <c r="D3034" s="1">
        <v>0.54</v>
      </c>
      <c r="E3034" s="1" t="s">
        <v>113</v>
      </c>
      <c r="F3034" s="1" t="s">
        <v>113</v>
      </c>
      <c r="G3034" s="1" t="s">
        <v>113</v>
      </c>
      <c r="H3034" s="1" t="str">
        <f>VLOOKUP(F3034,Countries!$A$1:$B$161,2,0)</f>
        <v>United States of America</v>
      </c>
    </row>
    <row r="3035" spans="1:8" x14ac:dyDescent="0.3">
      <c r="A3035" s="3">
        <v>46252.588379629633</v>
      </c>
      <c r="B3035" s="1">
        <v>10.62</v>
      </c>
      <c r="C3035" s="1">
        <v>9.17</v>
      </c>
      <c r="D3035" s="1">
        <v>0.73</v>
      </c>
      <c r="E3035" s="1" t="s">
        <v>113</v>
      </c>
      <c r="F3035" s="1" t="s">
        <v>113</v>
      </c>
      <c r="G3035" s="1" t="s">
        <v>113</v>
      </c>
      <c r="H3035" s="1" t="str">
        <f>VLOOKUP(F3035,Countries!$A$1:$B$161,2,0)</f>
        <v>United States of America</v>
      </c>
    </row>
    <row r="3036" spans="1:8" x14ac:dyDescent="0.3">
      <c r="A3036" s="3">
        <v>46252.580601851849</v>
      </c>
      <c r="B3036" s="1">
        <v>6.37</v>
      </c>
      <c r="C3036" s="1">
        <v>5.5</v>
      </c>
      <c r="D3036" s="1">
        <v>0.54</v>
      </c>
      <c r="E3036" s="1" t="s">
        <v>113</v>
      </c>
      <c r="F3036" s="1" t="s">
        <v>113</v>
      </c>
      <c r="G3036" s="1" t="s">
        <v>113</v>
      </c>
      <c r="H3036" s="1" t="str">
        <f>VLOOKUP(F3036,Countries!$A$1:$B$161,2,0)</f>
        <v>United States of America</v>
      </c>
    </row>
    <row r="3037" spans="1:8" x14ac:dyDescent="0.3">
      <c r="A3037" s="3">
        <v>46252.570555555547</v>
      </c>
      <c r="B3037" s="1">
        <v>3.93</v>
      </c>
      <c r="C3037" s="1">
        <v>3.39</v>
      </c>
      <c r="D3037" s="1">
        <v>0.37</v>
      </c>
      <c r="E3037" s="1" t="s">
        <v>201</v>
      </c>
      <c r="F3037" s="1" t="s">
        <v>201</v>
      </c>
      <c r="G3037" s="1" t="s">
        <v>201</v>
      </c>
      <c r="H3037" s="1" t="str">
        <f>VLOOKUP(F3037,Countries!$A$1:$B$161,2,0)</f>
        <v>Greece</v>
      </c>
    </row>
    <row r="3038" spans="1:8" x14ac:dyDescent="0.3">
      <c r="A3038" s="3">
        <v>46252.56790509259</v>
      </c>
      <c r="B3038" s="1">
        <v>2.48</v>
      </c>
      <c r="C3038" s="1">
        <v>2.14</v>
      </c>
      <c r="D3038" s="1">
        <v>0.34</v>
      </c>
      <c r="E3038" s="1" t="s">
        <v>119</v>
      </c>
      <c r="F3038" s="1" t="s">
        <v>119</v>
      </c>
      <c r="G3038" s="1" t="s">
        <v>119</v>
      </c>
      <c r="H3038" s="1" t="str">
        <f>VLOOKUP(F3038,Countries!$A$1:$B$161,2,0)</f>
        <v>Great Britain (United Kingdom)</v>
      </c>
    </row>
    <row r="3039" spans="1:8" x14ac:dyDescent="0.3">
      <c r="A3039" s="3">
        <v>46252.552835648137</v>
      </c>
      <c r="B3039" s="1">
        <v>6.65</v>
      </c>
      <c r="C3039" s="1">
        <v>5.74</v>
      </c>
      <c r="D3039" s="1">
        <v>0.55000000000000004</v>
      </c>
      <c r="E3039" s="1" t="s">
        <v>130</v>
      </c>
      <c r="F3039" s="1" t="s">
        <v>130</v>
      </c>
      <c r="G3039" s="1" t="s">
        <v>130</v>
      </c>
      <c r="H3039" s="1" t="str">
        <f>VLOOKUP(F3039,Countries!$A$1:$B$161,2,0)</f>
        <v>Australia</v>
      </c>
    </row>
    <row r="3040" spans="1:8" x14ac:dyDescent="0.3">
      <c r="A3040" s="3">
        <v>46252.532048611109</v>
      </c>
      <c r="B3040" s="1">
        <v>6.37</v>
      </c>
      <c r="C3040" s="1">
        <v>5.5</v>
      </c>
      <c r="D3040" s="1">
        <v>0.54</v>
      </c>
      <c r="E3040" s="1" t="s">
        <v>113</v>
      </c>
      <c r="F3040" s="1" t="s">
        <v>113</v>
      </c>
      <c r="G3040" s="1" t="s">
        <v>113</v>
      </c>
      <c r="H3040" s="1" t="str">
        <f>VLOOKUP(F3040,Countries!$A$1:$B$161,2,0)</f>
        <v>United States of America</v>
      </c>
    </row>
    <row r="3041" spans="1:8" x14ac:dyDescent="0.3">
      <c r="A3041" s="3">
        <v>46252.512962962966</v>
      </c>
      <c r="B3041" s="1">
        <v>6.37</v>
      </c>
      <c r="C3041" s="1">
        <v>5.5</v>
      </c>
      <c r="D3041" s="1">
        <v>0.54</v>
      </c>
      <c r="E3041" s="1" t="s">
        <v>113</v>
      </c>
      <c r="F3041" s="1" t="s">
        <v>113</v>
      </c>
      <c r="G3041" s="1" t="s">
        <v>113</v>
      </c>
      <c r="H3041" s="1" t="str">
        <f>VLOOKUP(F3041,Countries!$A$1:$B$161,2,0)</f>
        <v>United States of America</v>
      </c>
    </row>
    <row r="3042" spans="1:8" x14ac:dyDescent="0.3">
      <c r="A3042" s="3">
        <v>46252.500983796293</v>
      </c>
      <c r="B3042" s="1">
        <v>6.37</v>
      </c>
      <c r="C3042" s="1">
        <v>5.5</v>
      </c>
      <c r="D3042" s="1">
        <v>0.54</v>
      </c>
      <c r="E3042" s="1" t="s">
        <v>113</v>
      </c>
      <c r="F3042" s="1" t="s">
        <v>113</v>
      </c>
      <c r="G3042" s="1" t="s">
        <v>113</v>
      </c>
      <c r="H3042" s="1" t="str">
        <f>VLOOKUP(F3042,Countries!$A$1:$B$161,2,0)</f>
        <v>United States of America</v>
      </c>
    </row>
    <row r="3043" spans="1:8" x14ac:dyDescent="0.3">
      <c r="A3043" s="3">
        <v>46252.498449074083</v>
      </c>
      <c r="B3043" s="1">
        <v>42.54</v>
      </c>
      <c r="C3043" s="1">
        <v>36.75</v>
      </c>
      <c r="D3043" s="1">
        <v>2.1800000000000002</v>
      </c>
      <c r="E3043" s="1" t="s">
        <v>113</v>
      </c>
      <c r="F3043" s="1" t="s">
        <v>113</v>
      </c>
      <c r="G3043" s="1" t="s">
        <v>113</v>
      </c>
      <c r="H3043" s="1" t="str">
        <f>VLOOKUP(F3043,Countries!$A$1:$B$161,2,0)</f>
        <v>United States of America</v>
      </c>
    </row>
    <row r="3044" spans="1:8" x14ac:dyDescent="0.3">
      <c r="A3044" s="3">
        <v>46252.493194444447</v>
      </c>
      <c r="B3044" s="1">
        <v>6.37</v>
      </c>
      <c r="C3044" s="1">
        <v>5.5</v>
      </c>
      <c r="D3044" s="1">
        <v>0.54</v>
      </c>
      <c r="E3044" s="1" t="s">
        <v>113</v>
      </c>
      <c r="F3044" s="1" t="s">
        <v>113</v>
      </c>
      <c r="G3044" s="1" t="s">
        <v>113</v>
      </c>
      <c r="H3044" s="1" t="str">
        <f>VLOOKUP(F3044,Countries!$A$1:$B$161,2,0)</f>
        <v>United States of America</v>
      </c>
    </row>
    <row r="3045" spans="1:8" x14ac:dyDescent="0.3">
      <c r="A3045" s="3">
        <v>46252.490173611113</v>
      </c>
      <c r="B3045" s="1">
        <v>6.37</v>
      </c>
      <c r="C3045" s="1">
        <v>5.5</v>
      </c>
      <c r="D3045" s="1">
        <v>0.54</v>
      </c>
      <c r="E3045" s="1" t="s">
        <v>113</v>
      </c>
      <c r="F3045" s="1" t="s">
        <v>113</v>
      </c>
      <c r="G3045" s="1" t="s">
        <v>113</v>
      </c>
      <c r="H3045" s="1" t="str">
        <f>VLOOKUP(F3045,Countries!$A$1:$B$161,2,0)</f>
        <v>United States of America</v>
      </c>
    </row>
    <row r="3046" spans="1:8" x14ac:dyDescent="0.3">
      <c r="A3046" s="3">
        <v>46252.487766203703</v>
      </c>
      <c r="B3046" s="1">
        <v>2.11</v>
      </c>
      <c r="C3046" s="1">
        <v>1.82</v>
      </c>
      <c r="D3046" s="1">
        <v>0.35</v>
      </c>
      <c r="E3046" s="1" t="s">
        <v>113</v>
      </c>
      <c r="F3046" s="1" t="s">
        <v>113</v>
      </c>
      <c r="G3046" s="1" t="s">
        <v>113</v>
      </c>
      <c r="H3046" s="1" t="str">
        <f>VLOOKUP(F3046,Countries!$A$1:$B$161,2,0)</f>
        <v>United States of America</v>
      </c>
    </row>
    <row r="3047" spans="1:8" x14ac:dyDescent="0.3">
      <c r="A3047" s="3">
        <v>46252.482430555552</v>
      </c>
      <c r="B3047" s="1">
        <v>6.3</v>
      </c>
      <c r="C3047" s="1">
        <v>5.44</v>
      </c>
      <c r="D3047" s="1">
        <v>0.54</v>
      </c>
      <c r="E3047" s="1" t="s">
        <v>132</v>
      </c>
      <c r="F3047" s="1" t="s">
        <v>132</v>
      </c>
      <c r="G3047" s="1" t="s">
        <v>132</v>
      </c>
      <c r="H3047" s="1" t="str">
        <f>VLOOKUP(F3047,Countries!$A$1:$B$161,2,0)</f>
        <v>Canada</v>
      </c>
    </row>
    <row r="3048" spans="1:8" x14ac:dyDescent="0.3">
      <c r="A3048" s="3">
        <v>46252.479062500002</v>
      </c>
      <c r="B3048" s="1">
        <v>18.53</v>
      </c>
      <c r="C3048" s="1">
        <v>16.010000000000002</v>
      </c>
      <c r="D3048" s="1">
        <v>1.0900000000000001</v>
      </c>
      <c r="E3048" s="1" t="s">
        <v>130</v>
      </c>
      <c r="F3048" s="1" t="s">
        <v>130</v>
      </c>
      <c r="G3048" s="1" t="s">
        <v>130</v>
      </c>
      <c r="H3048" s="1" t="str">
        <f>VLOOKUP(F3048,Countries!$A$1:$B$161,2,0)</f>
        <v>Australia</v>
      </c>
    </row>
    <row r="3049" spans="1:8" x14ac:dyDescent="0.3">
      <c r="A3049" s="3">
        <v>46252.471134259264</v>
      </c>
      <c r="B3049" s="1">
        <v>2.21</v>
      </c>
      <c r="C3049" s="1">
        <v>1.91</v>
      </c>
      <c r="D3049" s="1">
        <v>0.35</v>
      </c>
      <c r="E3049" s="1" t="s">
        <v>130</v>
      </c>
      <c r="F3049" s="1" t="s">
        <v>130</v>
      </c>
      <c r="G3049" s="1" t="s">
        <v>130</v>
      </c>
      <c r="H3049" s="1" t="str">
        <f>VLOOKUP(F3049,Countries!$A$1:$B$161,2,0)</f>
        <v>Australia</v>
      </c>
    </row>
    <row r="3050" spans="1:8" x14ac:dyDescent="0.3">
      <c r="A3050" s="3">
        <v>46252.466689814813</v>
      </c>
      <c r="B3050" s="1">
        <v>6.65</v>
      </c>
      <c r="C3050" s="1">
        <v>5.74</v>
      </c>
      <c r="D3050" s="1">
        <v>0.55000000000000004</v>
      </c>
      <c r="E3050" s="1" t="s">
        <v>130</v>
      </c>
      <c r="F3050" s="1" t="s">
        <v>130</v>
      </c>
      <c r="G3050" s="1" t="s">
        <v>130</v>
      </c>
      <c r="H3050" s="1" t="str">
        <f>VLOOKUP(F3050,Countries!$A$1:$B$161,2,0)</f>
        <v>Australia</v>
      </c>
    </row>
    <row r="3051" spans="1:8" x14ac:dyDescent="0.3">
      <c r="A3051" s="3">
        <v>46252.451736111107</v>
      </c>
      <c r="B3051" s="1">
        <v>54.05</v>
      </c>
      <c r="C3051" s="1">
        <v>46.68</v>
      </c>
      <c r="D3051" s="1">
        <v>2.7</v>
      </c>
      <c r="E3051" s="1" t="s">
        <v>130</v>
      </c>
      <c r="F3051" s="1" t="s">
        <v>130</v>
      </c>
      <c r="G3051" s="1" t="s">
        <v>130</v>
      </c>
      <c r="H3051" s="1" t="str">
        <f>VLOOKUP(F3051,Countries!$A$1:$B$161,2,0)</f>
        <v>Australia</v>
      </c>
    </row>
    <row r="3052" spans="1:8" x14ac:dyDescent="0.3">
      <c r="A3052" s="3">
        <v>46252.442430555559</v>
      </c>
      <c r="B3052" s="1">
        <v>6.37</v>
      </c>
      <c r="C3052" s="1">
        <v>5.5</v>
      </c>
      <c r="D3052" s="1">
        <v>0.54</v>
      </c>
      <c r="E3052" s="1" t="s">
        <v>113</v>
      </c>
      <c r="F3052" s="1" t="s">
        <v>113</v>
      </c>
      <c r="G3052" s="1" t="s">
        <v>113</v>
      </c>
      <c r="H3052" s="1" t="str">
        <f>VLOOKUP(F3052,Countries!$A$1:$B$161,2,0)</f>
        <v>United States of America</v>
      </c>
    </row>
    <row r="3053" spans="1:8" x14ac:dyDescent="0.3">
      <c r="A3053" s="3">
        <v>46252.438877314817</v>
      </c>
      <c r="B3053" s="1">
        <v>2.09</v>
      </c>
      <c r="C3053" s="1">
        <v>1.81</v>
      </c>
      <c r="D3053" s="1">
        <v>0.35</v>
      </c>
      <c r="E3053" s="1" t="s">
        <v>132</v>
      </c>
      <c r="F3053" s="1" t="s">
        <v>132</v>
      </c>
      <c r="G3053" s="1" t="s">
        <v>132</v>
      </c>
      <c r="H3053" s="1" t="str">
        <f>VLOOKUP(F3053,Countries!$A$1:$B$161,2,0)</f>
        <v>Canada</v>
      </c>
    </row>
    <row r="3054" spans="1:8" x14ac:dyDescent="0.3">
      <c r="A3054" s="3">
        <v>46252.435925925929</v>
      </c>
      <c r="B3054" s="1">
        <v>70.239999999999995</v>
      </c>
      <c r="C3054" s="1">
        <v>60.67</v>
      </c>
      <c r="D3054" s="1">
        <v>2.37</v>
      </c>
      <c r="E3054" s="1" t="s">
        <v>120</v>
      </c>
      <c r="F3054" s="1" t="s">
        <v>120</v>
      </c>
      <c r="G3054" s="1" t="s">
        <v>120</v>
      </c>
      <c r="H3054" s="1" t="str">
        <f>VLOOKUP(F3054,Countries!$A$1:$B$161,2,0)</f>
        <v>Czech Republic</v>
      </c>
    </row>
    <row r="3055" spans="1:8" x14ac:dyDescent="0.3">
      <c r="A3055" s="3">
        <v>46252.431817129633</v>
      </c>
      <c r="B3055" s="1">
        <v>2.11</v>
      </c>
      <c r="C3055" s="1">
        <v>1.82</v>
      </c>
      <c r="D3055" s="1">
        <v>0.35</v>
      </c>
      <c r="E3055" s="1" t="s">
        <v>113</v>
      </c>
      <c r="F3055" s="1" t="s">
        <v>113</v>
      </c>
      <c r="G3055" s="1" t="s">
        <v>113</v>
      </c>
      <c r="H3055" s="1" t="str">
        <f>VLOOKUP(F3055,Countries!$A$1:$B$161,2,0)</f>
        <v>United States of America</v>
      </c>
    </row>
    <row r="3056" spans="1:8" x14ac:dyDescent="0.3">
      <c r="A3056" s="3">
        <v>46252.426099537042</v>
      </c>
      <c r="B3056" s="1">
        <v>2.11</v>
      </c>
      <c r="C3056" s="1">
        <v>1.82</v>
      </c>
      <c r="D3056" s="1">
        <v>0.35</v>
      </c>
      <c r="E3056" s="1" t="s">
        <v>113</v>
      </c>
      <c r="F3056" s="1" t="s">
        <v>113</v>
      </c>
      <c r="G3056" s="1" t="s">
        <v>113</v>
      </c>
      <c r="H3056" s="1" t="str">
        <f>VLOOKUP(F3056,Countries!$A$1:$B$161,2,0)</f>
        <v>United States of America</v>
      </c>
    </row>
    <row r="3057" spans="1:8" x14ac:dyDescent="0.3">
      <c r="A3057" s="3">
        <v>46252.425798611112</v>
      </c>
      <c r="B3057" s="1">
        <v>6.37</v>
      </c>
      <c r="C3057" s="1">
        <v>5.5</v>
      </c>
      <c r="D3057" s="1">
        <v>0.54</v>
      </c>
      <c r="E3057" s="1" t="s">
        <v>113</v>
      </c>
      <c r="F3057" s="1" t="s">
        <v>113</v>
      </c>
      <c r="G3057" s="1" t="s">
        <v>113</v>
      </c>
      <c r="H3057" s="1" t="str">
        <f>VLOOKUP(F3057,Countries!$A$1:$B$161,2,0)</f>
        <v>United States of America</v>
      </c>
    </row>
    <row r="3058" spans="1:8" x14ac:dyDescent="0.3">
      <c r="A3058" s="3">
        <v>46252.410358796304</v>
      </c>
      <c r="B3058" s="1">
        <v>70.239999999999995</v>
      </c>
      <c r="C3058" s="1">
        <v>60.68</v>
      </c>
      <c r="D3058" s="1">
        <v>2.37</v>
      </c>
      <c r="E3058" s="1" t="s">
        <v>120</v>
      </c>
      <c r="F3058" s="1" t="s">
        <v>120</v>
      </c>
      <c r="G3058" s="1" t="s">
        <v>120</v>
      </c>
      <c r="H3058" s="1" t="str">
        <f>VLOOKUP(F3058,Countries!$A$1:$B$161,2,0)</f>
        <v>Czech Republic</v>
      </c>
    </row>
    <row r="3059" spans="1:8" x14ac:dyDescent="0.3">
      <c r="A3059" s="3">
        <v>46252.401134259257</v>
      </c>
      <c r="B3059" s="1">
        <v>70.239999999999995</v>
      </c>
      <c r="C3059" s="1">
        <v>60.68</v>
      </c>
      <c r="D3059" s="1">
        <v>2.37</v>
      </c>
      <c r="E3059" s="1" t="s">
        <v>120</v>
      </c>
      <c r="F3059" s="1" t="s">
        <v>120</v>
      </c>
      <c r="G3059" s="1" t="s">
        <v>120</v>
      </c>
      <c r="H3059" s="1" t="str">
        <f>VLOOKUP(F3059,Countries!$A$1:$B$161,2,0)</f>
        <v>Czech Republic</v>
      </c>
    </row>
    <row r="3060" spans="1:8" x14ac:dyDescent="0.3">
      <c r="A3060" s="3">
        <v>46252.395277777781</v>
      </c>
      <c r="B3060" s="1">
        <v>70.239999999999995</v>
      </c>
      <c r="C3060" s="1">
        <v>60.68</v>
      </c>
      <c r="D3060" s="1">
        <v>2.37</v>
      </c>
      <c r="E3060" s="1" t="s">
        <v>120</v>
      </c>
      <c r="F3060" s="1" t="s">
        <v>120</v>
      </c>
      <c r="G3060" s="1" t="s">
        <v>120</v>
      </c>
      <c r="H3060" s="1" t="str">
        <f>VLOOKUP(F3060,Countries!$A$1:$B$161,2,0)</f>
        <v>Czech Republic</v>
      </c>
    </row>
    <row r="3061" spans="1:8" x14ac:dyDescent="0.3">
      <c r="A3061" s="3">
        <v>46252.395162037043</v>
      </c>
      <c r="B3061" s="1">
        <v>6.3</v>
      </c>
      <c r="C3061" s="1">
        <v>5.44</v>
      </c>
      <c r="D3061" s="1">
        <v>0.54</v>
      </c>
      <c r="E3061" s="1" t="s">
        <v>132</v>
      </c>
      <c r="F3061" s="1" t="s">
        <v>132</v>
      </c>
      <c r="G3061" s="1" t="s">
        <v>132</v>
      </c>
      <c r="H3061" s="1" t="str">
        <f>VLOOKUP(F3061,Countries!$A$1:$B$161,2,0)</f>
        <v>Canada</v>
      </c>
    </row>
    <row r="3062" spans="1:8" x14ac:dyDescent="0.3">
      <c r="A3062" s="3">
        <v>46252.390046296299</v>
      </c>
      <c r="B3062" s="1">
        <v>21.11</v>
      </c>
      <c r="C3062" s="1">
        <v>18.239999999999998</v>
      </c>
      <c r="D3062" s="1">
        <v>0.88</v>
      </c>
      <c r="E3062" s="1" t="s">
        <v>116</v>
      </c>
      <c r="F3062" s="1" t="s">
        <v>116</v>
      </c>
      <c r="G3062" s="1" t="s">
        <v>116</v>
      </c>
      <c r="H3062" s="1" t="str">
        <f>VLOOKUP(F3062,Countries!$A$1:$B$161,2,0)</f>
        <v>Spain</v>
      </c>
    </row>
    <row r="3063" spans="1:8" x14ac:dyDescent="0.3">
      <c r="A3063" s="3">
        <v>46252.388726851852</v>
      </c>
      <c r="B3063" s="1">
        <v>7.58</v>
      </c>
      <c r="C3063" s="1">
        <v>6.55</v>
      </c>
      <c r="D3063" s="1">
        <v>0.48</v>
      </c>
      <c r="E3063" s="1" t="s">
        <v>116</v>
      </c>
      <c r="F3063" s="1" t="s">
        <v>116</v>
      </c>
      <c r="G3063" s="1" t="s">
        <v>116</v>
      </c>
      <c r="H3063" s="1" t="str">
        <f>VLOOKUP(F3063,Countries!$A$1:$B$161,2,0)</f>
        <v>Spain</v>
      </c>
    </row>
    <row r="3064" spans="1:8" x14ac:dyDescent="0.3">
      <c r="A3064" s="3">
        <v>46252.386064814818</v>
      </c>
      <c r="B3064" s="1">
        <v>70.239999999999995</v>
      </c>
      <c r="C3064" s="1">
        <v>60.68</v>
      </c>
      <c r="D3064" s="1">
        <v>2.37</v>
      </c>
      <c r="E3064" s="1" t="s">
        <v>120</v>
      </c>
      <c r="F3064" s="1" t="s">
        <v>120</v>
      </c>
      <c r="G3064" s="1" t="s">
        <v>120</v>
      </c>
      <c r="H3064" s="1" t="str">
        <f>VLOOKUP(F3064,Countries!$A$1:$B$161,2,0)</f>
        <v>Czech Republic</v>
      </c>
    </row>
    <row r="3065" spans="1:8" x14ac:dyDescent="0.3">
      <c r="A3065" s="3">
        <v>46252.380636574067</v>
      </c>
      <c r="B3065" s="1">
        <v>12.33</v>
      </c>
      <c r="C3065" s="1">
        <v>10.65</v>
      </c>
      <c r="D3065" s="1">
        <v>0.62</v>
      </c>
      <c r="E3065" s="1" t="s">
        <v>159</v>
      </c>
      <c r="F3065" s="1" t="s">
        <v>159</v>
      </c>
      <c r="G3065" s="1" t="s">
        <v>159</v>
      </c>
      <c r="H3065" s="1" t="str">
        <f>VLOOKUP(F3065,Countries!$A$1:$B$161,2,0)</f>
        <v>Romania</v>
      </c>
    </row>
    <row r="3066" spans="1:8" x14ac:dyDescent="0.3">
      <c r="A3066" s="3">
        <v>46252.380509259259</v>
      </c>
      <c r="B3066" s="1">
        <v>17.579999999999998</v>
      </c>
      <c r="C3066" s="1">
        <v>15.19</v>
      </c>
      <c r="D3066" s="1">
        <v>0.78</v>
      </c>
      <c r="E3066" s="1" t="s">
        <v>120</v>
      </c>
      <c r="F3066" s="1" t="s">
        <v>120</v>
      </c>
      <c r="G3066" s="1" t="s">
        <v>120</v>
      </c>
      <c r="H3066" s="1" t="str">
        <f>VLOOKUP(F3066,Countries!$A$1:$B$161,2,0)</f>
        <v>Czech Republic</v>
      </c>
    </row>
    <row r="3067" spans="1:8" x14ac:dyDescent="0.3">
      <c r="A3067" s="3">
        <v>46252.377569444441</v>
      </c>
      <c r="B3067" s="1">
        <v>2.99</v>
      </c>
      <c r="C3067" s="1">
        <v>2.58</v>
      </c>
      <c r="D3067" s="1">
        <v>0.38</v>
      </c>
      <c r="E3067" s="1" t="s">
        <v>113</v>
      </c>
      <c r="F3067" s="1" t="s">
        <v>113</v>
      </c>
      <c r="G3067" s="1" t="s">
        <v>113</v>
      </c>
      <c r="H3067" s="1" t="str">
        <f>VLOOKUP(F3067,Countries!$A$1:$B$161,2,0)</f>
        <v>United States of America</v>
      </c>
    </row>
    <row r="3068" spans="1:8" x14ac:dyDescent="0.3">
      <c r="A3068" s="3">
        <v>46252.366701388892</v>
      </c>
      <c r="B3068" s="1">
        <v>3.18</v>
      </c>
      <c r="C3068" s="1">
        <v>2.75</v>
      </c>
      <c r="D3068" s="1">
        <v>0.4</v>
      </c>
      <c r="E3068" s="1" t="s">
        <v>113</v>
      </c>
      <c r="F3068" s="1" t="s">
        <v>113</v>
      </c>
      <c r="G3068" s="1" t="s">
        <v>113</v>
      </c>
      <c r="H3068" s="1" t="str">
        <f>VLOOKUP(F3068,Countries!$A$1:$B$161,2,0)</f>
        <v>United States of America</v>
      </c>
    </row>
    <row r="3069" spans="1:8" x14ac:dyDescent="0.3">
      <c r="A3069" s="3">
        <v>46252.365787037037</v>
      </c>
      <c r="B3069" s="1">
        <v>70.239999999999995</v>
      </c>
      <c r="C3069" s="1">
        <v>60.69</v>
      </c>
      <c r="D3069" s="1">
        <v>2.37</v>
      </c>
      <c r="E3069" s="1" t="s">
        <v>120</v>
      </c>
      <c r="F3069" s="1" t="s">
        <v>120</v>
      </c>
      <c r="G3069" s="1" t="s">
        <v>120</v>
      </c>
      <c r="H3069" s="1" t="str">
        <f>VLOOKUP(F3069,Countries!$A$1:$B$161,2,0)</f>
        <v>Czech Republic</v>
      </c>
    </row>
    <row r="3070" spans="1:8" x14ac:dyDescent="0.3">
      <c r="A3070" s="3">
        <v>46252.361157407409</v>
      </c>
      <c r="B3070" s="1">
        <v>6.37</v>
      </c>
      <c r="C3070" s="1">
        <v>5.5</v>
      </c>
      <c r="D3070" s="1">
        <v>0.54</v>
      </c>
      <c r="E3070" s="1" t="s">
        <v>131</v>
      </c>
      <c r="F3070" s="1" t="s">
        <v>131</v>
      </c>
      <c r="G3070" s="1" t="s">
        <v>131</v>
      </c>
      <c r="H3070" s="1" t="str">
        <f>VLOOKUP(F3070,Countries!$A$1:$B$161,2,0)</f>
        <v>Ukraine</v>
      </c>
    </row>
    <row r="3071" spans="1:8" x14ac:dyDescent="0.3">
      <c r="A3071" s="3">
        <v>46252.348240740743</v>
      </c>
      <c r="B3071" s="1">
        <v>7.58</v>
      </c>
      <c r="C3071" s="1">
        <v>6.55</v>
      </c>
      <c r="D3071" s="1">
        <v>0.48</v>
      </c>
      <c r="E3071" s="1" t="s">
        <v>116</v>
      </c>
      <c r="F3071" s="1" t="s">
        <v>116</v>
      </c>
      <c r="G3071" s="1" t="s">
        <v>116</v>
      </c>
      <c r="H3071" s="1" t="str">
        <f>VLOOKUP(F3071,Countries!$A$1:$B$161,2,0)</f>
        <v>Spain</v>
      </c>
    </row>
    <row r="3072" spans="1:8" x14ac:dyDescent="0.3">
      <c r="A3072" s="3">
        <v>46252.340925925928</v>
      </c>
      <c r="B3072" s="1">
        <v>1.99</v>
      </c>
      <c r="C3072" s="1">
        <v>1.72</v>
      </c>
      <c r="D3072" s="1">
        <v>0.34</v>
      </c>
      <c r="E3072" s="1" t="s">
        <v>121</v>
      </c>
      <c r="F3072" s="1" t="s">
        <v>121</v>
      </c>
      <c r="G3072" s="1" t="s">
        <v>121</v>
      </c>
      <c r="H3072" s="1" t="str">
        <f>VLOOKUP(F3072,Countries!$A$1:$B$161,2,0)</f>
        <v>Japan</v>
      </c>
    </row>
    <row r="3073" spans="1:8" x14ac:dyDescent="0.3">
      <c r="A3073" s="3">
        <v>46252.333472222221</v>
      </c>
      <c r="B3073" s="1">
        <v>6.37</v>
      </c>
      <c r="C3073" s="1">
        <v>5.5</v>
      </c>
      <c r="D3073" s="1">
        <v>0.54</v>
      </c>
      <c r="E3073" s="1" t="s">
        <v>113</v>
      </c>
      <c r="F3073" s="1" t="s">
        <v>113</v>
      </c>
      <c r="G3073" s="1" t="s">
        <v>113</v>
      </c>
      <c r="H3073" s="1" t="str">
        <f>VLOOKUP(F3073,Countries!$A$1:$B$161,2,0)</f>
        <v>United States of America</v>
      </c>
    </row>
    <row r="3074" spans="1:8" x14ac:dyDescent="0.3">
      <c r="A3074" s="3">
        <v>46252.325069444443</v>
      </c>
      <c r="B3074" s="1">
        <v>6.37</v>
      </c>
      <c r="C3074" s="1">
        <v>5.5</v>
      </c>
      <c r="D3074" s="1">
        <v>0.54</v>
      </c>
      <c r="E3074" s="1" t="s">
        <v>113</v>
      </c>
      <c r="F3074" s="1" t="s">
        <v>113</v>
      </c>
      <c r="G3074" s="1" t="s">
        <v>113</v>
      </c>
      <c r="H3074" s="1" t="str">
        <f>VLOOKUP(F3074,Countries!$A$1:$B$161,2,0)</f>
        <v>United States of America</v>
      </c>
    </row>
    <row r="3075" spans="1:8" x14ac:dyDescent="0.3">
      <c r="A3075" s="3">
        <v>46252.320428240739</v>
      </c>
      <c r="B3075" s="1">
        <v>7.48</v>
      </c>
      <c r="C3075" s="1">
        <v>6.46</v>
      </c>
      <c r="D3075" s="1">
        <v>0.54</v>
      </c>
      <c r="E3075" s="1" t="s">
        <v>119</v>
      </c>
      <c r="F3075" s="1" t="s">
        <v>119</v>
      </c>
      <c r="G3075" s="1" t="s">
        <v>119</v>
      </c>
      <c r="H3075" s="1" t="str">
        <f>VLOOKUP(F3075,Countries!$A$1:$B$161,2,0)</f>
        <v>Great Britain (United Kingdom)</v>
      </c>
    </row>
    <row r="3076" spans="1:8" x14ac:dyDescent="0.3">
      <c r="A3076" s="3">
        <v>46252.308969907397</v>
      </c>
      <c r="B3076" s="1">
        <v>6.37</v>
      </c>
      <c r="C3076" s="1">
        <v>5.5</v>
      </c>
      <c r="D3076" s="1">
        <v>0.54</v>
      </c>
      <c r="E3076" s="1" t="s">
        <v>113</v>
      </c>
      <c r="F3076" s="1" t="s">
        <v>113</v>
      </c>
      <c r="G3076" s="1" t="s">
        <v>113</v>
      </c>
      <c r="H3076" s="1" t="str">
        <f>VLOOKUP(F3076,Countries!$A$1:$B$161,2,0)</f>
        <v>United States of America</v>
      </c>
    </row>
    <row r="3077" spans="1:8" x14ac:dyDescent="0.3">
      <c r="A3077" s="3">
        <v>46252.303483796299</v>
      </c>
      <c r="B3077" s="1">
        <v>21.37</v>
      </c>
      <c r="C3077" s="1">
        <v>18.47</v>
      </c>
      <c r="D3077" s="1">
        <v>0.9</v>
      </c>
      <c r="E3077" s="1" t="s">
        <v>116</v>
      </c>
      <c r="F3077" s="1" t="s">
        <v>116</v>
      </c>
      <c r="G3077" s="1" t="s">
        <v>116</v>
      </c>
      <c r="H3077" s="1" t="str">
        <f>VLOOKUP(F3077,Countries!$A$1:$B$161,2,0)</f>
        <v>Spain</v>
      </c>
    </row>
    <row r="3078" spans="1:8" x14ac:dyDescent="0.3">
      <c r="A3078" s="3">
        <v>46252.302337962959</v>
      </c>
      <c r="B3078" s="1">
        <v>21.39</v>
      </c>
      <c r="C3078" s="1">
        <v>18.489999999999998</v>
      </c>
      <c r="D3078" s="1">
        <v>0.9</v>
      </c>
      <c r="E3078" s="1" t="s">
        <v>116</v>
      </c>
      <c r="F3078" s="1" t="s">
        <v>116</v>
      </c>
      <c r="G3078" s="1" t="s">
        <v>116</v>
      </c>
      <c r="H3078" s="1" t="str">
        <f>VLOOKUP(F3078,Countries!$A$1:$B$161,2,0)</f>
        <v>Spain</v>
      </c>
    </row>
    <row r="3079" spans="1:8" x14ac:dyDescent="0.3">
      <c r="A3079" s="3">
        <v>46252.302233796298</v>
      </c>
      <c r="B3079" s="1">
        <v>15.43</v>
      </c>
      <c r="C3079" s="1">
        <v>13.33</v>
      </c>
      <c r="D3079" s="1">
        <v>0.95</v>
      </c>
      <c r="E3079" s="1" t="s">
        <v>130</v>
      </c>
      <c r="F3079" s="1" t="s">
        <v>130</v>
      </c>
      <c r="G3079" s="1" t="s">
        <v>130</v>
      </c>
      <c r="H3079" s="1" t="str">
        <f>VLOOKUP(F3079,Countries!$A$1:$B$161,2,0)</f>
        <v>Australia</v>
      </c>
    </row>
    <row r="3080" spans="1:8" x14ac:dyDescent="0.3">
      <c r="A3080" s="3">
        <v>46252.300011574072</v>
      </c>
      <c r="B3080" s="1">
        <v>26.59</v>
      </c>
      <c r="C3080" s="1">
        <v>22.98</v>
      </c>
      <c r="D3080" s="1">
        <v>1.46</v>
      </c>
      <c r="E3080" s="1" t="s">
        <v>113</v>
      </c>
      <c r="F3080" s="1" t="s">
        <v>113</v>
      </c>
      <c r="G3080" s="1" t="s">
        <v>113</v>
      </c>
      <c r="H3080" s="1" t="str">
        <f>VLOOKUP(F3080,Countries!$A$1:$B$161,2,0)</f>
        <v>United States of America</v>
      </c>
    </row>
    <row r="3081" spans="1:8" x14ac:dyDescent="0.3">
      <c r="A3081" s="3">
        <v>46252.298981481479</v>
      </c>
      <c r="B3081" s="1">
        <v>10.62</v>
      </c>
      <c r="C3081" s="1">
        <v>9.18</v>
      </c>
      <c r="D3081" s="1">
        <v>0.73</v>
      </c>
      <c r="E3081" s="1" t="s">
        <v>113</v>
      </c>
      <c r="F3081" s="1" t="s">
        <v>113</v>
      </c>
      <c r="G3081" s="1" t="s">
        <v>113</v>
      </c>
      <c r="H3081" s="1" t="str">
        <f>VLOOKUP(F3081,Countries!$A$1:$B$161,2,0)</f>
        <v>United States of America</v>
      </c>
    </row>
    <row r="3082" spans="1:8" x14ac:dyDescent="0.3">
      <c r="A3082" s="3">
        <v>46252.295543981483</v>
      </c>
      <c r="B3082" s="1">
        <v>2.99</v>
      </c>
      <c r="C3082" s="1">
        <v>2.58</v>
      </c>
      <c r="D3082" s="1">
        <v>0.38</v>
      </c>
      <c r="E3082" s="1" t="s">
        <v>114</v>
      </c>
      <c r="F3082" s="1" t="s">
        <v>114</v>
      </c>
      <c r="G3082" s="1" t="s">
        <v>114</v>
      </c>
      <c r="H3082" s="1" t="str">
        <f>VLOOKUP(F3082,Countries!$A$1:$B$161,2,0)</f>
        <v>Philippines</v>
      </c>
    </row>
    <row r="3083" spans="1:8" x14ac:dyDescent="0.3">
      <c r="A3083" s="3">
        <v>46252.293078703697</v>
      </c>
      <c r="B3083" s="1">
        <v>6.37</v>
      </c>
      <c r="C3083" s="1">
        <v>5.5</v>
      </c>
      <c r="D3083" s="1">
        <v>0.54</v>
      </c>
      <c r="E3083" s="1" t="s">
        <v>113</v>
      </c>
      <c r="F3083" s="1" t="s">
        <v>113</v>
      </c>
      <c r="G3083" s="1" t="s">
        <v>113</v>
      </c>
      <c r="H3083" s="1" t="str">
        <f>VLOOKUP(F3083,Countries!$A$1:$B$161,2,0)</f>
        <v>United States of America</v>
      </c>
    </row>
    <row r="3084" spans="1:8" x14ac:dyDescent="0.3">
      <c r="A3084" s="3">
        <v>46252.292083333326</v>
      </c>
      <c r="B3084" s="1">
        <v>6.65</v>
      </c>
      <c r="C3084" s="1">
        <v>5.75</v>
      </c>
      <c r="D3084" s="1">
        <v>0.56000000000000005</v>
      </c>
      <c r="E3084" s="1" t="s">
        <v>121</v>
      </c>
      <c r="F3084" s="1" t="s">
        <v>121</v>
      </c>
      <c r="G3084" s="1" t="s">
        <v>121</v>
      </c>
      <c r="H3084" s="1" t="str">
        <f>VLOOKUP(F3084,Countries!$A$1:$B$161,2,0)</f>
        <v>Japan</v>
      </c>
    </row>
    <row r="3085" spans="1:8" x14ac:dyDescent="0.3">
      <c r="A3085" s="3">
        <v>46252.291516203702</v>
      </c>
      <c r="B3085" s="1">
        <v>38.61</v>
      </c>
      <c r="C3085" s="1">
        <v>33.36</v>
      </c>
      <c r="D3085" s="1">
        <v>2</v>
      </c>
      <c r="E3085" s="1" t="s">
        <v>130</v>
      </c>
      <c r="F3085" s="1" t="s">
        <v>130</v>
      </c>
      <c r="G3085" s="1" t="s">
        <v>130</v>
      </c>
      <c r="H3085" s="1" t="str">
        <f>VLOOKUP(F3085,Countries!$A$1:$B$161,2,0)</f>
        <v>Australia</v>
      </c>
    </row>
    <row r="3086" spans="1:8" x14ac:dyDescent="0.3">
      <c r="A3086" s="3">
        <v>46252.289085648154</v>
      </c>
      <c r="B3086" s="1">
        <v>15.43</v>
      </c>
      <c r="C3086" s="1">
        <v>13.33</v>
      </c>
      <c r="D3086" s="1">
        <v>0.95</v>
      </c>
      <c r="E3086" s="1" t="s">
        <v>130</v>
      </c>
      <c r="F3086" s="1" t="s">
        <v>130</v>
      </c>
      <c r="G3086" s="1" t="s">
        <v>130</v>
      </c>
      <c r="H3086" s="1" t="str">
        <f>VLOOKUP(F3086,Countries!$A$1:$B$161,2,0)</f>
        <v>Australia</v>
      </c>
    </row>
    <row r="3087" spans="1:8" x14ac:dyDescent="0.3">
      <c r="A3087" s="3">
        <v>46252.28634259259</v>
      </c>
      <c r="B3087" s="1">
        <v>6.37</v>
      </c>
      <c r="C3087" s="1">
        <v>5.5</v>
      </c>
      <c r="D3087" s="1">
        <v>0.54</v>
      </c>
      <c r="E3087" s="1" t="s">
        <v>113</v>
      </c>
      <c r="F3087" s="1" t="s">
        <v>113</v>
      </c>
      <c r="G3087" s="1" t="s">
        <v>113</v>
      </c>
      <c r="H3087" s="1" t="str">
        <f>VLOOKUP(F3087,Countries!$A$1:$B$161,2,0)</f>
        <v>United States of America</v>
      </c>
    </row>
    <row r="3088" spans="1:8" x14ac:dyDescent="0.3">
      <c r="A3088" s="3">
        <v>46252.280497685177</v>
      </c>
      <c r="B3088" s="1">
        <v>15.43</v>
      </c>
      <c r="C3088" s="1">
        <v>13.33</v>
      </c>
      <c r="D3088" s="1">
        <v>0.95</v>
      </c>
      <c r="E3088" s="1" t="s">
        <v>130</v>
      </c>
      <c r="F3088" s="1" t="s">
        <v>130</v>
      </c>
      <c r="G3088" s="1" t="s">
        <v>130</v>
      </c>
      <c r="H3088" s="1" t="str">
        <f>VLOOKUP(F3088,Countries!$A$1:$B$161,2,0)</f>
        <v>Australia</v>
      </c>
    </row>
    <row r="3089" spans="1:8" x14ac:dyDescent="0.3">
      <c r="A3089" s="3">
        <v>46252.274143518523</v>
      </c>
      <c r="B3089" s="1">
        <v>15.43</v>
      </c>
      <c r="C3089" s="1">
        <v>13.33</v>
      </c>
      <c r="D3089" s="1">
        <v>0.95</v>
      </c>
      <c r="E3089" s="1" t="s">
        <v>130</v>
      </c>
      <c r="F3089" s="1" t="s">
        <v>130</v>
      </c>
      <c r="G3089" s="1" t="s">
        <v>130</v>
      </c>
      <c r="H3089" s="1" t="str">
        <f>VLOOKUP(F3089,Countries!$A$1:$B$161,2,0)</f>
        <v>Australia</v>
      </c>
    </row>
    <row r="3090" spans="1:8" x14ac:dyDescent="0.3">
      <c r="A3090" s="3">
        <v>46252.267743055563</v>
      </c>
      <c r="B3090" s="1">
        <v>15.43</v>
      </c>
      <c r="C3090" s="1">
        <v>13.33</v>
      </c>
      <c r="D3090" s="1">
        <v>0.95</v>
      </c>
      <c r="E3090" s="1" t="s">
        <v>130</v>
      </c>
      <c r="F3090" s="1" t="s">
        <v>130</v>
      </c>
      <c r="G3090" s="1" t="s">
        <v>130</v>
      </c>
      <c r="H3090" s="1" t="str">
        <f>VLOOKUP(F3090,Countries!$A$1:$B$161,2,0)</f>
        <v>Australia</v>
      </c>
    </row>
    <row r="3091" spans="1:8" x14ac:dyDescent="0.3">
      <c r="A3091" s="3">
        <v>46252.257210648153</v>
      </c>
      <c r="B3091" s="1">
        <v>23.16</v>
      </c>
      <c r="C3091" s="1">
        <v>20.010000000000002</v>
      </c>
      <c r="D3091" s="1">
        <v>1.3</v>
      </c>
      <c r="E3091" s="1" t="s">
        <v>130</v>
      </c>
      <c r="F3091" s="1" t="s">
        <v>130</v>
      </c>
      <c r="G3091" s="1" t="s">
        <v>130</v>
      </c>
      <c r="H3091" s="1" t="str">
        <f>VLOOKUP(F3091,Countries!$A$1:$B$161,2,0)</f>
        <v>Australia</v>
      </c>
    </row>
    <row r="3092" spans="1:8" x14ac:dyDescent="0.3">
      <c r="A3092" s="3">
        <v>46252.256018518521</v>
      </c>
      <c r="B3092" s="1">
        <v>0.99</v>
      </c>
      <c r="C3092" s="1">
        <v>0.86</v>
      </c>
      <c r="D3092" s="1">
        <v>0.28000000000000003</v>
      </c>
      <c r="E3092" s="1" t="s">
        <v>151</v>
      </c>
      <c r="F3092" s="1" t="s">
        <v>151</v>
      </c>
      <c r="G3092" s="1" t="s">
        <v>151</v>
      </c>
      <c r="H3092" s="1" t="str">
        <f>VLOOKUP(F3092,Countries!$A$1:$B$161,2,0)</f>
        <v>Netherlands (Holland)</v>
      </c>
    </row>
    <row r="3093" spans="1:8" x14ac:dyDescent="0.3">
      <c r="A3093" s="3">
        <v>46252.255543981482</v>
      </c>
      <c r="B3093" s="1">
        <v>3.18</v>
      </c>
      <c r="C3093" s="1">
        <v>2.75</v>
      </c>
      <c r="D3093" s="1">
        <v>0.4</v>
      </c>
      <c r="E3093" s="1" t="s">
        <v>113</v>
      </c>
      <c r="F3093" s="1" t="s">
        <v>113</v>
      </c>
      <c r="G3093" s="1" t="s">
        <v>113</v>
      </c>
      <c r="H3093" s="1" t="str">
        <f>VLOOKUP(F3093,Countries!$A$1:$B$161,2,0)</f>
        <v>United States of America</v>
      </c>
    </row>
    <row r="3094" spans="1:8" x14ac:dyDescent="0.3">
      <c r="A3094" s="3">
        <v>46252.239803240736</v>
      </c>
      <c r="B3094" s="1">
        <v>14.77</v>
      </c>
      <c r="C3094" s="1">
        <v>12.76</v>
      </c>
      <c r="D3094" s="1">
        <v>0.92</v>
      </c>
      <c r="E3094" s="1" t="s">
        <v>113</v>
      </c>
      <c r="F3094" s="1" t="s">
        <v>113</v>
      </c>
      <c r="G3094" s="1" t="s">
        <v>113</v>
      </c>
      <c r="H3094" s="1" t="str">
        <f>VLOOKUP(F3094,Countries!$A$1:$B$161,2,0)</f>
        <v>United States of America</v>
      </c>
    </row>
    <row r="3095" spans="1:8" x14ac:dyDescent="0.3">
      <c r="A3095" s="3">
        <v>46252.237858796303</v>
      </c>
      <c r="B3095" s="1">
        <v>7.48</v>
      </c>
      <c r="C3095" s="1">
        <v>6.46</v>
      </c>
      <c r="D3095" s="1">
        <v>0.48</v>
      </c>
      <c r="E3095" s="1" t="s">
        <v>123</v>
      </c>
      <c r="F3095" s="1" t="s">
        <v>123</v>
      </c>
      <c r="G3095" s="1" t="s">
        <v>123</v>
      </c>
      <c r="H3095" s="1" t="str">
        <f>VLOOKUP(F3095,Countries!$A$1:$B$161,2,0)</f>
        <v>France</v>
      </c>
    </row>
    <row r="3096" spans="1:8" x14ac:dyDescent="0.3">
      <c r="A3096" s="3">
        <v>46252.228692129633</v>
      </c>
      <c r="B3096" s="1">
        <v>2.99</v>
      </c>
      <c r="C3096" s="1">
        <v>2.58</v>
      </c>
      <c r="D3096" s="1">
        <v>0.34</v>
      </c>
      <c r="E3096" s="1" t="s">
        <v>116</v>
      </c>
      <c r="F3096" s="1" t="s">
        <v>116</v>
      </c>
      <c r="G3096" s="1" t="s">
        <v>116</v>
      </c>
      <c r="H3096" s="1" t="str">
        <f>VLOOKUP(F3096,Countries!$A$1:$B$161,2,0)</f>
        <v>Spain</v>
      </c>
    </row>
    <row r="3097" spans="1:8" x14ac:dyDescent="0.3">
      <c r="A3097" s="3">
        <v>46252.224108796298</v>
      </c>
      <c r="B3097" s="1">
        <v>12.98</v>
      </c>
      <c r="C3097" s="1">
        <v>11.22</v>
      </c>
      <c r="D3097" s="1">
        <v>0.64</v>
      </c>
      <c r="E3097" s="1" t="s">
        <v>113</v>
      </c>
      <c r="F3097" s="1" t="s">
        <v>113</v>
      </c>
      <c r="G3097" s="1" t="s">
        <v>113</v>
      </c>
      <c r="H3097" s="1" t="str">
        <f>VLOOKUP(F3097,Countries!$A$1:$B$161,2,0)</f>
        <v>United States of America</v>
      </c>
    </row>
    <row r="3098" spans="1:8" x14ac:dyDescent="0.3">
      <c r="A3098" s="3">
        <v>46252.217002314806</v>
      </c>
      <c r="B3098" s="1">
        <v>0.99</v>
      </c>
      <c r="C3098" s="1">
        <v>0.86</v>
      </c>
      <c r="D3098" s="1">
        <v>0.3</v>
      </c>
      <c r="E3098" s="1" t="s">
        <v>113</v>
      </c>
      <c r="F3098" s="1" t="s">
        <v>113</v>
      </c>
      <c r="G3098" s="1" t="s">
        <v>113</v>
      </c>
      <c r="H3098" s="1" t="str">
        <f>VLOOKUP(F3098,Countries!$A$1:$B$161,2,0)</f>
        <v>United States of America</v>
      </c>
    </row>
    <row r="3099" spans="1:8" x14ac:dyDescent="0.3">
      <c r="A3099" s="3">
        <v>46252.216053240743</v>
      </c>
      <c r="B3099" s="1">
        <v>12.97</v>
      </c>
      <c r="C3099" s="1">
        <v>11.21</v>
      </c>
      <c r="D3099" s="1">
        <v>0.64</v>
      </c>
      <c r="E3099" s="1" t="s">
        <v>113</v>
      </c>
      <c r="F3099" s="1" t="s">
        <v>113</v>
      </c>
      <c r="G3099" s="1" t="s">
        <v>113</v>
      </c>
      <c r="H3099" s="1" t="str">
        <f>VLOOKUP(F3099,Countries!$A$1:$B$161,2,0)</f>
        <v>United States of America</v>
      </c>
    </row>
    <row r="3100" spans="1:8" x14ac:dyDescent="0.3">
      <c r="A3100" s="3">
        <v>46252.211828703701</v>
      </c>
      <c r="B3100" s="1">
        <v>6.37</v>
      </c>
      <c r="C3100" s="1">
        <v>5.5</v>
      </c>
      <c r="D3100" s="1">
        <v>0.54</v>
      </c>
      <c r="E3100" s="1" t="s">
        <v>113</v>
      </c>
      <c r="F3100" s="1" t="s">
        <v>113</v>
      </c>
      <c r="G3100" s="1" t="s">
        <v>113</v>
      </c>
      <c r="H3100" s="1" t="str">
        <f>VLOOKUP(F3100,Countries!$A$1:$B$161,2,0)</f>
        <v>United States of America</v>
      </c>
    </row>
    <row r="3101" spans="1:8" x14ac:dyDescent="0.3">
      <c r="A3101" s="3">
        <v>46252.211365740739</v>
      </c>
      <c r="B3101" s="1">
        <v>12.98</v>
      </c>
      <c r="C3101" s="1">
        <v>11.22</v>
      </c>
      <c r="D3101" s="1">
        <v>0.64</v>
      </c>
      <c r="E3101" s="1" t="s">
        <v>113</v>
      </c>
      <c r="F3101" s="1" t="s">
        <v>113</v>
      </c>
      <c r="G3101" s="1" t="s">
        <v>113</v>
      </c>
      <c r="H3101" s="1" t="str">
        <f>VLOOKUP(F3101,Countries!$A$1:$B$161,2,0)</f>
        <v>United States of America</v>
      </c>
    </row>
    <row r="3102" spans="1:8" x14ac:dyDescent="0.3">
      <c r="A3102" s="3">
        <v>46252.21025462963</v>
      </c>
      <c r="B3102" s="1">
        <v>61.65</v>
      </c>
      <c r="C3102" s="1">
        <v>53.27</v>
      </c>
      <c r="D3102" s="1">
        <v>3.05</v>
      </c>
      <c r="E3102" s="1" t="s">
        <v>130</v>
      </c>
      <c r="F3102" s="1" t="s">
        <v>130</v>
      </c>
      <c r="G3102" s="1" t="s">
        <v>130</v>
      </c>
      <c r="H3102" s="1" t="str">
        <f>VLOOKUP(F3102,Countries!$A$1:$B$161,2,0)</f>
        <v>Australia</v>
      </c>
    </row>
    <row r="3103" spans="1:8" x14ac:dyDescent="0.3">
      <c r="A3103" s="3">
        <v>46252.204039351847</v>
      </c>
      <c r="B3103" s="1">
        <v>147.87</v>
      </c>
      <c r="C3103" s="1">
        <v>127.77</v>
      </c>
      <c r="D3103" s="1">
        <v>6.96</v>
      </c>
      <c r="E3103" s="1" t="s">
        <v>113</v>
      </c>
      <c r="F3103" s="1" t="s">
        <v>113</v>
      </c>
      <c r="G3103" s="1" t="s">
        <v>113</v>
      </c>
      <c r="H3103" s="1" t="str">
        <f>VLOOKUP(F3103,Countries!$A$1:$B$161,2,0)</f>
        <v>United States of America</v>
      </c>
    </row>
    <row r="3104" spans="1:8" x14ac:dyDescent="0.3">
      <c r="A3104" s="3">
        <v>46252.201597222222</v>
      </c>
      <c r="B3104" s="1">
        <v>225.64</v>
      </c>
      <c r="C3104" s="1">
        <v>194.97</v>
      </c>
      <c r="D3104" s="1">
        <v>7.07</v>
      </c>
      <c r="E3104" s="1" t="s">
        <v>113</v>
      </c>
      <c r="F3104" s="1" t="s">
        <v>113</v>
      </c>
      <c r="G3104" s="1" t="s">
        <v>113</v>
      </c>
      <c r="H3104" s="1" t="str">
        <f>VLOOKUP(F3104,Countries!$A$1:$B$161,2,0)</f>
        <v>United States of America</v>
      </c>
    </row>
    <row r="3105" spans="1:8" x14ac:dyDescent="0.3">
      <c r="A3105" s="3">
        <v>46252.200891203713</v>
      </c>
      <c r="B3105" s="1">
        <v>12.97</v>
      </c>
      <c r="C3105" s="1">
        <v>11.21</v>
      </c>
      <c r="D3105" s="1">
        <v>0.64</v>
      </c>
      <c r="E3105" s="1" t="s">
        <v>113</v>
      </c>
      <c r="F3105" s="1" t="s">
        <v>113</v>
      </c>
      <c r="G3105" s="1" t="s">
        <v>113</v>
      </c>
      <c r="H3105" s="1" t="str">
        <f>VLOOKUP(F3105,Countries!$A$1:$B$161,2,0)</f>
        <v>United States of America</v>
      </c>
    </row>
    <row r="3106" spans="1:8" x14ac:dyDescent="0.3">
      <c r="A3106" s="3">
        <v>46252.199733796297</v>
      </c>
      <c r="B3106" s="1">
        <v>6.37</v>
      </c>
      <c r="C3106" s="1">
        <v>5.5</v>
      </c>
      <c r="D3106" s="1">
        <v>0.54</v>
      </c>
      <c r="E3106" s="1" t="s">
        <v>113</v>
      </c>
      <c r="F3106" s="1" t="s">
        <v>113</v>
      </c>
      <c r="G3106" s="1" t="s">
        <v>113</v>
      </c>
      <c r="H3106" s="1" t="str">
        <f>VLOOKUP(F3106,Countries!$A$1:$B$161,2,0)</f>
        <v>United States of America</v>
      </c>
    </row>
    <row r="3107" spans="1:8" x14ac:dyDescent="0.3">
      <c r="A3107" s="3">
        <v>46252.19771990741</v>
      </c>
      <c r="B3107" s="1">
        <v>45.45</v>
      </c>
      <c r="C3107" s="1">
        <v>39.270000000000003</v>
      </c>
      <c r="D3107" s="1">
        <v>1.63</v>
      </c>
      <c r="E3107" s="1" t="s">
        <v>113</v>
      </c>
      <c r="F3107" s="1" t="s">
        <v>113</v>
      </c>
      <c r="G3107" s="1" t="s">
        <v>113</v>
      </c>
      <c r="H3107" s="1" t="str">
        <f>VLOOKUP(F3107,Countries!$A$1:$B$161,2,0)</f>
        <v>United States of America</v>
      </c>
    </row>
    <row r="3108" spans="1:8" x14ac:dyDescent="0.3">
      <c r="A3108" s="3">
        <v>46252.1953587963</v>
      </c>
      <c r="B3108" s="1">
        <v>6.37</v>
      </c>
      <c r="C3108" s="1">
        <v>5.5</v>
      </c>
      <c r="D3108" s="1">
        <v>0.54</v>
      </c>
      <c r="E3108" s="1" t="s">
        <v>183</v>
      </c>
      <c r="F3108" s="1" t="s">
        <v>183</v>
      </c>
      <c r="G3108" s="1" t="s">
        <v>183</v>
      </c>
      <c r="H3108" s="1" t="str">
        <f>VLOOKUP(F3108,Countries!$A$1:$B$161,2,0)</f>
        <v>Malaysia</v>
      </c>
    </row>
    <row r="3109" spans="1:8" x14ac:dyDescent="0.3">
      <c r="A3109" s="3">
        <v>46252.194861111107</v>
      </c>
      <c r="B3109" s="1">
        <v>45.45</v>
      </c>
      <c r="C3109" s="1">
        <v>39.270000000000003</v>
      </c>
      <c r="D3109" s="1">
        <v>1.63</v>
      </c>
      <c r="E3109" s="1" t="s">
        <v>113</v>
      </c>
      <c r="F3109" s="1" t="s">
        <v>113</v>
      </c>
      <c r="G3109" s="1" t="s">
        <v>113</v>
      </c>
      <c r="H3109" s="1" t="str">
        <f>VLOOKUP(F3109,Countries!$A$1:$B$161,2,0)</f>
        <v>United States of America</v>
      </c>
    </row>
    <row r="3110" spans="1:8" x14ac:dyDescent="0.3">
      <c r="A3110" s="3">
        <v>46252.193564814806</v>
      </c>
      <c r="B3110" s="1">
        <v>45.12</v>
      </c>
      <c r="C3110" s="1">
        <v>38.99</v>
      </c>
      <c r="D3110" s="1">
        <v>1.61</v>
      </c>
      <c r="E3110" s="1" t="s">
        <v>113</v>
      </c>
      <c r="F3110" s="1" t="s">
        <v>113</v>
      </c>
      <c r="G3110" s="1" t="s">
        <v>113</v>
      </c>
      <c r="H3110" s="1" t="str">
        <f>VLOOKUP(F3110,Countries!$A$1:$B$161,2,0)</f>
        <v>United States of America</v>
      </c>
    </row>
    <row r="3111" spans="1:8" x14ac:dyDescent="0.3">
      <c r="A3111" s="3">
        <v>46252.192986111113</v>
      </c>
      <c r="B3111" s="1">
        <v>12.98</v>
      </c>
      <c r="C3111" s="1">
        <v>11.22</v>
      </c>
      <c r="D3111" s="1">
        <v>0.64</v>
      </c>
      <c r="E3111" s="1" t="s">
        <v>113</v>
      </c>
      <c r="F3111" s="1" t="s">
        <v>113</v>
      </c>
      <c r="G3111" s="1" t="s">
        <v>113</v>
      </c>
      <c r="H3111" s="1" t="str">
        <f>VLOOKUP(F3111,Countries!$A$1:$B$161,2,0)</f>
        <v>United States of America</v>
      </c>
    </row>
    <row r="3112" spans="1:8" x14ac:dyDescent="0.3">
      <c r="A3112" s="3">
        <v>46252.188449074078</v>
      </c>
      <c r="B3112" s="1">
        <v>12.97</v>
      </c>
      <c r="C3112" s="1">
        <v>11.21</v>
      </c>
      <c r="D3112" s="1">
        <v>0.64</v>
      </c>
      <c r="E3112" s="1" t="s">
        <v>113</v>
      </c>
      <c r="F3112" s="1" t="s">
        <v>113</v>
      </c>
      <c r="G3112" s="1" t="s">
        <v>113</v>
      </c>
      <c r="H3112" s="1" t="str">
        <f>VLOOKUP(F3112,Countries!$A$1:$B$161,2,0)</f>
        <v>United States of America</v>
      </c>
    </row>
    <row r="3113" spans="1:8" x14ac:dyDescent="0.3">
      <c r="A3113" s="3">
        <v>46252.182928240742</v>
      </c>
      <c r="B3113" s="1">
        <v>1.99</v>
      </c>
      <c r="C3113" s="1">
        <v>1.72</v>
      </c>
      <c r="D3113" s="1">
        <v>0.34</v>
      </c>
      <c r="E3113" s="1" t="s">
        <v>148</v>
      </c>
      <c r="F3113" s="1" t="s">
        <v>148</v>
      </c>
      <c r="G3113" s="1" t="s">
        <v>148</v>
      </c>
      <c r="H3113" s="1" t="str">
        <f>VLOOKUP(F3113,Countries!$A$1:$B$161,2,0)</f>
        <v>Honduras</v>
      </c>
    </row>
    <row r="3114" spans="1:8" x14ac:dyDescent="0.3">
      <c r="A3114" s="3">
        <v>46252.178032407413</v>
      </c>
      <c r="B3114" s="1">
        <v>6.37</v>
      </c>
      <c r="C3114" s="1">
        <v>5.5</v>
      </c>
      <c r="D3114" s="1">
        <v>0.54</v>
      </c>
      <c r="E3114" s="1" t="s">
        <v>113</v>
      </c>
      <c r="F3114" s="1" t="s">
        <v>113</v>
      </c>
      <c r="G3114" s="1" t="s">
        <v>113</v>
      </c>
      <c r="H3114" s="1" t="str">
        <f>VLOOKUP(F3114,Countries!$A$1:$B$161,2,0)</f>
        <v>United States of America</v>
      </c>
    </row>
    <row r="3115" spans="1:8" x14ac:dyDescent="0.3">
      <c r="A3115" s="3">
        <v>46252.175520833327</v>
      </c>
      <c r="B3115" s="1">
        <v>2.11</v>
      </c>
      <c r="C3115" s="1">
        <v>1.82</v>
      </c>
      <c r="D3115" s="1">
        <v>0.35</v>
      </c>
      <c r="E3115" s="1" t="s">
        <v>113</v>
      </c>
      <c r="F3115" s="1" t="s">
        <v>113</v>
      </c>
      <c r="G3115" s="1" t="s">
        <v>113</v>
      </c>
      <c r="H3115" s="1" t="str">
        <f>VLOOKUP(F3115,Countries!$A$1:$B$161,2,0)</f>
        <v>United States of America</v>
      </c>
    </row>
    <row r="3116" spans="1:8" x14ac:dyDescent="0.3">
      <c r="A3116" s="3">
        <v>46252.170682870368</v>
      </c>
      <c r="B3116" s="1">
        <v>10.62</v>
      </c>
      <c r="C3116" s="1">
        <v>9.18</v>
      </c>
      <c r="D3116" s="1">
        <v>0.73</v>
      </c>
      <c r="E3116" s="1" t="s">
        <v>113</v>
      </c>
      <c r="F3116" s="1" t="s">
        <v>113</v>
      </c>
      <c r="G3116" s="1" t="s">
        <v>113</v>
      </c>
      <c r="H3116" s="1" t="str">
        <f>VLOOKUP(F3116,Countries!$A$1:$B$161,2,0)</f>
        <v>United States of America</v>
      </c>
    </row>
    <row r="3117" spans="1:8" x14ac:dyDescent="0.3">
      <c r="A3117" s="3">
        <v>46252.169872685183</v>
      </c>
      <c r="B3117" s="1">
        <v>61.65</v>
      </c>
      <c r="C3117" s="1">
        <v>53.27</v>
      </c>
      <c r="D3117" s="1">
        <v>3.05</v>
      </c>
      <c r="E3117" s="1" t="s">
        <v>130</v>
      </c>
      <c r="F3117" s="1" t="s">
        <v>130</v>
      </c>
      <c r="G3117" s="1" t="s">
        <v>130</v>
      </c>
      <c r="H3117" s="1" t="str">
        <f>VLOOKUP(F3117,Countries!$A$1:$B$161,2,0)</f>
        <v>Australia</v>
      </c>
    </row>
    <row r="3118" spans="1:8" x14ac:dyDescent="0.3">
      <c r="A3118" s="3">
        <v>46252.166481481479</v>
      </c>
      <c r="B3118" s="1">
        <v>12.97</v>
      </c>
      <c r="C3118" s="1">
        <v>11.2</v>
      </c>
      <c r="D3118" s="1">
        <v>0.64</v>
      </c>
      <c r="E3118" s="1" t="s">
        <v>113</v>
      </c>
      <c r="F3118" s="1" t="s">
        <v>113</v>
      </c>
      <c r="G3118" s="1" t="s">
        <v>113</v>
      </c>
      <c r="H3118" s="1" t="str">
        <f>VLOOKUP(F3118,Countries!$A$1:$B$161,2,0)</f>
        <v>United States of America</v>
      </c>
    </row>
    <row r="3119" spans="1:8" x14ac:dyDescent="0.3">
      <c r="A3119" s="3">
        <v>46252.166377314818</v>
      </c>
      <c r="B3119" s="1">
        <v>6.37</v>
      </c>
      <c r="C3119" s="1">
        <v>5.5</v>
      </c>
      <c r="D3119" s="1">
        <v>0.54</v>
      </c>
      <c r="E3119" s="1" t="s">
        <v>113</v>
      </c>
      <c r="F3119" s="1" t="s">
        <v>113</v>
      </c>
      <c r="G3119" s="1" t="s">
        <v>113</v>
      </c>
      <c r="H3119" s="1" t="str">
        <f>VLOOKUP(F3119,Countries!$A$1:$B$161,2,0)</f>
        <v>United States of America</v>
      </c>
    </row>
    <row r="3120" spans="1:8" x14ac:dyDescent="0.3">
      <c r="A3120" s="3">
        <v>46252.166064814817</v>
      </c>
      <c r="B3120" s="1">
        <v>12.64</v>
      </c>
      <c r="C3120" s="1">
        <v>10.92</v>
      </c>
      <c r="D3120" s="1">
        <v>0.63</v>
      </c>
      <c r="E3120" s="1" t="s">
        <v>116</v>
      </c>
      <c r="F3120" s="1" t="s">
        <v>116</v>
      </c>
      <c r="G3120" s="1" t="s">
        <v>116</v>
      </c>
      <c r="H3120" s="1" t="str">
        <f>VLOOKUP(F3120,Countries!$A$1:$B$161,2,0)</f>
        <v>Spain</v>
      </c>
    </row>
    <row r="3121" spans="1:8" x14ac:dyDescent="0.3">
      <c r="A3121" s="3">
        <v>46252.165810185194</v>
      </c>
      <c r="B3121" s="1">
        <v>5.99</v>
      </c>
      <c r="C3121" s="1">
        <v>5.17</v>
      </c>
      <c r="D3121" s="1">
        <v>0.52</v>
      </c>
      <c r="E3121" s="1" t="s">
        <v>135</v>
      </c>
      <c r="F3121" s="1" t="s">
        <v>135</v>
      </c>
      <c r="G3121" s="1" t="s">
        <v>135</v>
      </c>
      <c r="H3121" s="1" t="str">
        <f>VLOOKUP(F3121,Countries!$A$1:$B$161,2,0)</f>
        <v>Kuwait</v>
      </c>
    </row>
    <row r="3122" spans="1:8" x14ac:dyDescent="0.3">
      <c r="A3122" s="3">
        <v>46252.163958333331</v>
      </c>
      <c r="B3122" s="1">
        <v>8.41</v>
      </c>
      <c r="C3122" s="1">
        <v>7.26</v>
      </c>
      <c r="D3122" s="1">
        <v>0.64</v>
      </c>
      <c r="E3122" s="1" t="s">
        <v>132</v>
      </c>
      <c r="F3122" s="1" t="s">
        <v>132</v>
      </c>
      <c r="G3122" s="1" t="s">
        <v>132</v>
      </c>
      <c r="H3122" s="1" t="str">
        <f>VLOOKUP(F3122,Countries!$A$1:$B$161,2,0)</f>
        <v>Canada</v>
      </c>
    </row>
    <row r="3123" spans="1:8" x14ac:dyDescent="0.3">
      <c r="A3123" s="3">
        <v>46252.161747685182</v>
      </c>
      <c r="B3123" s="1">
        <v>30.88</v>
      </c>
      <c r="C3123" s="1">
        <v>26.67</v>
      </c>
      <c r="D3123" s="1">
        <v>1.65</v>
      </c>
      <c r="E3123" s="1" t="s">
        <v>130</v>
      </c>
      <c r="F3123" s="1" t="s">
        <v>130</v>
      </c>
      <c r="G3123" s="1" t="s">
        <v>130</v>
      </c>
      <c r="H3123" s="1" t="str">
        <f>VLOOKUP(F3123,Countries!$A$1:$B$161,2,0)</f>
        <v>Australia</v>
      </c>
    </row>
    <row r="3124" spans="1:8" x14ac:dyDescent="0.3">
      <c r="A3124" s="3">
        <v>46252.160543981481</v>
      </c>
      <c r="B3124" s="1">
        <v>7.04</v>
      </c>
      <c r="C3124" s="1">
        <v>6.08</v>
      </c>
      <c r="D3124" s="1">
        <v>0.56999999999999995</v>
      </c>
      <c r="E3124" s="1" t="s">
        <v>160</v>
      </c>
      <c r="F3124" s="1" t="s">
        <v>160</v>
      </c>
      <c r="G3124" s="1" t="s">
        <v>160</v>
      </c>
      <c r="H3124" s="1" t="str">
        <f>VLOOKUP(F3124,Countries!$A$1:$B$161,2,0)</f>
        <v>New Zealand</v>
      </c>
    </row>
    <row r="3125" spans="1:8" x14ac:dyDescent="0.3">
      <c r="A3125" s="3">
        <v>46252.154432870368</v>
      </c>
      <c r="B3125" s="1">
        <v>11.1</v>
      </c>
      <c r="C3125" s="1">
        <v>9.59</v>
      </c>
      <c r="D3125" s="1">
        <v>0.75</v>
      </c>
      <c r="E3125" s="1" t="s">
        <v>130</v>
      </c>
      <c r="F3125" s="1" t="s">
        <v>130</v>
      </c>
      <c r="G3125" s="1" t="s">
        <v>130</v>
      </c>
      <c r="H3125" s="1" t="str">
        <f>VLOOKUP(F3125,Countries!$A$1:$B$161,2,0)</f>
        <v>Australia</v>
      </c>
    </row>
    <row r="3126" spans="1:8" x14ac:dyDescent="0.3">
      <c r="A3126" s="3">
        <v>46252.153136574067</v>
      </c>
      <c r="B3126" s="1">
        <v>3.73</v>
      </c>
      <c r="C3126" s="1">
        <v>3.22</v>
      </c>
      <c r="D3126" s="1">
        <v>0.39</v>
      </c>
      <c r="E3126" s="1" t="s">
        <v>119</v>
      </c>
      <c r="F3126" s="1" t="s">
        <v>119</v>
      </c>
      <c r="G3126" s="1" t="s">
        <v>119</v>
      </c>
      <c r="H3126" s="1" t="str">
        <f>VLOOKUP(F3126,Countries!$A$1:$B$161,2,0)</f>
        <v>Great Britain (United Kingdom)</v>
      </c>
    </row>
    <row r="3127" spans="1:8" x14ac:dyDescent="0.3">
      <c r="A3127" s="3">
        <v>46252.140370370369</v>
      </c>
      <c r="B3127" s="1">
        <v>6.65</v>
      </c>
      <c r="C3127" s="1">
        <v>5.74</v>
      </c>
      <c r="D3127" s="1">
        <v>0.55000000000000004</v>
      </c>
      <c r="E3127" s="1" t="s">
        <v>130</v>
      </c>
      <c r="F3127" s="1" t="s">
        <v>130</v>
      </c>
      <c r="G3127" s="1" t="s">
        <v>130</v>
      </c>
      <c r="H3127" s="1" t="str">
        <f>VLOOKUP(F3127,Countries!$A$1:$B$161,2,0)</f>
        <v>Australia</v>
      </c>
    </row>
    <row r="3128" spans="1:8" x14ac:dyDescent="0.3">
      <c r="A3128" s="3">
        <v>46252.131435185183</v>
      </c>
      <c r="B3128" s="1">
        <v>6.37</v>
      </c>
      <c r="C3128" s="1">
        <v>5.5</v>
      </c>
      <c r="D3128" s="1">
        <v>0.54</v>
      </c>
      <c r="E3128" s="1" t="s">
        <v>113</v>
      </c>
      <c r="F3128" s="1" t="s">
        <v>113</v>
      </c>
      <c r="G3128" s="1" t="s">
        <v>113</v>
      </c>
      <c r="H3128" s="1" t="str">
        <f>VLOOKUP(F3128,Countries!$A$1:$B$161,2,0)</f>
        <v>United States of America</v>
      </c>
    </row>
    <row r="3129" spans="1:8" x14ac:dyDescent="0.3">
      <c r="A3129" s="3">
        <v>46252.1246875</v>
      </c>
      <c r="B3129" s="1">
        <v>2.99</v>
      </c>
      <c r="C3129" s="1">
        <v>2.58</v>
      </c>
      <c r="D3129" s="1">
        <v>0.38</v>
      </c>
      <c r="E3129" s="1" t="s">
        <v>113</v>
      </c>
      <c r="F3129" s="1" t="s">
        <v>163</v>
      </c>
      <c r="G3129" s="1" t="s">
        <v>163</v>
      </c>
      <c r="H3129" s="1" t="str">
        <f>VLOOKUP(F3129,Countries!$A$1:$B$161,2,0)</f>
        <v>Saudi Arabia</v>
      </c>
    </row>
    <row r="3130" spans="1:8" x14ac:dyDescent="0.3">
      <c r="A3130" s="3">
        <v>46252.119710648149</v>
      </c>
      <c r="B3130" s="1">
        <v>3.98</v>
      </c>
      <c r="C3130" s="1">
        <v>3.44</v>
      </c>
      <c r="D3130" s="1">
        <v>0.37</v>
      </c>
      <c r="E3130" s="1" t="s">
        <v>172</v>
      </c>
      <c r="F3130" s="1" t="s">
        <v>172</v>
      </c>
      <c r="G3130" s="1" t="s">
        <v>172</v>
      </c>
      <c r="H3130" s="1" t="str">
        <f>VLOOKUP(F3130,Countries!$A$1:$B$161,2,0)</f>
        <v>Croatia</v>
      </c>
    </row>
    <row r="3131" spans="1:8" x14ac:dyDescent="0.3">
      <c r="A3131" s="3">
        <v>46252.118391203701</v>
      </c>
      <c r="B3131" s="1">
        <v>6.37</v>
      </c>
      <c r="C3131" s="1">
        <v>5.5</v>
      </c>
      <c r="D3131" s="1">
        <v>0.54</v>
      </c>
      <c r="E3131" s="1" t="s">
        <v>113</v>
      </c>
      <c r="F3131" s="1" t="s">
        <v>113</v>
      </c>
      <c r="G3131" s="1" t="s">
        <v>113</v>
      </c>
      <c r="H3131" s="1" t="str">
        <f>VLOOKUP(F3131,Countries!$A$1:$B$161,2,0)</f>
        <v>United States of America</v>
      </c>
    </row>
    <row r="3132" spans="1:8" x14ac:dyDescent="0.3">
      <c r="A3132" s="3">
        <v>46252.109780092593</v>
      </c>
      <c r="B3132" s="1">
        <v>6.37</v>
      </c>
      <c r="C3132" s="1">
        <v>5.5</v>
      </c>
      <c r="D3132" s="1">
        <v>0.54</v>
      </c>
      <c r="E3132" s="1" t="s">
        <v>113</v>
      </c>
      <c r="F3132" s="1" t="s">
        <v>113</v>
      </c>
      <c r="G3132" s="1" t="s">
        <v>113</v>
      </c>
      <c r="H3132" s="1" t="str">
        <f>VLOOKUP(F3132,Countries!$A$1:$B$161,2,0)</f>
        <v>United States of America</v>
      </c>
    </row>
    <row r="3133" spans="1:8" x14ac:dyDescent="0.3">
      <c r="A3133" s="3">
        <v>46252.100983796299</v>
      </c>
      <c r="B3133" s="1">
        <v>2.99</v>
      </c>
      <c r="C3133" s="1">
        <v>2.58</v>
      </c>
      <c r="D3133" s="1">
        <v>0.38</v>
      </c>
      <c r="E3133" s="1" t="s">
        <v>113</v>
      </c>
      <c r="F3133" s="1" t="s">
        <v>113</v>
      </c>
      <c r="G3133" s="1" t="s">
        <v>113</v>
      </c>
      <c r="H3133" s="1" t="str">
        <f>VLOOKUP(F3133,Countries!$A$1:$B$161,2,0)</f>
        <v>United States of America</v>
      </c>
    </row>
    <row r="3134" spans="1:8" x14ac:dyDescent="0.3">
      <c r="A3134" s="3">
        <v>46252.098495370366</v>
      </c>
      <c r="B3134" s="1">
        <v>7.58</v>
      </c>
      <c r="C3134" s="1">
        <v>6.55</v>
      </c>
      <c r="D3134" s="1">
        <v>0.48</v>
      </c>
      <c r="E3134" s="1" t="s">
        <v>151</v>
      </c>
      <c r="F3134" s="1" t="s">
        <v>151</v>
      </c>
      <c r="G3134" s="1" t="s">
        <v>151</v>
      </c>
      <c r="H3134" s="1" t="str">
        <f>VLOOKUP(F3134,Countries!$A$1:$B$161,2,0)</f>
        <v>Netherlands (Holland)</v>
      </c>
    </row>
    <row r="3135" spans="1:8" x14ac:dyDescent="0.3">
      <c r="A3135" s="3">
        <v>46252.095902777779</v>
      </c>
      <c r="B3135" s="1">
        <v>6.37</v>
      </c>
      <c r="C3135" s="1">
        <v>5.5</v>
      </c>
      <c r="D3135" s="1">
        <v>0.54</v>
      </c>
      <c r="E3135" s="1" t="s">
        <v>113</v>
      </c>
      <c r="F3135" s="1" t="s">
        <v>113</v>
      </c>
      <c r="G3135" s="1" t="s">
        <v>113</v>
      </c>
      <c r="H3135" s="1" t="str">
        <f>VLOOKUP(F3135,Countries!$A$1:$B$161,2,0)</f>
        <v>United States of America</v>
      </c>
    </row>
    <row r="3136" spans="1:8" x14ac:dyDescent="0.3">
      <c r="A3136" s="3">
        <v>46252.095358796287</v>
      </c>
      <c r="B3136" s="1">
        <v>7.99</v>
      </c>
      <c r="C3136" s="1">
        <v>6.9</v>
      </c>
      <c r="D3136" s="1">
        <v>0.61</v>
      </c>
      <c r="E3136" s="1" t="s">
        <v>113</v>
      </c>
      <c r="F3136" s="1" t="s">
        <v>113</v>
      </c>
      <c r="G3136" s="1" t="s">
        <v>113</v>
      </c>
      <c r="H3136" s="1" t="str">
        <f>VLOOKUP(F3136,Countries!$A$1:$B$161,2,0)</f>
        <v>United States of America</v>
      </c>
    </row>
    <row r="3137" spans="1:8" x14ac:dyDescent="0.3">
      <c r="A3137" s="3">
        <v>46252.093275462961</v>
      </c>
      <c r="B3137" s="1">
        <v>7.21</v>
      </c>
      <c r="C3137" s="1">
        <v>6.23</v>
      </c>
      <c r="D3137" s="1">
        <v>0.56999999999999995</v>
      </c>
      <c r="E3137" s="1" t="s">
        <v>165</v>
      </c>
      <c r="F3137" s="1" t="s">
        <v>165</v>
      </c>
      <c r="G3137" s="1" t="s">
        <v>165</v>
      </c>
      <c r="H3137" s="1" t="str">
        <f>VLOOKUP(F3137,Countries!$A$1:$B$161,2,0)</f>
        <v>Israel</v>
      </c>
    </row>
    <row r="3138" spans="1:8" x14ac:dyDescent="0.3">
      <c r="A3138" s="3">
        <v>46252.093043981477</v>
      </c>
      <c r="B3138" s="1">
        <v>2.36</v>
      </c>
      <c r="C3138" s="1">
        <v>2.04</v>
      </c>
      <c r="D3138" s="1">
        <v>0.36</v>
      </c>
      <c r="E3138" s="1" t="s">
        <v>181</v>
      </c>
      <c r="F3138" s="1" t="s">
        <v>181</v>
      </c>
      <c r="G3138" s="1" t="s">
        <v>181</v>
      </c>
      <c r="H3138" s="1" t="str">
        <f>VLOOKUP(F3138,Countries!$A$1:$B$161,2,0)</f>
        <v>Mexico</v>
      </c>
    </row>
    <row r="3139" spans="1:8" x14ac:dyDescent="0.3">
      <c r="A3139" s="3">
        <v>46252.090439814812</v>
      </c>
      <c r="B3139" s="1">
        <v>20.76</v>
      </c>
      <c r="C3139" s="1">
        <v>17.93</v>
      </c>
      <c r="D3139" s="1">
        <v>0.88</v>
      </c>
      <c r="E3139" s="1" t="s">
        <v>113</v>
      </c>
      <c r="F3139" s="1" t="s">
        <v>113</v>
      </c>
      <c r="G3139" s="1" t="s">
        <v>113</v>
      </c>
      <c r="H3139" s="1" t="str">
        <f>VLOOKUP(F3139,Countries!$A$1:$B$161,2,0)</f>
        <v>United States of America</v>
      </c>
    </row>
    <row r="3140" spans="1:8" x14ac:dyDescent="0.3">
      <c r="A3140" s="3">
        <v>46252.084062499998</v>
      </c>
      <c r="B3140" s="1">
        <v>3.73</v>
      </c>
      <c r="C3140" s="1">
        <v>3.22</v>
      </c>
      <c r="D3140" s="1">
        <v>0.36</v>
      </c>
      <c r="E3140" s="1" t="s">
        <v>123</v>
      </c>
      <c r="F3140" s="1" t="s">
        <v>123</v>
      </c>
      <c r="G3140" s="1" t="s">
        <v>123</v>
      </c>
      <c r="H3140" s="1" t="str">
        <f>VLOOKUP(F3140,Countries!$A$1:$B$161,2,0)</f>
        <v>France</v>
      </c>
    </row>
    <row r="3141" spans="1:8" x14ac:dyDescent="0.3">
      <c r="A3141" s="3">
        <v>46252.082557870373</v>
      </c>
      <c r="B3141" s="1">
        <v>6.37</v>
      </c>
      <c r="C3141" s="1">
        <v>5.5</v>
      </c>
      <c r="D3141" s="1">
        <v>0.54</v>
      </c>
      <c r="E3141" s="1" t="s">
        <v>113</v>
      </c>
      <c r="F3141" s="1" t="s">
        <v>113</v>
      </c>
      <c r="G3141" s="1" t="s">
        <v>113</v>
      </c>
      <c r="H3141" s="1" t="str">
        <f>VLOOKUP(F3141,Countries!$A$1:$B$161,2,0)</f>
        <v>United States of America</v>
      </c>
    </row>
    <row r="3142" spans="1:8" x14ac:dyDescent="0.3">
      <c r="A3142" s="3">
        <v>46252.060995370368</v>
      </c>
      <c r="B3142" s="1">
        <v>10.62</v>
      </c>
      <c r="C3142" s="1">
        <v>9.17</v>
      </c>
      <c r="D3142" s="1">
        <v>0.73</v>
      </c>
      <c r="E3142" s="1" t="s">
        <v>113</v>
      </c>
      <c r="F3142" s="1" t="s">
        <v>113</v>
      </c>
      <c r="G3142" s="1" t="s">
        <v>113</v>
      </c>
      <c r="H3142" s="1" t="str">
        <f>VLOOKUP(F3142,Countries!$A$1:$B$161,2,0)</f>
        <v>United States of America</v>
      </c>
    </row>
    <row r="3143" spans="1:8" x14ac:dyDescent="0.3">
      <c r="A3143" s="3">
        <v>46252.054537037038</v>
      </c>
      <c r="B3143" s="1">
        <v>6.37</v>
      </c>
      <c r="C3143" s="1">
        <v>5.5</v>
      </c>
      <c r="D3143" s="1">
        <v>0.54</v>
      </c>
      <c r="E3143" s="1" t="s">
        <v>113</v>
      </c>
      <c r="F3143" s="1" t="s">
        <v>113</v>
      </c>
      <c r="G3143" s="1" t="s">
        <v>113</v>
      </c>
      <c r="H3143" s="1" t="str">
        <f>VLOOKUP(F3143,Countries!$A$1:$B$161,2,0)</f>
        <v>United States of America</v>
      </c>
    </row>
    <row r="3144" spans="1:8" x14ac:dyDescent="0.3">
      <c r="A3144" s="3">
        <v>46252.053124999999</v>
      </c>
      <c r="B3144" s="1">
        <v>8.9700000000000006</v>
      </c>
      <c r="C3144" s="1">
        <v>7.74</v>
      </c>
      <c r="D3144" s="1">
        <v>0.65</v>
      </c>
      <c r="E3144" s="1" t="s">
        <v>149</v>
      </c>
      <c r="F3144" s="1" t="s">
        <v>149</v>
      </c>
      <c r="G3144" s="1" t="s">
        <v>149</v>
      </c>
      <c r="H3144" s="1" t="str">
        <f>VLOOKUP(F3144,Countries!$A$1:$B$161,2,0)</f>
        <v>Indonesia</v>
      </c>
    </row>
    <row r="3145" spans="1:8" x14ac:dyDescent="0.3">
      <c r="A3145" s="3">
        <v>46252.050717592603</v>
      </c>
      <c r="B3145" s="1">
        <v>3.18</v>
      </c>
      <c r="C3145" s="1">
        <v>2.75</v>
      </c>
      <c r="D3145" s="1">
        <v>0.4</v>
      </c>
      <c r="E3145" s="1" t="s">
        <v>113</v>
      </c>
      <c r="F3145" s="1" t="s">
        <v>113</v>
      </c>
      <c r="G3145" s="1" t="s">
        <v>113</v>
      </c>
      <c r="H3145" s="1" t="str">
        <f>VLOOKUP(F3145,Countries!$A$1:$B$161,2,0)</f>
        <v>United States of America</v>
      </c>
    </row>
    <row r="3146" spans="1:8" x14ac:dyDescent="0.3">
      <c r="A3146" s="3">
        <v>46252.046527777777</v>
      </c>
      <c r="B3146" s="1">
        <v>2.11</v>
      </c>
      <c r="C3146" s="1">
        <v>1.82</v>
      </c>
      <c r="D3146" s="1">
        <v>0.35</v>
      </c>
      <c r="E3146" s="1" t="s">
        <v>113</v>
      </c>
      <c r="F3146" s="1" t="s">
        <v>113</v>
      </c>
      <c r="G3146" s="1" t="s">
        <v>113</v>
      </c>
      <c r="H3146" s="1" t="str">
        <f>VLOOKUP(F3146,Countries!$A$1:$B$161,2,0)</f>
        <v>United States of America</v>
      </c>
    </row>
    <row r="3147" spans="1:8" x14ac:dyDescent="0.3">
      <c r="A3147" s="3">
        <v>46252.046284722222</v>
      </c>
      <c r="B3147" s="1">
        <v>6.37</v>
      </c>
      <c r="C3147" s="1">
        <v>5.5</v>
      </c>
      <c r="D3147" s="1">
        <v>0.54</v>
      </c>
      <c r="E3147" s="1" t="s">
        <v>113</v>
      </c>
      <c r="F3147" s="1" t="s">
        <v>113</v>
      </c>
      <c r="G3147" s="1" t="s">
        <v>113</v>
      </c>
      <c r="H3147" s="1" t="str">
        <f>VLOOKUP(F3147,Countries!$A$1:$B$161,2,0)</f>
        <v>United States of America</v>
      </c>
    </row>
    <row r="3148" spans="1:8" x14ac:dyDescent="0.3">
      <c r="A3148" s="3">
        <v>46252.028055555558</v>
      </c>
      <c r="B3148" s="1">
        <v>7.58</v>
      </c>
      <c r="C3148" s="1">
        <v>6.54</v>
      </c>
      <c r="D3148" s="1">
        <v>0.48</v>
      </c>
      <c r="E3148" s="1" t="s">
        <v>116</v>
      </c>
      <c r="F3148" s="1" t="s">
        <v>116</v>
      </c>
      <c r="G3148" s="1" t="s">
        <v>116</v>
      </c>
      <c r="H3148" s="1" t="str">
        <f>VLOOKUP(F3148,Countries!$A$1:$B$161,2,0)</f>
        <v>Spain</v>
      </c>
    </row>
    <row r="3149" spans="1:8" x14ac:dyDescent="0.3">
      <c r="A3149" s="3">
        <v>46252.024988425917</v>
      </c>
      <c r="B3149" s="1">
        <v>7.67</v>
      </c>
      <c r="C3149" s="1">
        <v>6.62</v>
      </c>
      <c r="D3149" s="1">
        <v>0.48</v>
      </c>
      <c r="E3149" s="1" t="s">
        <v>124</v>
      </c>
      <c r="F3149" s="1" t="s">
        <v>124</v>
      </c>
      <c r="G3149" s="1" t="s">
        <v>124</v>
      </c>
      <c r="H3149" s="1" t="str">
        <f>VLOOKUP(F3149,Countries!$A$1:$B$161,2,0)</f>
        <v>Italy</v>
      </c>
    </row>
    <row r="3150" spans="1:8" x14ac:dyDescent="0.3">
      <c r="A3150" s="3">
        <v>46252.022303240738</v>
      </c>
      <c r="B3150" s="1">
        <v>6.37</v>
      </c>
      <c r="C3150" s="1">
        <v>5.5</v>
      </c>
      <c r="D3150" s="1">
        <v>0.54</v>
      </c>
      <c r="E3150" s="1" t="s">
        <v>113</v>
      </c>
      <c r="F3150" s="1" t="s">
        <v>113</v>
      </c>
      <c r="G3150" s="1" t="s">
        <v>113</v>
      </c>
      <c r="H3150" s="1" t="str">
        <f>VLOOKUP(F3150,Countries!$A$1:$B$161,2,0)</f>
        <v>United States of America</v>
      </c>
    </row>
    <row r="3151" spans="1:8" x14ac:dyDescent="0.3">
      <c r="A3151" s="3">
        <v>46252.018831018519</v>
      </c>
      <c r="B3151" s="1">
        <v>6.37</v>
      </c>
      <c r="C3151" s="1">
        <v>5.5</v>
      </c>
      <c r="D3151" s="1">
        <v>0.54</v>
      </c>
      <c r="E3151" s="1" t="s">
        <v>113</v>
      </c>
      <c r="F3151" s="1" t="s">
        <v>113</v>
      </c>
      <c r="G3151" s="1" t="s">
        <v>113</v>
      </c>
      <c r="H3151" s="1" t="str">
        <f>VLOOKUP(F3151,Countries!$A$1:$B$161,2,0)</f>
        <v>United States of America</v>
      </c>
    </row>
    <row r="3152" spans="1:8" x14ac:dyDescent="0.3">
      <c r="A3152" s="3">
        <v>46252.012997685182</v>
      </c>
      <c r="B3152" s="1">
        <v>10.62</v>
      </c>
      <c r="C3152" s="1">
        <v>9.17</v>
      </c>
      <c r="D3152" s="1">
        <v>0.73</v>
      </c>
      <c r="E3152" s="1" t="s">
        <v>113</v>
      </c>
      <c r="F3152" s="1" t="s">
        <v>113</v>
      </c>
      <c r="G3152" s="1" t="s">
        <v>113</v>
      </c>
      <c r="H3152" s="1" t="str">
        <f>VLOOKUP(F3152,Countries!$A$1:$B$161,2,0)</f>
        <v>United States of America</v>
      </c>
    </row>
    <row r="3153" spans="1:8" x14ac:dyDescent="0.3">
      <c r="A3153" s="3">
        <v>46252.003599537027</v>
      </c>
      <c r="B3153" s="1">
        <v>16.829999999999998</v>
      </c>
      <c r="C3153" s="1">
        <v>14.53</v>
      </c>
      <c r="D3153" s="1">
        <v>1.01</v>
      </c>
      <c r="E3153" s="1" t="s">
        <v>132</v>
      </c>
      <c r="F3153" s="1" t="s">
        <v>132</v>
      </c>
      <c r="G3153" s="1" t="s">
        <v>132</v>
      </c>
      <c r="H3153" s="1" t="str">
        <f>VLOOKUP(F3153,Countries!$A$1:$B$161,2,0)</f>
        <v>Canada</v>
      </c>
    </row>
    <row r="3154" spans="1:8" x14ac:dyDescent="0.3">
      <c r="A3154" s="3">
        <v>46251.999872685177</v>
      </c>
      <c r="B3154" s="1">
        <v>14.77</v>
      </c>
      <c r="C3154" s="1">
        <v>12.76</v>
      </c>
      <c r="D3154" s="1">
        <v>0.92</v>
      </c>
      <c r="E3154" s="1" t="s">
        <v>113</v>
      </c>
      <c r="F3154" s="1" t="s">
        <v>113</v>
      </c>
      <c r="G3154" s="1" t="s">
        <v>113</v>
      </c>
      <c r="H3154" s="1" t="str">
        <f>VLOOKUP(F3154,Countries!$A$1:$B$161,2,0)</f>
        <v>United States of America</v>
      </c>
    </row>
    <row r="3155" spans="1:8" x14ac:dyDescent="0.3">
      <c r="A3155" s="3">
        <v>46251.984861111108</v>
      </c>
      <c r="B3155" s="1">
        <v>14.77</v>
      </c>
      <c r="C3155" s="1">
        <v>12.76</v>
      </c>
      <c r="D3155" s="1">
        <v>0.92</v>
      </c>
      <c r="E3155" s="1" t="s">
        <v>113</v>
      </c>
      <c r="F3155" s="1" t="s">
        <v>113</v>
      </c>
      <c r="G3155" s="1" t="s">
        <v>113</v>
      </c>
      <c r="H3155" s="1" t="str">
        <f>VLOOKUP(F3155,Countries!$A$1:$B$161,2,0)</f>
        <v>United States of America</v>
      </c>
    </row>
    <row r="3156" spans="1:8" x14ac:dyDescent="0.3">
      <c r="A3156" s="3">
        <v>46251.982233796298</v>
      </c>
      <c r="B3156" s="1">
        <v>6.37</v>
      </c>
      <c r="C3156" s="1">
        <v>5.5</v>
      </c>
      <c r="D3156" s="1">
        <v>0.54</v>
      </c>
      <c r="E3156" s="1" t="s">
        <v>113</v>
      </c>
      <c r="F3156" s="1" t="s">
        <v>113</v>
      </c>
      <c r="G3156" s="1" t="s">
        <v>113</v>
      </c>
      <c r="H3156" s="1" t="str">
        <f>VLOOKUP(F3156,Countries!$A$1:$B$161,2,0)</f>
        <v>United States of America</v>
      </c>
    </row>
    <row r="3157" spans="1:8" x14ac:dyDescent="0.3">
      <c r="A3157" s="3">
        <v>46251.97792824074</v>
      </c>
      <c r="B3157" s="1">
        <v>14.77</v>
      </c>
      <c r="C3157" s="1">
        <v>12.76</v>
      </c>
      <c r="D3157" s="1">
        <v>0.92</v>
      </c>
      <c r="E3157" s="1" t="s">
        <v>113</v>
      </c>
      <c r="F3157" s="1" t="s">
        <v>113</v>
      </c>
      <c r="G3157" s="1" t="s">
        <v>113</v>
      </c>
      <c r="H3157" s="1" t="str">
        <f>VLOOKUP(F3157,Countries!$A$1:$B$161,2,0)</f>
        <v>United States of America</v>
      </c>
    </row>
    <row r="3158" spans="1:8" x14ac:dyDescent="0.3">
      <c r="A3158" s="3">
        <v>46251.976203703707</v>
      </c>
      <c r="B3158" s="1">
        <v>17.010000000000002</v>
      </c>
      <c r="C3158" s="1">
        <v>14.69</v>
      </c>
      <c r="D3158" s="1">
        <v>1.02</v>
      </c>
      <c r="E3158" s="1" t="s">
        <v>113</v>
      </c>
      <c r="F3158" s="1" t="s">
        <v>113</v>
      </c>
      <c r="G3158" s="1" t="s">
        <v>113</v>
      </c>
      <c r="H3158" s="1" t="str">
        <f>VLOOKUP(F3158,Countries!$A$1:$B$161,2,0)</f>
        <v>United States of America</v>
      </c>
    </row>
    <row r="3159" spans="1:8" x14ac:dyDescent="0.3">
      <c r="A3159" s="3">
        <v>46251.973657407398</v>
      </c>
      <c r="B3159" s="1">
        <v>6.65</v>
      </c>
      <c r="C3159" s="1">
        <v>5.74</v>
      </c>
      <c r="D3159" s="1">
        <v>0.55000000000000004</v>
      </c>
      <c r="E3159" s="1" t="s">
        <v>130</v>
      </c>
      <c r="F3159" s="1" t="s">
        <v>130</v>
      </c>
      <c r="G3159" s="1" t="s">
        <v>130</v>
      </c>
      <c r="H3159" s="1" t="str">
        <f>VLOOKUP(F3159,Countries!$A$1:$B$161,2,0)</f>
        <v>Australia</v>
      </c>
    </row>
    <row r="3160" spans="1:8" x14ac:dyDescent="0.3">
      <c r="A3160" s="3">
        <v>46251.969444444447</v>
      </c>
      <c r="B3160" s="1">
        <v>6.37</v>
      </c>
      <c r="C3160" s="1">
        <v>5.5</v>
      </c>
      <c r="D3160" s="1">
        <v>0.54</v>
      </c>
      <c r="E3160" s="1" t="s">
        <v>113</v>
      </c>
      <c r="F3160" s="1" t="s">
        <v>113</v>
      </c>
      <c r="G3160" s="1" t="s">
        <v>113</v>
      </c>
      <c r="H3160" s="1" t="str">
        <f>VLOOKUP(F3160,Countries!$A$1:$B$161,2,0)</f>
        <v>United States of America</v>
      </c>
    </row>
    <row r="3161" spans="1:8" x14ac:dyDescent="0.3">
      <c r="A3161" s="3">
        <v>46251.966990740737</v>
      </c>
      <c r="B3161" s="1">
        <v>117.33</v>
      </c>
      <c r="C3161" s="1">
        <v>101.33</v>
      </c>
      <c r="D3161" s="1">
        <v>3.8</v>
      </c>
      <c r="E3161" s="1" t="s">
        <v>113</v>
      </c>
      <c r="F3161" s="1" t="s">
        <v>113</v>
      </c>
      <c r="G3161" s="1" t="s">
        <v>113</v>
      </c>
      <c r="H3161" s="1" t="str">
        <f>VLOOKUP(F3161,Countries!$A$1:$B$161,2,0)</f>
        <v>United States of America</v>
      </c>
    </row>
    <row r="3162" spans="1:8" x14ac:dyDescent="0.3">
      <c r="A3162" s="3">
        <v>46251.966423611113</v>
      </c>
      <c r="B3162" s="1">
        <v>6.37</v>
      </c>
      <c r="C3162" s="1">
        <v>5.5</v>
      </c>
      <c r="D3162" s="1">
        <v>0.54</v>
      </c>
      <c r="E3162" s="1" t="s">
        <v>113</v>
      </c>
      <c r="F3162" s="1" t="s">
        <v>113</v>
      </c>
      <c r="G3162" s="1" t="s">
        <v>113</v>
      </c>
      <c r="H3162" s="1" t="str">
        <f>VLOOKUP(F3162,Countries!$A$1:$B$161,2,0)</f>
        <v>United States of America</v>
      </c>
    </row>
    <row r="3163" spans="1:8" x14ac:dyDescent="0.3">
      <c r="A3163" s="3">
        <v>46251.966412037043</v>
      </c>
      <c r="B3163" s="1">
        <v>18.03</v>
      </c>
      <c r="C3163" s="1">
        <v>15.57</v>
      </c>
      <c r="D3163" s="1">
        <v>0.79</v>
      </c>
      <c r="E3163" s="1" t="s">
        <v>113</v>
      </c>
      <c r="F3163" s="1" t="s">
        <v>113</v>
      </c>
      <c r="G3163" s="1" t="s">
        <v>113</v>
      </c>
      <c r="H3163" s="1" t="str">
        <f>VLOOKUP(F3163,Countries!$A$1:$B$161,2,0)</f>
        <v>United States of America</v>
      </c>
    </row>
    <row r="3164" spans="1:8" x14ac:dyDescent="0.3">
      <c r="A3164" s="3">
        <v>46251.96297453704</v>
      </c>
      <c r="B3164" s="1">
        <v>72.2</v>
      </c>
      <c r="C3164" s="1">
        <v>62.36</v>
      </c>
      <c r="D3164" s="1">
        <v>2.44</v>
      </c>
      <c r="E3164" s="1" t="s">
        <v>113</v>
      </c>
      <c r="F3164" s="1" t="s">
        <v>113</v>
      </c>
      <c r="G3164" s="1" t="s">
        <v>113</v>
      </c>
      <c r="H3164" s="1" t="str">
        <f>VLOOKUP(F3164,Countries!$A$1:$B$161,2,0)</f>
        <v>United States of America</v>
      </c>
    </row>
    <row r="3165" spans="1:8" x14ac:dyDescent="0.3">
      <c r="A3165" s="3">
        <v>46251.960358796299</v>
      </c>
      <c r="B3165" s="1">
        <v>6.37</v>
      </c>
      <c r="C3165" s="1">
        <v>5.5</v>
      </c>
      <c r="D3165" s="1">
        <v>0.54</v>
      </c>
      <c r="E3165" s="1" t="s">
        <v>113</v>
      </c>
      <c r="F3165" s="1" t="s">
        <v>113</v>
      </c>
      <c r="G3165" s="1" t="s">
        <v>113</v>
      </c>
      <c r="H3165" s="1" t="str">
        <f>VLOOKUP(F3165,Countries!$A$1:$B$161,2,0)</f>
        <v>United States of America</v>
      </c>
    </row>
    <row r="3166" spans="1:8" x14ac:dyDescent="0.3">
      <c r="A3166" s="3">
        <v>46251.958611111113</v>
      </c>
      <c r="B3166" s="1">
        <v>72.2</v>
      </c>
      <c r="C3166" s="1">
        <v>62.36</v>
      </c>
      <c r="D3166" s="1">
        <v>2.44</v>
      </c>
      <c r="E3166" s="1" t="s">
        <v>113</v>
      </c>
      <c r="F3166" s="1" t="s">
        <v>113</v>
      </c>
      <c r="G3166" s="1" t="s">
        <v>113</v>
      </c>
      <c r="H3166" s="1" t="str">
        <f>VLOOKUP(F3166,Countries!$A$1:$B$161,2,0)</f>
        <v>United States of America</v>
      </c>
    </row>
    <row r="3167" spans="1:8" x14ac:dyDescent="0.3">
      <c r="A3167" s="3">
        <v>46251.954328703701</v>
      </c>
      <c r="B3167" s="1">
        <v>6.37</v>
      </c>
      <c r="C3167" s="1">
        <v>5.5</v>
      </c>
      <c r="D3167" s="1">
        <v>0.54</v>
      </c>
      <c r="E3167" s="1" t="s">
        <v>113</v>
      </c>
      <c r="F3167" s="1" t="s">
        <v>113</v>
      </c>
      <c r="G3167" s="1" t="s">
        <v>113</v>
      </c>
      <c r="H3167" s="1" t="str">
        <f>VLOOKUP(F3167,Countries!$A$1:$B$161,2,0)</f>
        <v>United States of America</v>
      </c>
    </row>
    <row r="3168" spans="1:8" x14ac:dyDescent="0.3">
      <c r="A3168" s="3">
        <v>46251.954201388893</v>
      </c>
      <c r="B3168" s="1">
        <v>14.77</v>
      </c>
      <c r="C3168" s="1">
        <v>12.76</v>
      </c>
      <c r="D3168" s="1">
        <v>0.92</v>
      </c>
      <c r="E3168" s="1" t="s">
        <v>113</v>
      </c>
      <c r="F3168" s="1" t="s">
        <v>113</v>
      </c>
      <c r="G3168" s="1" t="s">
        <v>113</v>
      </c>
      <c r="H3168" s="1" t="str">
        <f>VLOOKUP(F3168,Countries!$A$1:$B$161,2,0)</f>
        <v>United States of America</v>
      </c>
    </row>
    <row r="3169" spans="1:8" x14ac:dyDescent="0.3">
      <c r="A3169" s="3">
        <v>46251.952870370369</v>
      </c>
      <c r="B3169" s="1">
        <v>18.03</v>
      </c>
      <c r="C3169" s="1">
        <v>15.57</v>
      </c>
      <c r="D3169" s="1">
        <v>0.79</v>
      </c>
      <c r="E3169" s="1" t="s">
        <v>113</v>
      </c>
      <c r="F3169" s="1" t="s">
        <v>113</v>
      </c>
      <c r="G3169" s="1" t="s">
        <v>113</v>
      </c>
      <c r="H3169" s="1" t="str">
        <f>VLOOKUP(F3169,Countries!$A$1:$B$161,2,0)</f>
        <v>United States of America</v>
      </c>
    </row>
    <row r="3170" spans="1:8" x14ac:dyDescent="0.3">
      <c r="A3170" s="3">
        <v>46251.950104166674</v>
      </c>
      <c r="B3170" s="1">
        <v>64.930000000000007</v>
      </c>
      <c r="C3170" s="1">
        <v>56.08</v>
      </c>
      <c r="D3170" s="1">
        <v>2.21</v>
      </c>
      <c r="E3170" s="1" t="s">
        <v>113</v>
      </c>
      <c r="F3170" s="1" t="s">
        <v>113</v>
      </c>
      <c r="G3170" s="1" t="s">
        <v>113</v>
      </c>
      <c r="H3170" s="1" t="str">
        <f>VLOOKUP(F3170,Countries!$A$1:$B$161,2,0)</f>
        <v>United States of America</v>
      </c>
    </row>
    <row r="3171" spans="1:8" x14ac:dyDescent="0.3">
      <c r="A3171" s="3">
        <v>46251.947696759264</v>
      </c>
      <c r="B3171" s="1">
        <v>10.85</v>
      </c>
      <c r="C3171" s="1">
        <v>9.3699999999999992</v>
      </c>
      <c r="D3171" s="1">
        <v>0.74</v>
      </c>
      <c r="E3171" s="1" t="s">
        <v>115</v>
      </c>
      <c r="F3171" s="1" t="s">
        <v>115</v>
      </c>
      <c r="G3171" s="1" t="s">
        <v>115</v>
      </c>
      <c r="H3171" s="1" t="str">
        <f>VLOOKUP(F3171,Countries!$A$1:$B$161,2,0)</f>
        <v>Switzerland</v>
      </c>
    </row>
    <row r="3172" spans="1:8" x14ac:dyDescent="0.3">
      <c r="A3172" s="3">
        <v>46251.945763888893</v>
      </c>
      <c r="B3172" s="1">
        <v>32.46</v>
      </c>
      <c r="C3172" s="1">
        <v>28.03</v>
      </c>
      <c r="D3172" s="1">
        <v>1.23</v>
      </c>
      <c r="E3172" s="1" t="s">
        <v>113</v>
      </c>
      <c r="F3172" s="1" t="s">
        <v>113</v>
      </c>
      <c r="G3172" s="1" t="s">
        <v>113</v>
      </c>
      <c r="H3172" s="1" t="str">
        <f>VLOOKUP(F3172,Countries!$A$1:$B$161,2,0)</f>
        <v>United States of America</v>
      </c>
    </row>
    <row r="3173" spans="1:8" x14ac:dyDescent="0.3">
      <c r="A3173" s="3">
        <v>46251.943055555559</v>
      </c>
      <c r="B3173" s="1">
        <v>6.37</v>
      </c>
      <c r="C3173" s="1">
        <v>5.5</v>
      </c>
      <c r="D3173" s="1">
        <v>0.54</v>
      </c>
      <c r="E3173" s="1" t="s">
        <v>113</v>
      </c>
      <c r="F3173" s="1" t="s">
        <v>113</v>
      </c>
      <c r="G3173" s="1" t="s">
        <v>113</v>
      </c>
      <c r="H3173" s="1" t="str">
        <f>VLOOKUP(F3173,Countries!$A$1:$B$161,2,0)</f>
        <v>United States of America</v>
      </c>
    </row>
    <row r="3174" spans="1:8" x14ac:dyDescent="0.3">
      <c r="A3174" s="3">
        <v>46251.942685185182</v>
      </c>
      <c r="B3174" s="1">
        <v>10.85</v>
      </c>
      <c r="C3174" s="1">
        <v>9.3699999999999992</v>
      </c>
      <c r="D3174" s="1">
        <v>0.74</v>
      </c>
      <c r="E3174" s="1" t="s">
        <v>115</v>
      </c>
      <c r="F3174" s="1" t="s">
        <v>115</v>
      </c>
      <c r="G3174" s="1" t="s">
        <v>115</v>
      </c>
      <c r="H3174" s="1" t="str">
        <f>VLOOKUP(F3174,Countries!$A$1:$B$161,2,0)</f>
        <v>Switzerland</v>
      </c>
    </row>
    <row r="3175" spans="1:8" x14ac:dyDescent="0.3">
      <c r="A3175" s="3">
        <v>46251.940891203703</v>
      </c>
      <c r="B3175" s="1">
        <v>19.98</v>
      </c>
      <c r="C3175" s="1">
        <v>17.260000000000002</v>
      </c>
      <c r="D3175" s="1">
        <v>0.86</v>
      </c>
      <c r="E3175" s="1" t="s">
        <v>123</v>
      </c>
      <c r="F3175" s="1" t="s">
        <v>123</v>
      </c>
      <c r="G3175" s="1" t="s">
        <v>123</v>
      </c>
      <c r="H3175" s="1" t="str">
        <f>VLOOKUP(F3175,Countries!$A$1:$B$161,2,0)</f>
        <v>France</v>
      </c>
    </row>
    <row r="3176" spans="1:8" x14ac:dyDescent="0.3">
      <c r="A3176" s="3">
        <v>46251.940648148149</v>
      </c>
      <c r="B3176" s="1">
        <v>7.48</v>
      </c>
      <c r="C3176" s="1">
        <v>6.46</v>
      </c>
      <c r="D3176" s="1">
        <v>0.48</v>
      </c>
      <c r="E3176" s="1" t="s">
        <v>123</v>
      </c>
      <c r="F3176" s="1" t="s">
        <v>123</v>
      </c>
      <c r="G3176" s="1" t="s">
        <v>123</v>
      </c>
      <c r="H3176" s="1" t="str">
        <f>VLOOKUP(F3176,Countries!$A$1:$B$161,2,0)</f>
        <v>France</v>
      </c>
    </row>
    <row r="3177" spans="1:8" x14ac:dyDescent="0.3">
      <c r="A3177" s="3">
        <v>46251.938113425917</v>
      </c>
      <c r="B3177" s="1">
        <v>10.85</v>
      </c>
      <c r="C3177" s="1">
        <v>9.3699999999999992</v>
      </c>
      <c r="D3177" s="1">
        <v>0.74</v>
      </c>
      <c r="E3177" s="1" t="s">
        <v>115</v>
      </c>
      <c r="F3177" s="1" t="s">
        <v>115</v>
      </c>
      <c r="G3177" s="1" t="s">
        <v>115</v>
      </c>
      <c r="H3177" s="1" t="str">
        <f>VLOOKUP(F3177,Countries!$A$1:$B$161,2,0)</f>
        <v>Switzerland</v>
      </c>
    </row>
    <row r="3178" spans="1:8" x14ac:dyDescent="0.3">
      <c r="A3178" s="3">
        <v>46251.936111111107</v>
      </c>
      <c r="B3178" s="1">
        <v>7.48</v>
      </c>
      <c r="C3178" s="1">
        <v>6.46</v>
      </c>
      <c r="D3178" s="1">
        <v>0.48</v>
      </c>
      <c r="E3178" s="1" t="s">
        <v>123</v>
      </c>
      <c r="F3178" s="1" t="s">
        <v>123</v>
      </c>
      <c r="G3178" s="1" t="s">
        <v>123</v>
      </c>
      <c r="H3178" s="1" t="str">
        <f>VLOOKUP(F3178,Countries!$A$1:$B$161,2,0)</f>
        <v>France</v>
      </c>
    </row>
    <row r="3179" spans="1:8" x14ac:dyDescent="0.3">
      <c r="A3179" s="3">
        <v>46251.935196759259</v>
      </c>
      <c r="B3179" s="1">
        <v>10.85</v>
      </c>
      <c r="C3179" s="1">
        <v>9.3699999999999992</v>
      </c>
      <c r="D3179" s="1">
        <v>0.74</v>
      </c>
      <c r="E3179" s="1" t="s">
        <v>115</v>
      </c>
      <c r="F3179" s="1" t="s">
        <v>115</v>
      </c>
      <c r="G3179" s="1" t="s">
        <v>115</v>
      </c>
      <c r="H3179" s="1" t="str">
        <f>VLOOKUP(F3179,Countries!$A$1:$B$161,2,0)</f>
        <v>Switzerland</v>
      </c>
    </row>
    <row r="3180" spans="1:8" x14ac:dyDescent="0.3">
      <c r="A3180" s="3">
        <v>46251.931770833333</v>
      </c>
      <c r="B3180" s="1">
        <v>21.05</v>
      </c>
      <c r="C3180" s="1">
        <v>18.18</v>
      </c>
      <c r="D3180" s="1">
        <v>1.2</v>
      </c>
      <c r="E3180" s="1" t="s">
        <v>132</v>
      </c>
      <c r="F3180" s="1" t="s">
        <v>132</v>
      </c>
      <c r="G3180" s="1" t="s">
        <v>132</v>
      </c>
      <c r="H3180" s="1" t="str">
        <f>VLOOKUP(F3180,Countries!$A$1:$B$161,2,0)</f>
        <v>Canada</v>
      </c>
    </row>
    <row r="3181" spans="1:8" x14ac:dyDescent="0.3">
      <c r="A3181" s="3">
        <v>46251.931493055563</v>
      </c>
      <c r="B3181" s="1">
        <v>10.85</v>
      </c>
      <c r="C3181" s="1">
        <v>9.3699999999999992</v>
      </c>
      <c r="D3181" s="1">
        <v>0.74</v>
      </c>
      <c r="E3181" s="1" t="s">
        <v>115</v>
      </c>
      <c r="F3181" s="1" t="s">
        <v>115</v>
      </c>
      <c r="G3181" s="1" t="s">
        <v>115</v>
      </c>
      <c r="H3181" s="1" t="str">
        <f>VLOOKUP(F3181,Countries!$A$1:$B$161,2,0)</f>
        <v>Switzerland</v>
      </c>
    </row>
    <row r="3182" spans="1:8" x14ac:dyDescent="0.3">
      <c r="A3182" s="3">
        <v>46251.927546296298</v>
      </c>
      <c r="B3182" s="1">
        <v>10.85</v>
      </c>
      <c r="C3182" s="1">
        <v>9.3699999999999992</v>
      </c>
      <c r="D3182" s="1">
        <v>0.74</v>
      </c>
      <c r="E3182" s="1" t="s">
        <v>115</v>
      </c>
      <c r="F3182" s="1" t="s">
        <v>115</v>
      </c>
      <c r="G3182" s="1" t="s">
        <v>115</v>
      </c>
      <c r="H3182" s="1" t="str">
        <f>VLOOKUP(F3182,Countries!$A$1:$B$161,2,0)</f>
        <v>Switzerland</v>
      </c>
    </row>
    <row r="3183" spans="1:8" x14ac:dyDescent="0.3">
      <c r="A3183" s="3">
        <v>46251.922453703701</v>
      </c>
      <c r="B3183" s="1">
        <v>10.85</v>
      </c>
      <c r="C3183" s="1">
        <v>9.3699999999999992</v>
      </c>
      <c r="D3183" s="1">
        <v>0.74</v>
      </c>
      <c r="E3183" s="1" t="s">
        <v>115</v>
      </c>
      <c r="F3183" s="1" t="s">
        <v>115</v>
      </c>
      <c r="G3183" s="1" t="s">
        <v>115</v>
      </c>
      <c r="H3183" s="1" t="str">
        <f>VLOOKUP(F3183,Countries!$A$1:$B$161,2,0)</f>
        <v>Switzerland</v>
      </c>
    </row>
    <row r="3184" spans="1:8" x14ac:dyDescent="0.3">
      <c r="A3184" s="3">
        <v>46251.920358796298</v>
      </c>
      <c r="B3184" s="1">
        <v>2.99</v>
      </c>
      <c r="C3184" s="1">
        <v>2.58</v>
      </c>
      <c r="D3184" s="1">
        <v>0.34</v>
      </c>
      <c r="E3184" s="1" t="s">
        <v>178</v>
      </c>
      <c r="F3184" s="1" t="s">
        <v>178</v>
      </c>
      <c r="G3184" s="1" t="s">
        <v>178</v>
      </c>
      <c r="H3184" s="1" t="str">
        <f>VLOOKUP(F3184,Countries!$A$1:$B$161,2,0)</f>
        <v>Sweden</v>
      </c>
    </row>
    <row r="3185" spans="1:8" x14ac:dyDescent="0.3">
      <c r="A3185" s="3">
        <v>46251.918796296297</v>
      </c>
      <c r="B3185" s="1">
        <v>6.37</v>
      </c>
      <c r="C3185" s="1">
        <v>5.5</v>
      </c>
      <c r="D3185" s="1">
        <v>0.54</v>
      </c>
      <c r="E3185" s="1" t="s">
        <v>113</v>
      </c>
      <c r="F3185" s="1" t="s">
        <v>113</v>
      </c>
      <c r="G3185" s="1" t="s">
        <v>113</v>
      </c>
      <c r="H3185" s="1" t="str">
        <f>VLOOKUP(F3185,Countries!$A$1:$B$161,2,0)</f>
        <v>United States of America</v>
      </c>
    </row>
    <row r="3186" spans="1:8" x14ac:dyDescent="0.3">
      <c r="A3186" s="3">
        <v>46251.918622685182</v>
      </c>
      <c r="B3186" s="1">
        <v>10.85</v>
      </c>
      <c r="C3186" s="1">
        <v>9.3699999999999992</v>
      </c>
      <c r="D3186" s="1">
        <v>0.74</v>
      </c>
      <c r="E3186" s="1" t="s">
        <v>115</v>
      </c>
      <c r="F3186" s="1" t="s">
        <v>115</v>
      </c>
      <c r="G3186" s="1" t="s">
        <v>115</v>
      </c>
      <c r="H3186" s="1" t="str">
        <f>VLOOKUP(F3186,Countries!$A$1:$B$161,2,0)</f>
        <v>Switzerland</v>
      </c>
    </row>
    <row r="3187" spans="1:8" x14ac:dyDescent="0.3">
      <c r="A3187" s="3">
        <v>46251.915405092594</v>
      </c>
      <c r="B3187" s="1">
        <v>6.37</v>
      </c>
      <c r="C3187" s="1">
        <v>5.5</v>
      </c>
      <c r="D3187" s="1">
        <v>0.54</v>
      </c>
      <c r="E3187" s="1" t="s">
        <v>113</v>
      </c>
      <c r="F3187" s="1" t="s">
        <v>113</v>
      </c>
      <c r="G3187" s="1" t="s">
        <v>113</v>
      </c>
      <c r="H3187" s="1" t="str">
        <f>VLOOKUP(F3187,Countries!$A$1:$B$161,2,0)</f>
        <v>United States of America</v>
      </c>
    </row>
    <row r="3188" spans="1:8" x14ac:dyDescent="0.3">
      <c r="A3188" s="3">
        <v>46251.915381944447</v>
      </c>
      <c r="B3188" s="1">
        <v>6.37</v>
      </c>
      <c r="C3188" s="1">
        <v>5.5</v>
      </c>
      <c r="D3188" s="1">
        <v>0.54</v>
      </c>
      <c r="E3188" s="1" t="s">
        <v>113</v>
      </c>
      <c r="F3188" s="1" t="s">
        <v>113</v>
      </c>
      <c r="G3188" s="1" t="s">
        <v>113</v>
      </c>
      <c r="H3188" s="1" t="str">
        <f>VLOOKUP(F3188,Countries!$A$1:$B$161,2,0)</f>
        <v>United States of America</v>
      </c>
    </row>
    <row r="3189" spans="1:8" x14ac:dyDescent="0.3">
      <c r="A3189" s="3">
        <v>46251.909120370372</v>
      </c>
      <c r="B3189" s="1">
        <v>10.85</v>
      </c>
      <c r="C3189" s="1">
        <v>9.3699999999999992</v>
      </c>
      <c r="D3189" s="1">
        <v>0.74</v>
      </c>
      <c r="E3189" s="1" t="s">
        <v>115</v>
      </c>
      <c r="F3189" s="1" t="s">
        <v>115</v>
      </c>
      <c r="G3189" s="1" t="s">
        <v>115</v>
      </c>
      <c r="H3189" s="1" t="str">
        <f>VLOOKUP(F3189,Countries!$A$1:$B$161,2,0)</f>
        <v>Switzerland</v>
      </c>
    </row>
    <row r="3190" spans="1:8" x14ac:dyDescent="0.3">
      <c r="A3190" s="3">
        <v>46251.903506944444</v>
      </c>
      <c r="B3190" s="1">
        <v>10.85</v>
      </c>
      <c r="C3190" s="1">
        <v>9.3699999999999992</v>
      </c>
      <c r="D3190" s="1">
        <v>0.74</v>
      </c>
      <c r="E3190" s="1" t="s">
        <v>115</v>
      </c>
      <c r="F3190" s="1" t="s">
        <v>115</v>
      </c>
      <c r="G3190" s="1" t="s">
        <v>115</v>
      </c>
      <c r="H3190" s="1" t="str">
        <f>VLOOKUP(F3190,Countries!$A$1:$B$161,2,0)</f>
        <v>Switzerland</v>
      </c>
    </row>
    <row r="3191" spans="1:8" x14ac:dyDescent="0.3">
      <c r="A3191" s="3">
        <v>46251.899664351848</v>
      </c>
      <c r="B3191" s="1">
        <v>10.85</v>
      </c>
      <c r="C3191" s="1">
        <v>9.3699999999999992</v>
      </c>
      <c r="D3191" s="1">
        <v>0.74</v>
      </c>
      <c r="E3191" s="1" t="s">
        <v>115</v>
      </c>
      <c r="F3191" s="1" t="s">
        <v>115</v>
      </c>
      <c r="G3191" s="1" t="s">
        <v>115</v>
      </c>
      <c r="H3191" s="1" t="str">
        <f>VLOOKUP(F3191,Countries!$A$1:$B$161,2,0)</f>
        <v>Switzerland</v>
      </c>
    </row>
    <row r="3192" spans="1:8" x14ac:dyDescent="0.3">
      <c r="A3192" s="3">
        <v>46251.896157407413</v>
      </c>
      <c r="B3192" s="1">
        <v>10.85</v>
      </c>
      <c r="C3192" s="1">
        <v>9.3699999999999992</v>
      </c>
      <c r="D3192" s="1">
        <v>0.74</v>
      </c>
      <c r="E3192" s="1" t="s">
        <v>115</v>
      </c>
      <c r="F3192" s="1" t="s">
        <v>115</v>
      </c>
      <c r="G3192" s="1" t="s">
        <v>115</v>
      </c>
      <c r="H3192" s="1" t="str">
        <f>VLOOKUP(F3192,Countries!$A$1:$B$161,2,0)</f>
        <v>Switzerland</v>
      </c>
    </row>
    <row r="3193" spans="1:8" x14ac:dyDescent="0.3">
      <c r="A3193" s="3">
        <v>46251.893171296288</v>
      </c>
      <c r="B3193" s="1">
        <v>12.97</v>
      </c>
      <c r="C3193" s="1">
        <v>11.2</v>
      </c>
      <c r="D3193" s="1">
        <v>0.64</v>
      </c>
      <c r="E3193" s="1" t="s">
        <v>112</v>
      </c>
      <c r="F3193" s="1" t="s">
        <v>112</v>
      </c>
      <c r="G3193" s="1" t="s">
        <v>112</v>
      </c>
      <c r="H3193" s="1" t="str">
        <f>VLOOKUP(F3193,Countries!$A$1:$B$161,2,0)</f>
        <v>Ireland</v>
      </c>
    </row>
    <row r="3194" spans="1:8" x14ac:dyDescent="0.3">
      <c r="A3194" s="3">
        <v>46251.892256944448</v>
      </c>
      <c r="B3194" s="1">
        <v>10.85</v>
      </c>
      <c r="C3194" s="1">
        <v>9.3699999999999992</v>
      </c>
      <c r="D3194" s="1">
        <v>0.74</v>
      </c>
      <c r="E3194" s="1" t="s">
        <v>115</v>
      </c>
      <c r="F3194" s="1" t="s">
        <v>115</v>
      </c>
      <c r="G3194" s="1" t="s">
        <v>115</v>
      </c>
      <c r="H3194" s="1" t="str">
        <f>VLOOKUP(F3194,Countries!$A$1:$B$161,2,0)</f>
        <v>Switzerland</v>
      </c>
    </row>
    <row r="3195" spans="1:8" x14ac:dyDescent="0.3">
      <c r="A3195" s="3">
        <v>46251.891284722216</v>
      </c>
      <c r="B3195" s="1">
        <v>14.77</v>
      </c>
      <c r="C3195" s="1">
        <v>12.75</v>
      </c>
      <c r="D3195" s="1">
        <v>0.92</v>
      </c>
      <c r="E3195" s="1" t="s">
        <v>113</v>
      </c>
      <c r="F3195" s="1" t="s">
        <v>113</v>
      </c>
      <c r="G3195" s="1" t="s">
        <v>113</v>
      </c>
      <c r="H3195" s="1" t="str">
        <f>VLOOKUP(F3195,Countries!$A$1:$B$161,2,0)</f>
        <v>United States of America</v>
      </c>
    </row>
    <row r="3196" spans="1:8" x14ac:dyDescent="0.3">
      <c r="A3196" s="3">
        <v>46251.885995370372</v>
      </c>
      <c r="B3196" s="1">
        <v>10.85</v>
      </c>
      <c r="C3196" s="1">
        <v>9.3699999999999992</v>
      </c>
      <c r="D3196" s="1">
        <v>0.74</v>
      </c>
      <c r="E3196" s="1" t="s">
        <v>115</v>
      </c>
      <c r="F3196" s="1" t="s">
        <v>115</v>
      </c>
      <c r="G3196" s="1" t="s">
        <v>115</v>
      </c>
      <c r="H3196" s="1" t="str">
        <f>VLOOKUP(F3196,Countries!$A$1:$B$161,2,0)</f>
        <v>Switzerland</v>
      </c>
    </row>
    <row r="3197" spans="1:8" x14ac:dyDescent="0.3">
      <c r="A3197" s="3">
        <v>46251.884398148148</v>
      </c>
      <c r="B3197" s="1">
        <v>7.77</v>
      </c>
      <c r="C3197" s="1">
        <v>6.71</v>
      </c>
      <c r="D3197" s="1">
        <v>0.48</v>
      </c>
      <c r="E3197" s="1" t="s">
        <v>112</v>
      </c>
      <c r="F3197" s="1" t="s">
        <v>112</v>
      </c>
      <c r="G3197" s="1" t="s">
        <v>112</v>
      </c>
      <c r="H3197" s="1" t="str">
        <f>VLOOKUP(F3197,Countries!$A$1:$B$161,2,0)</f>
        <v>Ireland</v>
      </c>
    </row>
    <row r="3198" spans="1:8" x14ac:dyDescent="0.3">
      <c r="A3198" s="3">
        <v>46251.881527777783</v>
      </c>
      <c r="B3198" s="1">
        <v>6.58</v>
      </c>
      <c r="C3198" s="1">
        <v>5.68</v>
      </c>
      <c r="D3198" s="1">
        <v>0.54</v>
      </c>
      <c r="E3198" s="1" t="s">
        <v>152</v>
      </c>
      <c r="F3198" s="1" t="s">
        <v>152</v>
      </c>
      <c r="G3198" s="1" t="s">
        <v>152</v>
      </c>
      <c r="H3198" s="1" t="str">
        <f>VLOOKUP(F3198,Countries!$A$1:$B$161,2,0)</f>
        <v>Singapore</v>
      </c>
    </row>
    <row r="3199" spans="1:8" x14ac:dyDescent="0.3">
      <c r="A3199" s="3">
        <v>46251.879826388889</v>
      </c>
      <c r="B3199" s="1">
        <v>6.37</v>
      </c>
      <c r="C3199" s="1">
        <v>5.5</v>
      </c>
      <c r="D3199" s="1">
        <v>0.54</v>
      </c>
      <c r="E3199" s="1" t="s">
        <v>113</v>
      </c>
      <c r="F3199" s="1" t="s">
        <v>113</v>
      </c>
      <c r="G3199" s="1" t="s">
        <v>113</v>
      </c>
      <c r="H3199" s="1" t="str">
        <f>VLOOKUP(F3199,Countries!$A$1:$B$161,2,0)</f>
        <v>United States of America</v>
      </c>
    </row>
    <row r="3200" spans="1:8" x14ac:dyDescent="0.3">
      <c r="A3200" s="3">
        <v>46251.874826388892</v>
      </c>
      <c r="B3200" s="1">
        <v>3.18</v>
      </c>
      <c r="C3200" s="1">
        <v>2.75</v>
      </c>
      <c r="D3200" s="1">
        <v>0.4</v>
      </c>
      <c r="E3200" s="1" t="s">
        <v>113</v>
      </c>
      <c r="F3200" s="1" t="s">
        <v>113</v>
      </c>
      <c r="G3200" s="1" t="s">
        <v>113</v>
      </c>
      <c r="H3200" s="1" t="str">
        <f>VLOOKUP(F3200,Countries!$A$1:$B$161,2,0)</f>
        <v>United States of America</v>
      </c>
    </row>
    <row r="3201" spans="1:8" x14ac:dyDescent="0.3">
      <c r="A3201" s="3">
        <v>46251.851180555554</v>
      </c>
      <c r="B3201" s="1">
        <v>7.58</v>
      </c>
      <c r="C3201" s="1">
        <v>6.55</v>
      </c>
      <c r="D3201" s="1">
        <v>0.48</v>
      </c>
      <c r="E3201" s="1" t="s">
        <v>116</v>
      </c>
      <c r="F3201" s="1" t="s">
        <v>116</v>
      </c>
      <c r="G3201" s="1" t="s">
        <v>116</v>
      </c>
      <c r="H3201" s="1" t="str">
        <f>VLOOKUP(F3201,Countries!$A$1:$B$161,2,0)</f>
        <v>Spain</v>
      </c>
    </row>
    <row r="3202" spans="1:8" x14ac:dyDescent="0.3">
      <c r="A3202" s="3">
        <v>46251.850601851853</v>
      </c>
      <c r="B3202" s="1">
        <v>6.37</v>
      </c>
      <c r="C3202" s="1">
        <v>5.5</v>
      </c>
      <c r="D3202" s="1">
        <v>0.54</v>
      </c>
      <c r="E3202" s="1" t="s">
        <v>113</v>
      </c>
      <c r="F3202" s="1" t="s">
        <v>113</v>
      </c>
      <c r="G3202" s="1" t="s">
        <v>113</v>
      </c>
      <c r="H3202" s="1" t="str">
        <f>VLOOKUP(F3202,Countries!$A$1:$B$161,2,0)</f>
        <v>United States of America</v>
      </c>
    </row>
    <row r="3203" spans="1:8" x14ac:dyDescent="0.3">
      <c r="A3203" s="3">
        <v>46251.846724537027</v>
      </c>
      <c r="B3203" s="1">
        <v>20.239999999999998</v>
      </c>
      <c r="C3203" s="1">
        <v>17.48</v>
      </c>
      <c r="D3203" s="1">
        <v>0.86</v>
      </c>
      <c r="E3203" s="1" t="s">
        <v>116</v>
      </c>
      <c r="F3203" s="1" t="s">
        <v>116</v>
      </c>
      <c r="G3203" s="1" t="s">
        <v>116</v>
      </c>
      <c r="H3203" s="1" t="str">
        <f>VLOOKUP(F3203,Countries!$A$1:$B$161,2,0)</f>
        <v>Spain</v>
      </c>
    </row>
    <row r="3204" spans="1:8" x14ac:dyDescent="0.3">
      <c r="A3204" s="3">
        <v>46251.846215277779</v>
      </c>
      <c r="B3204" s="1">
        <v>10.85</v>
      </c>
      <c r="C3204" s="1">
        <v>9.3699999999999992</v>
      </c>
      <c r="D3204" s="1">
        <v>0.74</v>
      </c>
      <c r="E3204" s="1" t="s">
        <v>115</v>
      </c>
      <c r="F3204" s="1" t="s">
        <v>115</v>
      </c>
      <c r="G3204" s="1" t="s">
        <v>115</v>
      </c>
      <c r="H3204" s="1" t="str">
        <f>VLOOKUP(F3204,Countries!$A$1:$B$161,2,0)</f>
        <v>Switzerland</v>
      </c>
    </row>
    <row r="3205" spans="1:8" x14ac:dyDescent="0.3">
      <c r="A3205" s="3">
        <v>46251.84578703704</v>
      </c>
      <c r="B3205" s="1">
        <v>3.88</v>
      </c>
      <c r="C3205" s="1">
        <v>3.35</v>
      </c>
      <c r="D3205" s="1">
        <v>0.37</v>
      </c>
      <c r="E3205" s="1" t="s">
        <v>117</v>
      </c>
      <c r="F3205" s="1" t="s">
        <v>117</v>
      </c>
      <c r="G3205" s="1" t="s">
        <v>117</v>
      </c>
      <c r="H3205" s="1" t="str">
        <f>VLOOKUP(F3205,Countries!$A$1:$B$161,2,0)</f>
        <v>Slovak Republic</v>
      </c>
    </row>
    <row r="3206" spans="1:8" x14ac:dyDescent="0.3">
      <c r="A3206" s="3">
        <v>46251.842777777783</v>
      </c>
      <c r="B3206" s="1">
        <v>11.75</v>
      </c>
      <c r="C3206" s="1">
        <v>10.15</v>
      </c>
      <c r="D3206" s="1">
        <v>0.78</v>
      </c>
      <c r="E3206" s="1" t="s">
        <v>128</v>
      </c>
      <c r="F3206" s="1" t="s">
        <v>128</v>
      </c>
      <c r="G3206" s="1" t="s">
        <v>128</v>
      </c>
      <c r="H3206" s="1" t="str">
        <f>VLOOKUP(F3206,Countries!$A$1:$B$161,2,0)</f>
        <v>South Africa</v>
      </c>
    </row>
    <row r="3207" spans="1:8" x14ac:dyDescent="0.3">
      <c r="A3207" s="3">
        <v>46251.83929398148</v>
      </c>
      <c r="B3207" s="1">
        <v>29.41</v>
      </c>
      <c r="C3207" s="1">
        <v>25.4</v>
      </c>
      <c r="D3207" s="1">
        <v>1.59</v>
      </c>
      <c r="E3207" s="1" t="s">
        <v>128</v>
      </c>
      <c r="F3207" s="1" t="s">
        <v>128</v>
      </c>
      <c r="G3207" s="1" t="s">
        <v>128</v>
      </c>
      <c r="H3207" s="1" t="str">
        <f>VLOOKUP(F3207,Countries!$A$1:$B$161,2,0)</f>
        <v>South Africa</v>
      </c>
    </row>
    <row r="3208" spans="1:8" x14ac:dyDescent="0.3">
      <c r="A3208" s="3">
        <v>46251.83730324074</v>
      </c>
      <c r="B3208" s="1">
        <v>6.37</v>
      </c>
      <c r="C3208" s="1">
        <v>5.5</v>
      </c>
      <c r="D3208" s="1">
        <v>0.54</v>
      </c>
      <c r="E3208" s="1" t="s">
        <v>113</v>
      </c>
      <c r="F3208" s="1" t="s">
        <v>113</v>
      </c>
      <c r="G3208" s="1" t="s">
        <v>113</v>
      </c>
      <c r="H3208" s="1" t="str">
        <f>VLOOKUP(F3208,Countries!$A$1:$B$161,2,0)</f>
        <v>United States of America</v>
      </c>
    </row>
    <row r="3209" spans="1:8" x14ac:dyDescent="0.3">
      <c r="A3209" s="3">
        <v>46251.836354166669</v>
      </c>
      <c r="B3209" s="1">
        <v>7.77</v>
      </c>
      <c r="C3209" s="1">
        <v>6.71</v>
      </c>
      <c r="D3209" s="1">
        <v>0.48</v>
      </c>
      <c r="E3209" s="1" t="s">
        <v>137</v>
      </c>
      <c r="F3209" s="1" t="s">
        <v>137</v>
      </c>
      <c r="G3209" s="1" t="s">
        <v>137</v>
      </c>
      <c r="H3209" s="1" t="str">
        <f>VLOOKUP(F3209,Countries!$A$1:$B$161,2,0)</f>
        <v>Poland</v>
      </c>
    </row>
    <row r="3210" spans="1:8" x14ac:dyDescent="0.3">
      <c r="A3210" s="3">
        <v>46251.836018518523</v>
      </c>
      <c r="B3210" s="1">
        <v>11.75</v>
      </c>
      <c r="C3210" s="1">
        <v>10.15</v>
      </c>
      <c r="D3210" s="1">
        <v>0.78</v>
      </c>
      <c r="E3210" s="1" t="s">
        <v>128</v>
      </c>
      <c r="F3210" s="1" t="s">
        <v>128</v>
      </c>
      <c r="G3210" s="1" t="s">
        <v>128</v>
      </c>
      <c r="H3210" s="1" t="str">
        <f>VLOOKUP(F3210,Countries!$A$1:$B$161,2,0)</f>
        <v>South Africa</v>
      </c>
    </row>
    <row r="3211" spans="1:8" x14ac:dyDescent="0.3">
      <c r="A3211" s="3">
        <v>46251.835914351846</v>
      </c>
      <c r="B3211" s="1">
        <v>10.85</v>
      </c>
      <c r="C3211" s="1">
        <v>9.3699999999999992</v>
      </c>
      <c r="D3211" s="1">
        <v>0.74</v>
      </c>
      <c r="E3211" s="1" t="s">
        <v>115</v>
      </c>
      <c r="F3211" s="1" t="s">
        <v>115</v>
      </c>
      <c r="G3211" s="1" t="s">
        <v>115</v>
      </c>
      <c r="H3211" s="1" t="str">
        <f>VLOOKUP(F3211,Countries!$A$1:$B$161,2,0)</f>
        <v>Switzerland</v>
      </c>
    </row>
    <row r="3212" spans="1:8" x14ac:dyDescent="0.3">
      <c r="A3212" s="3">
        <v>46251.832372685189</v>
      </c>
      <c r="B3212" s="1">
        <v>3.51</v>
      </c>
      <c r="C3212" s="1">
        <v>3.03</v>
      </c>
      <c r="D3212" s="1">
        <v>0.41</v>
      </c>
      <c r="E3212" s="1" t="s">
        <v>128</v>
      </c>
      <c r="F3212" s="1" t="s">
        <v>128</v>
      </c>
      <c r="G3212" s="1" t="s">
        <v>128</v>
      </c>
      <c r="H3212" s="1" t="str">
        <f>VLOOKUP(F3212,Countries!$A$1:$B$161,2,0)</f>
        <v>South Africa</v>
      </c>
    </row>
    <row r="3213" spans="1:8" x14ac:dyDescent="0.3">
      <c r="A3213" s="3">
        <v>46251.83216435185</v>
      </c>
      <c r="B3213" s="1">
        <v>2.11</v>
      </c>
      <c r="C3213" s="1">
        <v>1.82</v>
      </c>
      <c r="D3213" s="1">
        <v>0.35</v>
      </c>
      <c r="E3213" s="1" t="s">
        <v>113</v>
      </c>
      <c r="F3213" s="1" t="s">
        <v>113</v>
      </c>
      <c r="G3213" s="1" t="s">
        <v>113</v>
      </c>
      <c r="H3213" s="1" t="str">
        <f>VLOOKUP(F3213,Countries!$A$1:$B$161,2,0)</f>
        <v>United States of America</v>
      </c>
    </row>
    <row r="3214" spans="1:8" x14ac:dyDescent="0.3">
      <c r="A3214" s="3">
        <v>46251.823229166657</v>
      </c>
      <c r="B3214" s="1">
        <v>6.37</v>
      </c>
      <c r="C3214" s="1">
        <v>5.5</v>
      </c>
      <c r="D3214" s="1">
        <v>0.54</v>
      </c>
      <c r="E3214" s="1" t="s">
        <v>113</v>
      </c>
      <c r="F3214" s="1" t="s">
        <v>113</v>
      </c>
      <c r="G3214" s="1" t="s">
        <v>113</v>
      </c>
      <c r="H3214" s="1" t="str">
        <f>VLOOKUP(F3214,Countries!$A$1:$B$161,2,0)</f>
        <v>United States of America</v>
      </c>
    </row>
    <row r="3215" spans="1:8" x14ac:dyDescent="0.3">
      <c r="A3215" s="3">
        <v>46251.820381944453</v>
      </c>
      <c r="B3215" s="1">
        <v>10.85</v>
      </c>
      <c r="C3215" s="1">
        <v>9.3800000000000008</v>
      </c>
      <c r="D3215" s="1">
        <v>0.74</v>
      </c>
      <c r="E3215" s="1" t="s">
        <v>115</v>
      </c>
      <c r="F3215" s="1" t="s">
        <v>115</v>
      </c>
      <c r="G3215" s="1" t="s">
        <v>115</v>
      </c>
      <c r="H3215" s="1" t="str">
        <f>VLOOKUP(F3215,Countries!$A$1:$B$161,2,0)</f>
        <v>Switzerland</v>
      </c>
    </row>
    <row r="3216" spans="1:8" x14ac:dyDescent="0.3">
      <c r="A3216" s="3">
        <v>46251.81759259259</v>
      </c>
      <c r="B3216" s="1">
        <v>1.99</v>
      </c>
      <c r="C3216" s="1">
        <v>1.72</v>
      </c>
      <c r="D3216" s="1">
        <v>0.32</v>
      </c>
      <c r="E3216" s="1" t="s">
        <v>119</v>
      </c>
      <c r="F3216" s="1" t="s">
        <v>119</v>
      </c>
      <c r="G3216" s="1" t="s">
        <v>119</v>
      </c>
      <c r="H3216" s="1" t="str">
        <f>VLOOKUP(F3216,Countries!$A$1:$B$161,2,0)</f>
        <v>Great Britain (United Kingdom)</v>
      </c>
    </row>
    <row r="3217" spans="1:8" x14ac:dyDescent="0.3">
      <c r="A3217" s="3">
        <v>46251.813761574071</v>
      </c>
      <c r="B3217" s="1">
        <v>6.37</v>
      </c>
      <c r="C3217" s="1">
        <v>5.5</v>
      </c>
      <c r="D3217" s="1">
        <v>0.54</v>
      </c>
      <c r="E3217" s="1" t="s">
        <v>113</v>
      </c>
      <c r="F3217" s="1" t="s">
        <v>113</v>
      </c>
      <c r="G3217" s="1" t="s">
        <v>113</v>
      </c>
      <c r="H3217" s="1" t="str">
        <f>VLOOKUP(F3217,Countries!$A$1:$B$161,2,0)</f>
        <v>United States of America</v>
      </c>
    </row>
    <row r="3218" spans="1:8" x14ac:dyDescent="0.3">
      <c r="A3218" s="3">
        <v>46251.810196759259</v>
      </c>
      <c r="B3218" s="1">
        <v>7.58</v>
      </c>
      <c r="C3218" s="1">
        <v>6.55</v>
      </c>
      <c r="D3218" s="1">
        <v>0.48</v>
      </c>
      <c r="E3218" s="1" t="s">
        <v>116</v>
      </c>
      <c r="F3218" s="1" t="s">
        <v>116</v>
      </c>
      <c r="G3218" s="1" t="s">
        <v>116</v>
      </c>
      <c r="H3218" s="1" t="str">
        <f>VLOOKUP(F3218,Countries!$A$1:$B$161,2,0)</f>
        <v>Spain</v>
      </c>
    </row>
    <row r="3219" spans="1:8" x14ac:dyDescent="0.3">
      <c r="A3219" s="3">
        <v>46251.807118055563</v>
      </c>
      <c r="B3219" s="1">
        <v>20.7</v>
      </c>
      <c r="C3219" s="1">
        <v>17.89</v>
      </c>
      <c r="D3219" s="1">
        <v>1.19</v>
      </c>
      <c r="E3219" s="1" t="s">
        <v>113</v>
      </c>
      <c r="F3219" s="1" t="s">
        <v>113</v>
      </c>
      <c r="G3219" s="1" t="s">
        <v>113</v>
      </c>
      <c r="H3219" s="1" t="str">
        <f>VLOOKUP(F3219,Countries!$A$1:$B$161,2,0)</f>
        <v>United States of America</v>
      </c>
    </row>
    <row r="3220" spans="1:8" x14ac:dyDescent="0.3">
      <c r="A3220" s="3">
        <v>46251.805231481478</v>
      </c>
      <c r="B3220" s="1">
        <v>10.85</v>
      </c>
      <c r="C3220" s="1">
        <v>9.3800000000000008</v>
      </c>
      <c r="D3220" s="1">
        <v>0.74</v>
      </c>
      <c r="E3220" s="1" t="s">
        <v>115</v>
      </c>
      <c r="F3220" s="1" t="s">
        <v>115</v>
      </c>
      <c r="G3220" s="1" t="s">
        <v>115</v>
      </c>
      <c r="H3220" s="1" t="str">
        <f>VLOOKUP(F3220,Countries!$A$1:$B$161,2,0)</f>
        <v>Switzerland</v>
      </c>
    </row>
    <row r="3221" spans="1:8" x14ac:dyDescent="0.3">
      <c r="A3221" s="3">
        <v>46251.798101851848</v>
      </c>
      <c r="B3221" s="1">
        <v>2.99</v>
      </c>
      <c r="C3221" s="1">
        <v>2.58</v>
      </c>
      <c r="D3221" s="1">
        <v>0.34</v>
      </c>
      <c r="E3221" s="1" t="s">
        <v>120</v>
      </c>
      <c r="F3221" s="1" t="s">
        <v>120</v>
      </c>
      <c r="G3221" s="1" t="s">
        <v>120</v>
      </c>
      <c r="H3221" s="1" t="str">
        <f>VLOOKUP(F3221,Countries!$A$1:$B$161,2,0)</f>
        <v>Czech Republic</v>
      </c>
    </row>
    <row r="3222" spans="1:8" x14ac:dyDescent="0.3">
      <c r="A3222" s="3">
        <v>46251.796296296299</v>
      </c>
      <c r="B3222" s="1">
        <v>6.37</v>
      </c>
      <c r="C3222" s="1">
        <v>5.5</v>
      </c>
      <c r="D3222" s="1">
        <v>0.54</v>
      </c>
      <c r="E3222" s="1" t="s">
        <v>113</v>
      </c>
      <c r="F3222" s="1" t="s">
        <v>113</v>
      </c>
      <c r="G3222" s="1" t="s">
        <v>113</v>
      </c>
      <c r="H3222" s="1" t="str">
        <f>VLOOKUP(F3222,Countries!$A$1:$B$161,2,0)</f>
        <v>United States of America</v>
      </c>
    </row>
    <row r="3223" spans="1:8" x14ac:dyDescent="0.3">
      <c r="A3223" s="3">
        <v>46251.793368055558</v>
      </c>
      <c r="B3223" s="1">
        <v>6.65</v>
      </c>
      <c r="C3223" s="1">
        <v>5.74</v>
      </c>
      <c r="D3223" s="1">
        <v>0.55000000000000004</v>
      </c>
      <c r="E3223" s="1" t="s">
        <v>121</v>
      </c>
      <c r="F3223" s="1" t="s">
        <v>121</v>
      </c>
      <c r="G3223" s="1" t="s">
        <v>121</v>
      </c>
      <c r="H3223" s="1" t="str">
        <f>VLOOKUP(F3223,Countries!$A$1:$B$161,2,0)</f>
        <v>Japan</v>
      </c>
    </row>
    <row r="3224" spans="1:8" x14ac:dyDescent="0.3">
      <c r="A3224" s="3">
        <v>46251.792881944442</v>
      </c>
      <c r="B3224" s="1">
        <v>6.37</v>
      </c>
      <c r="C3224" s="1">
        <v>5.5</v>
      </c>
      <c r="D3224" s="1">
        <v>0.54</v>
      </c>
      <c r="E3224" s="1" t="s">
        <v>113</v>
      </c>
      <c r="F3224" s="1" t="s">
        <v>113</v>
      </c>
      <c r="G3224" s="1" t="s">
        <v>113</v>
      </c>
      <c r="H3224" s="1" t="str">
        <f>VLOOKUP(F3224,Countries!$A$1:$B$161,2,0)</f>
        <v>United States of America</v>
      </c>
    </row>
    <row r="3225" spans="1:8" x14ac:dyDescent="0.3">
      <c r="A3225" s="3">
        <v>46251.791168981479</v>
      </c>
      <c r="B3225" s="1">
        <v>2.11</v>
      </c>
      <c r="C3225" s="1">
        <v>1.82</v>
      </c>
      <c r="D3225" s="1">
        <v>0.35</v>
      </c>
      <c r="E3225" s="1" t="s">
        <v>113</v>
      </c>
      <c r="F3225" s="1" t="s">
        <v>113</v>
      </c>
      <c r="G3225" s="1" t="s">
        <v>113</v>
      </c>
      <c r="H3225" s="1" t="str">
        <f>VLOOKUP(F3225,Countries!$A$1:$B$161,2,0)</f>
        <v>United States of America</v>
      </c>
    </row>
    <row r="3226" spans="1:8" x14ac:dyDescent="0.3">
      <c r="A3226" s="3">
        <v>46251.788310185177</v>
      </c>
      <c r="B3226" s="1">
        <v>2.11</v>
      </c>
      <c r="C3226" s="1">
        <v>1.82</v>
      </c>
      <c r="D3226" s="1">
        <v>0.35</v>
      </c>
      <c r="E3226" s="1" t="s">
        <v>113</v>
      </c>
      <c r="F3226" s="1" t="s">
        <v>113</v>
      </c>
      <c r="G3226" s="1" t="s">
        <v>113</v>
      </c>
      <c r="H3226" s="1" t="str">
        <f>VLOOKUP(F3226,Countries!$A$1:$B$161,2,0)</f>
        <v>United States of America</v>
      </c>
    </row>
    <row r="3227" spans="1:8" x14ac:dyDescent="0.3">
      <c r="A3227" s="3">
        <v>46251.774814814817</v>
      </c>
      <c r="B3227" s="1">
        <v>2.11</v>
      </c>
      <c r="C3227" s="1">
        <v>1.82</v>
      </c>
      <c r="D3227" s="1">
        <v>0.35</v>
      </c>
      <c r="E3227" s="1" t="s">
        <v>113</v>
      </c>
      <c r="F3227" s="1" t="s">
        <v>113</v>
      </c>
      <c r="G3227" s="1" t="s">
        <v>113</v>
      </c>
      <c r="H3227" s="1" t="str">
        <f>VLOOKUP(F3227,Countries!$A$1:$B$161,2,0)</f>
        <v>United States of America</v>
      </c>
    </row>
    <row r="3228" spans="1:8" x14ac:dyDescent="0.3">
      <c r="A3228" s="3">
        <v>46251.77449074074</v>
      </c>
      <c r="B3228" s="1">
        <v>14.77</v>
      </c>
      <c r="C3228" s="1">
        <v>12.76</v>
      </c>
      <c r="D3228" s="1">
        <v>0.92</v>
      </c>
      <c r="E3228" s="1" t="s">
        <v>113</v>
      </c>
      <c r="F3228" s="1" t="s">
        <v>113</v>
      </c>
      <c r="G3228" s="1" t="s">
        <v>113</v>
      </c>
      <c r="H3228" s="1" t="str">
        <f>VLOOKUP(F3228,Countries!$A$1:$B$161,2,0)</f>
        <v>United States of America</v>
      </c>
    </row>
    <row r="3229" spans="1:8" x14ac:dyDescent="0.3">
      <c r="A3229" s="3">
        <v>46251.773275462961</v>
      </c>
      <c r="B3229" s="1">
        <v>3.39</v>
      </c>
      <c r="C3229" s="1">
        <v>2.93</v>
      </c>
      <c r="D3229" s="1">
        <v>0.41</v>
      </c>
      <c r="E3229" s="1" t="s">
        <v>114</v>
      </c>
      <c r="F3229" s="1" t="s">
        <v>114</v>
      </c>
      <c r="G3229" s="1" t="s">
        <v>114</v>
      </c>
      <c r="H3229" s="1" t="str">
        <f>VLOOKUP(F3229,Countries!$A$1:$B$161,2,0)</f>
        <v>Philippines</v>
      </c>
    </row>
    <row r="3230" spans="1:8" x14ac:dyDescent="0.3">
      <c r="A3230" s="3">
        <v>46251.768657407411</v>
      </c>
      <c r="B3230" s="1">
        <v>6.37</v>
      </c>
      <c r="C3230" s="1">
        <v>5.5</v>
      </c>
      <c r="D3230" s="1">
        <v>0.54</v>
      </c>
      <c r="E3230" s="1" t="s">
        <v>113</v>
      </c>
      <c r="F3230" s="1" t="s">
        <v>113</v>
      </c>
      <c r="G3230" s="1" t="s">
        <v>113</v>
      </c>
      <c r="H3230" s="1" t="str">
        <f>VLOOKUP(F3230,Countries!$A$1:$B$161,2,0)</f>
        <v>United States of America</v>
      </c>
    </row>
    <row r="3231" spans="1:8" x14ac:dyDescent="0.3">
      <c r="A3231" s="3">
        <v>46251.767384259263</v>
      </c>
      <c r="B3231" s="1">
        <v>7.48</v>
      </c>
      <c r="C3231" s="1">
        <v>6.46</v>
      </c>
      <c r="D3231" s="1">
        <v>0.54</v>
      </c>
      <c r="E3231" s="1" t="s">
        <v>119</v>
      </c>
      <c r="F3231" s="1" t="s">
        <v>119</v>
      </c>
      <c r="G3231" s="1" t="s">
        <v>119</v>
      </c>
      <c r="H3231" s="1" t="str">
        <f>VLOOKUP(F3231,Countries!$A$1:$B$161,2,0)</f>
        <v>Great Britain (United Kingdom)</v>
      </c>
    </row>
    <row r="3232" spans="1:8" x14ac:dyDescent="0.3">
      <c r="A3232" s="3">
        <v>46251.760636574072</v>
      </c>
      <c r="B3232" s="1">
        <v>6.37</v>
      </c>
      <c r="C3232" s="1">
        <v>5.5</v>
      </c>
      <c r="D3232" s="1">
        <v>0.54</v>
      </c>
      <c r="E3232" s="1" t="s">
        <v>113</v>
      </c>
      <c r="F3232" s="1" t="s">
        <v>113</v>
      </c>
      <c r="G3232" s="1" t="s">
        <v>113</v>
      </c>
      <c r="H3232" s="1" t="str">
        <f>VLOOKUP(F3232,Countries!$A$1:$B$161,2,0)</f>
        <v>United States of America</v>
      </c>
    </row>
    <row r="3233" spans="1:8" x14ac:dyDescent="0.3">
      <c r="A3233" s="3">
        <v>46251.751296296286</v>
      </c>
      <c r="B3233" s="1">
        <v>10.85</v>
      </c>
      <c r="C3233" s="1">
        <v>9.36</v>
      </c>
      <c r="D3233" s="1">
        <v>0.74</v>
      </c>
      <c r="E3233" s="1" t="s">
        <v>115</v>
      </c>
      <c r="F3233" s="1" t="s">
        <v>115</v>
      </c>
      <c r="G3233" s="1" t="s">
        <v>115</v>
      </c>
      <c r="H3233" s="1" t="str">
        <f>VLOOKUP(F3233,Countries!$A$1:$B$161,2,0)</f>
        <v>Switzerland</v>
      </c>
    </row>
    <row r="3234" spans="1:8" x14ac:dyDescent="0.3">
      <c r="A3234" s="3">
        <v>46251.725902777784</v>
      </c>
      <c r="B3234" s="1">
        <v>6.37</v>
      </c>
      <c r="C3234" s="1">
        <v>5.5</v>
      </c>
      <c r="D3234" s="1">
        <v>0.54</v>
      </c>
      <c r="E3234" s="1" t="s">
        <v>113</v>
      </c>
      <c r="F3234" s="1" t="s">
        <v>113</v>
      </c>
      <c r="G3234" s="1" t="s">
        <v>113</v>
      </c>
      <c r="H3234" s="1" t="str">
        <f>VLOOKUP(F3234,Countries!$A$1:$B$161,2,0)</f>
        <v>United States of America</v>
      </c>
    </row>
    <row r="3235" spans="1:8" x14ac:dyDescent="0.3">
      <c r="A3235" s="3">
        <v>46251.721851851849</v>
      </c>
      <c r="B3235" s="1">
        <v>26.06</v>
      </c>
      <c r="C3235" s="1">
        <v>22.49</v>
      </c>
      <c r="D3235" s="1">
        <v>1.26</v>
      </c>
      <c r="E3235" s="1" t="s">
        <v>119</v>
      </c>
      <c r="F3235" s="1" t="s">
        <v>119</v>
      </c>
      <c r="G3235" s="1" t="s">
        <v>119</v>
      </c>
      <c r="H3235" s="1" t="str">
        <f>VLOOKUP(F3235,Countries!$A$1:$B$161,2,0)</f>
        <v>Great Britain (United Kingdom)</v>
      </c>
    </row>
    <row r="3236" spans="1:8" x14ac:dyDescent="0.3">
      <c r="A3236" s="3">
        <v>46251.717395833337</v>
      </c>
      <c r="B3236" s="1">
        <v>7.58</v>
      </c>
      <c r="C3236" s="1">
        <v>6.54</v>
      </c>
      <c r="D3236" s="1">
        <v>0.48</v>
      </c>
      <c r="E3236" s="1" t="s">
        <v>113</v>
      </c>
      <c r="F3236" s="1" t="s">
        <v>113</v>
      </c>
      <c r="G3236" s="1" t="s">
        <v>113</v>
      </c>
      <c r="H3236" s="1" t="str">
        <f>VLOOKUP(F3236,Countries!$A$1:$B$161,2,0)</f>
        <v>United States of America</v>
      </c>
    </row>
    <row r="3237" spans="1:8" x14ac:dyDescent="0.3">
      <c r="A3237" s="3">
        <v>46251.717372685183</v>
      </c>
      <c r="B3237" s="1">
        <v>6.37</v>
      </c>
      <c r="C3237" s="1">
        <v>5.5</v>
      </c>
      <c r="D3237" s="1">
        <v>0.54</v>
      </c>
      <c r="E3237" s="1" t="s">
        <v>113</v>
      </c>
      <c r="F3237" s="1" t="s">
        <v>113</v>
      </c>
      <c r="G3237" s="1" t="s">
        <v>113</v>
      </c>
      <c r="H3237" s="1" t="str">
        <f>VLOOKUP(F3237,Countries!$A$1:$B$161,2,0)</f>
        <v>United States of America</v>
      </c>
    </row>
    <row r="3238" spans="1:8" x14ac:dyDescent="0.3">
      <c r="A3238" s="3">
        <v>46251.71670138889</v>
      </c>
      <c r="B3238" s="1">
        <v>51.75</v>
      </c>
      <c r="C3238" s="1">
        <v>44.66</v>
      </c>
      <c r="D3238" s="1">
        <v>2.59</v>
      </c>
      <c r="E3238" s="1" t="s">
        <v>113</v>
      </c>
      <c r="F3238" s="1" t="s">
        <v>113</v>
      </c>
      <c r="G3238" s="1" t="s">
        <v>113</v>
      </c>
      <c r="H3238" s="1" t="str">
        <f>VLOOKUP(F3238,Countries!$A$1:$B$161,2,0)</f>
        <v>United States of America</v>
      </c>
    </row>
    <row r="3239" spans="1:8" x14ac:dyDescent="0.3">
      <c r="A3239" s="3">
        <v>46251.709780092591</v>
      </c>
      <c r="B3239" s="1">
        <v>7.39</v>
      </c>
      <c r="C3239" s="1">
        <v>6.38</v>
      </c>
      <c r="D3239" s="1">
        <v>0.59</v>
      </c>
      <c r="E3239" s="1" t="s">
        <v>113</v>
      </c>
      <c r="F3239" s="1" t="s">
        <v>113</v>
      </c>
      <c r="G3239" s="1" t="s">
        <v>113</v>
      </c>
      <c r="H3239" s="1" t="str">
        <f>VLOOKUP(F3239,Countries!$A$1:$B$161,2,0)</f>
        <v>United States of America</v>
      </c>
    </row>
    <row r="3240" spans="1:8" x14ac:dyDescent="0.3">
      <c r="A3240" s="3">
        <v>46251.705081018517</v>
      </c>
      <c r="B3240" s="1">
        <v>6.37</v>
      </c>
      <c r="C3240" s="1">
        <v>5.5</v>
      </c>
      <c r="D3240" s="1">
        <v>0.54</v>
      </c>
      <c r="E3240" s="1" t="s">
        <v>113</v>
      </c>
      <c r="F3240" s="1" t="s">
        <v>113</v>
      </c>
      <c r="G3240" s="1" t="s">
        <v>113</v>
      </c>
      <c r="H3240" s="1" t="str">
        <f>VLOOKUP(F3240,Countries!$A$1:$B$161,2,0)</f>
        <v>United States of America</v>
      </c>
    </row>
    <row r="3241" spans="1:8" x14ac:dyDescent="0.3">
      <c r="A3241" s="3">
        <v>46251.685185185182</v>
      </c>
      <c r="B3241" s="1">
        <v>3.69</v>
      </c>
      <c r="C3241" s="1">
        <v>3.18</v>
      </c>
      <c r="D3241" s="1">
        <v>0.36</v>
      </c>
      <c r="E3241" s="1" t="s">
        <v>159</v>
      </c>
      <c r="F3241" s="1" t="s">
        <v>159</v>
      </c>
      <c r="G3241" s="1" t="s">
        <v>159</v>
      </c>
      <c r="H3241" s="1" t="str">
        <f>VLOOKUP(F3241,Countries!$A$1:$B$161,2,0)</f>
        <v>Romania</v>
      </c>
    </row>
    <row r="3242" spans="1:8" x14ac:dyDescent="0.3">
      <c r="A3242" s="3">
        <v>46251.680937500001</v>
      </c>
      <c r="B3242" s="1">
        <v>14.77</v>
      </c>
      <c r="C3242" s="1">
        <v>12.74</v>
      </c>
      <c r="D3242" s="1">
        <v>0.91</v>
      </c>
      <c r="E3242" s="1" t="s">
        <v>113</v>
      </c>
      <c r="F3242" s="1" t="s">
        <v>113</v>
      </c>
      <c r="G3242" s="1" t="s">
        <v>113</v>
      </c>
      <c r="H3242" s="1" t="str">
        <f>VLOOKUP(F3242,Countries!$A$1:$B$161,2,0)</f>
        <v>United States of America</v>
      </c>
    </row>
    <row r="3243" spans="1:8" x14ac:dyDescent="0.3">
      <c r="A3243" s="3">
        <v>46251.678472222222</v>
      </c>
      <c r="B3243" s="1">
        <v>17.36</v>
      </c>
      <c r="C3243" s="1">
        <v>14.98</v>
      </c>
      <c r="D3243" s="1">
        <v>0.77</v>
      </c>
      <c r="E3243" s="1" t="s">
        <v>123</v>
      </c>
      <c r="F3243" s="1" t="s">
        <v>123</v>
      </c>
      <c r="G3243" s="1" t="s">
        <v>123</v>
      </c>
      <c r="H3243" s="1" t="str">
        <f>VLOOKUP(F3243,Countries!$A$1:$B$161,2,0)</f>
        <v>France</v>
      </c>
    </row>
    <row r="3244" spans="1:8" x14ac:dyDescent="0.3">
      <c r="A3244" s="3">
        <v>46251.676932870367</v>
      </c>
      <c r="B3244" s="1">
        <v>6.37</v>
      </c>
      <c r="C3244" s="1">
        <v>5.5</v>
      </c>
      <c r="D3244" s="1">
        <v>0.54</v>
      </c>
      <c r="E3244" s="1" t="s">
        <v>113</v>
      </c>
      <c r="F3244" s="1" t="s">
        <v>113</v>
      </c>
      <c r="G3244" s="1" t="s">
        <v>113</v>
      </c>
      <c r="H3244" s="1" t="str">
        <f>VLOOKUP(F3244,Countries!$A$1:$B$161,2,0)</f>
        <v>United States of America</v>
      </c>
    </row>
    <row r="3245" spans="1:8" x14ac:dyDescent="0.3">
      <c r="A3245" s="3">
        <v>46251.676122685189</v>
      </c>
      <c r="B3245" s="1">
        <v>5.99</v>
      </c>
      <c r="C3245" s="1">
        <v>5.17</v>
      </c>
      <c r="D3245" s="1">
        <v>0.52</v>
      </c>
      <c r="E3245" s="1" t="s">
        <v>113</v>
      </c>
      <c r="F3245" s="1" t="s">
        <v>113</v>
      </c>
      <c r="G3245" s="1" t="s">
        <v>113</v>
      </c>
      <c r="H3245" s="1" t="str">
        <f>VLOOKUP(F3245,Countries!$A$1:$B$161,2,0)</f>
        <v>United States of America</v>
      </c>
    </row>
    <row r="3246" spans="1:8" x14ac:dyDescent="0.3">
      <c r="A3246" s="3">
        <v>46251.66920138889</v>
      </c>
      <c r="B3246" s="1">
        <v>26.06</v>
      </c>
      <c r="C3246" s="1">
        <v>22.49</v>
      </c>
      <c r="D3246" s="1">
        <v>1.04</v>
      </c>
      <c r="E3246" s="1" t="s">
        <v>123</v>
      </c>
      <c r="F3246" s="1" t="s">
        <v>123</v>
      </c>
      <c r="G3246" s="1" t="s">
        <v>123</v>
      </c>
      <c r="H3246" s="1" t="str">
        <f>VLOOKUP(F3246,Countries!$A$1:$B$161,2,0)</f>
        <v>France</v>
      </c>
    </row>
    <row r="3247" spans="1:8" x14ac:dyDescent="0.3">
      <c r="A3247" s="3">
        <v>46251.668958333343</v>
      </c>
      <c r="B3247" s="1">
        <v>20.85</v>
      </c>
      <c r="C3247" s="1">
        <v>17.989999999999998</v>
      </c>
      <c r="D3247" s="1">
        <v>0.88</v>
      </c>
      <c r="E3247" s="1" t="s">
        <v>123</v>
      </c>
      <c r="F3247" s="1" t="s">
        <v>123</v>
      </c>
      <c r="G3247" s="1" t="s">
        <v>123</v>
      </c>
      <c r="H3247" s="1" t="str">
        <f>VLOOKUP(F3247,Countries!$A$1:$B$161,2,0)</f>
        <v>France</v>
      </c>
    </row>
    <row r="3248" spans="1:8" x14ac:dyDescent="0.3">
      <c r="A3248" s="3">
        <v>46251.668749999997</v>
      </c>
      <c r="B3248" s="1">
        <v>6.37</v>
      </c>
      <c r="C3248" s="1">
        <v>5.5</v>
      </c>
      <c r="D3248" s="1">
        <v>0.54</v>
      </c>
      <c r="E3248" s="1" t="s">
        <v>113</v>
      </c>
      <c r="F3248" s="1" t="s">
        <v>113</v>
      </c>
      <c r="G3248" s="1" t="s">
        <v>113</v>
      </c>
      <c r="H3248" s="1" t="str">
        <f>VLOOKUP(F3248,Countries!$A$1:$B$161,2,0)</f>
        <v>United States of America</v>
      </c>
    </row>
    <row r="3249" spans="1:8" x14ac:dyDescent="0.3">
      <c r="A3249" s="3">
        <v>46251.667129629634</v>
      </c>
      <c r="B3249" s="1">
        <v>26.06</v>
      </c>
      <c r="C3249" s="1">
        <v>22.49</v>
      </c>
      <c r="D3249" s="1">
        <v>1.04</v>
      </c>
      <c r="E3249" s="1" t="s">
        <v>123</v>
      </c>
      <c r="F3249" s="1" t="s">
        <v>123</v>
      </c>
      <c r="G3249" s="1" t="s">
        <v>123</v>
      </c>
      <c r="H3249" s="1" t="str">
        <f>VLOOKUP(F3249,Countries!$A$1:$B$161,2,0)</f>
        <v>France</v>
      </c>
    </row>
    <row r="3250" spans="1:8" x14ac:dyDescent="0.3">
      <c r="A3250" s="3">
        <v>46251.666388888887</v>
      </c>
      <c r="B3250" s="1">
        <v>19.98</v>
      </c>
      <c r="C3250" s="1">
        <v>17.239999999999998</v>
      </c>
      <c r="D3250" s="1">
        <v>0.85</v>
      </c>
      <c r="E3250" s="1" t="s">
        <v>123</v>
      </c>
      <c r="F3250" s="1" t="s">
        <v>123</v>
      </c>
      <c r="G3250" s="1" t="s">
        <v>123</v>
      </c>
      <c r="H3250" s="1" t="str">
        <f>VLOOKUP(F3250,Countries!$A$1:$B$161,2,0)</f>
        <v>France</v>
      </c>
    </row>
    <row r="3251" spans="1:8" x14ac:dyDescent="0.3">
      <c r="A3251" s="3">
        <v>46251.663622685177</v>
      </c>
      <c r="B3251" s="1">
        <v>6.37</v>
      </c>
      <c r="C3251" s="1">
        <v>5.5</v>
      </c>
      <c r="D3251" s="1">
        <v>0.54</v>
      </c>
      <c r="E3251" s="1" t="s">
        <v>113</v>
      </c>
      <c r="F3251" s="1" t="s">
        <v>113</v>
      </c>
      <c r="G3251" s="1" t="s">
        <v>113</v>
      </c>
      <c r="H3251" s="1" t="str">
        <f>VLOOKUP(F3251,Countries!$A$1:$B$161,2,0)</f>
        <v>United States of America</v>
      </c>
    </row>
    <row r="3252" spans="1:8" x14ac:dyDescent="0.3">
      <c r="A3252" s="3">
        <v>46251.641481481478</v>
      </c>
      <c r="B3252" s="1">
        <v>36.96</v>
      </c>
      <c r="C3252" s="1">
        <v>31.9</v>
      </c>
      <c r="D3252" s="1">
        <v>1.93</v>
      </c>
      <c r="E3252" s="1" t="s">
        <v>113</v>
      </c>
      <c r="F3252" s="1" t="s">
        <v>113</v>
      </c>
      <c r="G3252" s="1" t="s">
        <v>113</v>
      </c>
      <c r="H3252" s="1" t="str">
        <f>VLOOKUP(F3252,Countries!$A$1:$B$161,2,0)</f>
        <v>United States of America</v>
      </c>
    </row>
    <row r="3253" spans="1:8" x14ac:dyDescent="0.3">
      <c r="A3253" s="3">
        <v>46251.640844907408</v>
      </c>
      <c r="B3253" s="1">
        <v>1.99</v>
      </c>
      <c r="C3253" s="1">
        <v>1.72</v>
      </c>
      <c r="D3253" s="1">
        <v>0.34</v>
      </c>
      <c r="E3253" s="1" t="s">
        <v>152</v>
      </c>
      <c r="F3253" s="1" t="s">
        <v>152</v>
      </c>
      <c r="G3253" s="1" t="s">
        <v>152</v>
      </c>
      <c r="H3253" s="1" t="str">
        <f>VLOOKUP(F3253,Countries!$A$1:$B$161,2,0)</f>
        <v>Singapore</v>
      </c>
    </row>
    <row r="3254" spans="1:8" x14ac:dyDescent="0.3">
      <c r="A3254" s="3">
        <v>46251.6406712963</v>
      </c>
      <c r="B3254" s="1">
        <v>17.010000000000002</v>
      </c>
      <c r="C3254" s="1">
        <v>14.68</v>
      </c>
      <c r="D3254" s="1">
        <v>1.02</v>
      </c>
      <c r="E3254" s="1" t="s">
        <v>113</v>
      </c>
      <c r="F3254" s="1" t="s">
        <v>113</v>
      </c>
      <c r="G3254" s="1" t="s">
        <v>113</v>
      </c>
      <c r="H3254" s="1" t="str">
        <f>VLOOKUP(F3254,Countries!$A$1:$B$161,2,0)</f>
        <v>United States of America</v>
      </c>
    </row>
    <row r="3255" spans="1:8" x14ac:dyDescent="0.3">
      <c r="A3255" s="3">
        <v>46251.626666666663</v>
      </c>
      <c r="B3255" s="1">
        <v>2.11</v>
      </c>
      <c r="C3255" s="1">
        <v>1.82</v>
      </c>
      <c r="D3255" s="1">
        <v>0.35</v>
      </c>
      <c r="E3255" s="1" t="s">
        <v>113</v>
      </c>
      <c r="F3255" s="1" t="s">
        <v>113</v>
      </c>
      <c r="G3255" s="1" t="s">
        <v>113</v>
      </c>
      <c r="H3255" s="1" t="str">
        <f>VLOOKUP(F3255,Countries!$A$1:$B$161,2,0)</f>
        <v>United States of America</v>
      </c>
    </row>
    <row r="3256" spans="1:8" x14ac:dyDescent="0.3">
      <c r="A3256" s="3">
        <v>46251.626180555562</v>
      </c>
      <c r="B3256" s="1">
        <v>42.54</v>
      </c>
      <c r="C3256" s="1">
        <v>36.69</v>
      </c>
      <c r="D3256" s="1">
        <v>2.17</v>
      </c>
      <c r="E3256" s="1" t="s">
        <v>113</v>
      </c>
      <c r="F3256" s="1" t="s">
        <v>113</v>
      </c>
      <c r="G3256" s="1" t="s">
        <v>113</v>
      </c>
      <c r="H3256" s="1" t="str">
        <f>VLOOKUP(F3256,Countries!$A$1:$B$161,2,0)</f>
        <v>United States of America</v>
      </c>
    </row>
    <row r="3257" spans="1:8" x14ac:dyDescent="0.3">
      <c r="A3257" s="3">
        <v>46251.625405092593</v>
      </c>
      <c r="B3257" s="1">
        <v>3.18</v>
      </c>
      <c r="C3257" s="1">
        <v>2.74</v>
      </c>
      <c r="D3257" s="1">
        <v>0.39</v>
      </c>
      <c r="E3257" s="1" t="s">
        <v>113</v>
      </c>
      <c r="F3257" s="1" t="s">
        <v>113</v>
      </c>
      <c r="G3257" s="1" t="s">
        <v>113</v>
      </c>
      <c r="H3257" s="1" t="str">
        <f>VLOOKUP(F3257,Countries!$A$1:$B$161,2,0)</f>
        <v>United States of America</v>
      </c>
    </row>
    <row r="3258" spans="1:8" x14ac:dyDescent="0.3">
      <c r="A3258" s="3">
        <v>46251.624583333331</v>
      </c>
      <c r="B3258" s="1">
        <v>6.37</v>
      </c>
      <c r="C3258" s="1">
        <v>5.49</v>
      </c>
      <c r="D3258" s="1">
        <v>0.54</v>
      </c>
      <c r="E3258" s="1" t="s">
        <v>113</v>
      </c>
      <c r="F3258" s="1" t="s">
        <v>113</v>
      </c>
      <c r="G3258" s="1" t="s">
        <v>113</v>
      </c>
      <c r="H3258" s="1" t="str">
        <f>VLOOKUP(F3258,Countries!$A$1:$B$161,2,0)</f>
        <v>United States of America</v>
      </c>
    </row>
    <row r="3259" spans="1:8" x14ac:dyDescent="0.3">
      <c r="A3259" s="3">
        <v>46251.624386574083</v>
      </c>
      <c r="B3259" s="1">
        <v>17.010000000000002</v>
      </c>
      <c r="C3259" s="1">
        <v>14.67</v>
      </c>
      <c r="D3259" s="1">
        <v>1.02</v>
      </c>
      <c r="E3259" s="1" t="s">
        <v>113</v>
      </c>
      <c r="F3259" s="1" t="s">
        <v>113</v>
      </c>
      <c r="G3259" s="1" t="s">
        <v>113</v>
      </c>
      <c r="H3259" s="1" t="str">
        <f>VLOOKUP(F3259,Countries!$A$1:$B$161,2,0)</f>
        <v>United States of America</v>
      </c>
    </row>
    <row r="3260" spans="1:8" x14ac:dyDescent="0.3">
      <c r="A3260" s="3">
        <v>46251.623310185183</v>
      </c>
      <c r="B3260" s="1">
        <v>7.39</v>
      </c>
      <c r="C3260" s="1">
        <v>6.37</v>
      </c>
      <c r="D3260" s="1">
        <v>0.48</v>
      </c>
      <c r="E3260" s="1" t="s">
        <v>147</v>
      </c>
      <c r="F3260" s="1" t="s">
        <v>147</v>
      </c>
      <c r="G3260" s="1" t="s">
        <v>147</v>
      </c>
      <c r="H3260" s="1" t="str">
        <f>VLOOKUP(F3260,Countries!$A$1:$B$161,2,0)</f>
        <v>Germany</v>
      </c>
    </row>
    <row r="3261" spans="1:8" x14ac:dyDescent="0.3">
      <c r="A3261" s="3">
        <v>46251.616527777784</v>
      </c>
      <c r="B3261" s="1">
        <v>6.65</v>
      </c>
      <c r="C3261" s="1">
        <v>5.74</v>
      </c>
      <c r="D3261" s="1">
        <v>0.55000000000000004</v>
      </c>
      <c r="E3261" s="1" t="s">
        <v>130</v>
      </c>
      <c r="F3261" s="1" t="s">
        <v>130</v>
      </c>
      <c r="G3261" s="1" t="s">
        <v>130</v>
      </c>
      <c r="H3261" s="1" t="str">
        <f>VLOOKUP(F3261,Countries!$A$1:$B$161,2,0)</f>
        <v>Australia</v>
      </c>
    </row>
    <row r="3262" spans="1:8" x14ac:dyDescent="0.3">
      <c r="A3262" s="3">
        <v>46251.607349537036</v>
      </c>
      <c r="B3262" s="1">
        <v>7.67</v>
      </c>
      <c r="C3262" s="1">
        <v>6.62</v>
      </c>
      <c r="D3262" s="1">
        <v>0.48</v>
      </c>
      <c r="E3262" s="1" t="s">
        <v>124</v>
      </c>
      <c r="F3262" s="1" t="s">
        <v>124</v>
      </c>
      <c r="G3262" s="1" t="s">
        <v>124</v>
      </c>
      <c r="H3262" s="1" t="str">
        <f>VLOOKUP(F3262,Countries!$A$1:$B$161,2,0)</f>
        <v>Italy</v>
      </c>
    </row>
    <row r="3263" spans="1:8" x14ac:dyDescent="0.3">
      <c r="A3263" s="3">
        <v>46251.605844907397</v>
      </c>
      <c r="B3263" s="1">
        <v>6.37</v>
      </c>
      <c r="C3263" s="1">
        <v>5.49</v>
      </c>
      <c r="D3263" s="1">
        <v>0.54</v>
      </c>
      <c r="E3263" s="1" t="s">
        <v>113</v>
      </c>
      <c r="F3263" s="1" t="s">
        <v>113</v>
      </c>
      <c r="G3263" s="1" t="s">
        <v>113</v>
      </c>
      <c r="H3263" s="1" t="str">
        <f>VLOOKUP(F3263,Countries!$A$1:$B$161,2,0)</f>
        <v>United States of America</v>
      </c>
    </row>
    <row r="3264" spans="1:8" x14ac:dyDescent="0.3">
      <c r="A3264" s="3">
        <v>46251.601597222223</v>
      </c>
      <c r="B3264" s="1">
        <v>12.97</v>
      </c>
      <c r="C3264" s="1">
        <v>11.19</v>
      </c>
      <c r="D3264" s="1">
        <v>0.64</v>
      </c>
      <c r="E3264" s="1" t="s">
        <v>137</v>
      </c>
      <c r="F3264" s="1" t="s">
        <v>137</v>
      </c>
      <c r="G3264" s="1" t="s">
        <v>137</v>
      </c>
      <c r="H3264" s="1" t="str">
        <f>VLOOKUP(F3264,Countries!$A$1:$B$161,2,0)</f>
        <v>Poland</v>
      </c>
    </row>
    <row r="3265" spans="1:8" x14ac:dyDescent="0.3">
      <c r="A3265" s="3">
        <v>46251.599872685183</v>
      </c>
      <c r="B3265" s="1">
        <v>7.58</v>
      </c>
      <c r="C3265" s="1">
        <v>6.54</v>
      </c>
      <c r="D3265" s="1">
        <v>0.59</v>
      </c>
      <c r="E3265" s="1" t="s">
        <v>163</v>
      </c>
      <c r="F3265" s="1" t="s">
        <v>163</v>
      </c>
      <c r="G3265" s="1" t="s">
        <v>163</v>
      </c>
      <c r="H3265" s="1" t="str">
        <f>VLOOKUP(F3265,Countries!$A$1:$B$161,2,0)</f>
        <v>Saudi Arabia</v>
      </c>
    </row>
    <row r="3266" spans="1:8" x14ac:dyDescent="0.3">
      <c r="A3266" s="3">
        <v>46251.592199074083</v>
      </c>
      <c r="B3266" s="1">
        <v>60.81</v>
      </c>
      <c r="C3266" s="1">
        <v>52.45</v>
      </c>
      <c r="D3266" s="1">
        <v>2.61</v>
      </c>
      <c r="E3266" s="1" t="s">
        <v>119</v>
      </c>
      <c r="F3266" s="1" t="s">
        <v>119</v>
      </c>
      <c r="G3266" s="1" t="s">
        <v>119</v>
      </c>
      <c r="H3266" s="1" t="str">
        <f>VLOOKUP(F3266,Countries!$A$1:$B$161,2,0)</f>
        <v>Great Britain (United Kingdom)</v>
      </c>
    </row>
    <row r="3267" spans="1:8" x14ac:dyDescent="0.3">
      <c r="A3267" s="3">
        <v>46251.589849537027</v>
      </c>
      <c r="B3267" s="1">
        <v>7.58</v>
      </c>
      <c r="C3267" s="1">
        <v>6.54</v>
      </c>
      <c r="D3267" s="1">
        <v>0.48</v>
      </c>
      <c r="E3267" s="1" t="s">
        <v>116</v>
      </c>
      <c r="F3267" s="1" t="s">
        <v>116</v>
      </c>
      <c r="G3267" s="1" t="s">
        <v>116</v>
      </c>
      <c r="H3267" s="1" t="str">
        <f>VLOOKUP(F3267,Countries!$A$1:$B$161,2,0)</f>
        <v>Spain</v>
      </c>
    </row>
    <row r="3268" spans="1:8" x14ac:dyDescent="0.3">
      <c r="A3268" s="3">
        <v>46251.583738425928</v>
      </c>
      <c r="B3268" s="1">
        <v>19.98</v>
      </c>
      <c r="C3268" s="1">
        <v>17.23</v>
      </c>
      <c r="D3268" s="1">
        <v>1.02</v>
      </c>
      <c r="E3268" s="1" t="s">
        <v>119</v>
      </c>
      <c r="F3268" s="1" t="s">
        <v>119</v>
      </c>
      <c r="G3268" s="1" t="s">
        <v>119</v>
      </c>
      <c r="H3268" s="1" t="str">
        <f>VLOOKUP(F3268,Countries!$A$1:$B$161,2,0)</f>
        <v>Great Britain (United Kingdom)</v>
      </c>
    </row>
    <row r="3269" spans="1:8" x14ac:dyDescent="0.3">
      <c r="A3269" s="3">
        <v>46251.579641203702</v>
      </c>
      <c r="B3269" s="1">
        <v>6.37</v>
      </c>
      <c r="C3269" s="1">
        <v>5.49</v>
      </c>
      <c r="D3269" s="1">
        <v>0.54</v>
      </c>
      <c r="E3269" s="1" t="s">
        <v>113</v>
      </c>
      <c r="F3269" s="1" t="s">
        <v>113</v>
      </c>
      <c r="G3269" s="1" t="s">
        <v>113</v>
      </c>
      <c r="H3269" s="1" t="str">
        <f>VLOOKUP(F3269,Countries!$A$1:$B$161,2,0)</f>
        <v>United States of America</v>
      </c>
    </row>
    <row r="3270" spans="1:8" x14ac:dyDescent="0.3">
      <c r="A3270" s="3">
        <v>46251.576689814807</v>
      </c>
      <c r="B3270" s="1">
        <v>10.62</v>
      </c>
      <c r="C3270" s="1">
        <v>9.16</v>
      </c>
      <c r="D3270" s="1">
        <v>0.73</v>
      </c>
      <c r="E3270" s="1" t="s">
        <v>113</v>
      </c>
      <c r="F3270" s="1" t="s">
        <v>113</v>
      </c>
      <c r="G3270" s="1" t="s">
        <v>113</v>
      </c>
      <c r="H3270" s="1" t="str">
        <f>VLOOKUP(F3270,Countries!$A$1:$B$161,2,0)</f>
        <v>United States of America</v>
      </c>
    </row>
    <row r="3271" spans="1:8" x14ac:dyDescent="0.3">
      <c r="A3271" s="3">
        <v>46251.566365740742</v>
      </c>
      <c r="B3271" s="1">
        <v>6.37</v>
      </c>
      <c r="C3271" s="1">
        <v>5.49</v>
      </c>
      <c r="D3271" s="1">
        <v>0.54</v>
      </c>
      <c r="E3271" s="1" t="s">
        <v>113</v>
      </c>
      <c r="F3271" s="1" t="s">
        <v>113</v>
      </c>
      <c r="G3271" s="1" t="s">
        <v>113</v>
      </c>
      <c r="H3271" s="1" t="str">
        <f>VLOOKUP(F3271,Countries!$A$1:$B$161,2,0)</f>
        <v>United States of America</v>
      </c>
    </row>
    <row r="3272" spans="1:8" x14ac:dyDescent="0.3">
      <c r="A3272" s="3">
        <v>46251.562731481477</v>
      </c>
      <c r="B3272" s="1">
        <v>7.39</v>
      </c>
      <c r="C3272" s="1">
        <v>6.37</v>
      </c>
      <c r="D3272" s="1">
        <v>0.48</v>
      </c>
      <c r="E3272" s="1" t="s">
        <v>147</v>
      </c>
      <c r="F3272" s="1" t="s">
        <v>147</v>
      </c>
      <c r="G3272" s="1" t="s">
        <v>147</v>
      </c>
      <c r="H3272" s="1" t="str">
        <f>VLOOKUP(F3272,Countries!$A$1:$B$161,2,0)</f>
        <v>Germany</v>
      </c>
    </row>
    <row r="3273" spans="1:8" x14ac:dyDescent="0.3">
      <c r="A3273" s="3">
        <v>46251.554606481477</v>
      </c>
      <c r="B3273" s="1">
        <v>7.58</v>
      </c>
      <c r="C3273" s="1">
        <v>6.54</v>
      </c>
      <c r="D3273" s="1">
        <v>0.48</v>
      </c>
      <c r="E3273" s="1" t="s">
        <v>151</v>
      </c>
      <c r="F3273" s="1" t="s">
        <v>151</v>
      </c>
      <c r="G3273" s="1" t="s">
        <v>151</v>
      </c>
      <c r="H3273" s="1" t="str">
        <f>VLOOKUP(F3273,Countries!$A$1:$B$161,2,0)</f>
        <v>Netherlands (Holland)</v>
      </c>
    </row>
    <row r="3274" spans="1:8" x14ac:dyDescent="0.3">
      <c r="A3274" s="3">
        <v>46251.554143518522</v>
      </c>
      <c r="B3274" s="1">
        <v>2.11</v>
      </c>
      <c r="C3274" s="1">
        <v>1.82</v>
      </c>
      <c r="D3274" s="1">
        <v>0.35</v>
      </c>
      <c r="E3274" s="1" t="s">
        <v>127</v>
      </c>
      <c r="F3274" s="1" t="s">
        <v>113</v>
      </c>
      <c r="G3274" s="1" t="s">
        <v>113</v>
      </c>
      <c r="H3274" s="1" t="str">
        <f>VLOOKUP(F3274,Countries!$A$1:$B$161,2,0)</f>
        <v>United States of America</v>
      </c>
    </row>
    <row r="3275" spans="1:8" x14ac:dyDescent="0.3">
      <c r="A3275" s="3">
        <v>46251.549861111111</v>
      </c>
      <c r="B3275" s="1">
        <v>7.04</v>
      </c>
      <c r="C3275" s="1">
        <v>6.07</v>
      </c>
      <c r="D3275" s="1">
        <v>0.56999999999999995</v>
      </c>
      <c r="E3275" s="1" t="s">
        <v>128</v>
      </c>
      <c r="F3275" s="1" t="s">
        <v>128</v>
      </c>
      <c r="G3275" s="1" t="s">
        <v>128</v>
      </c>
      <c r="H3275" s="1" t="str">
        <f>VLOOKUP(F3275,Countries!$A$1:$B$161,2,0)</f>
        <v>South Africa</v>
      </c>
    </row>
    <row r="3276" spans="1:8" x14ac:dyDescent="0.3">
      <c r="A3276" s="3">
        <v>46251.547337962962</v>
      </c>
      <c r="B3276" s="1">
        <v>42.54</v>
      </c>
      <c r="C3276" s="1">
        <v>36.69</v>
      </c>
      <c r="D3276" s="1">
        <v>2.17</v>
      </c>
      <c r="E3276" s="1" t="s">
        <v>113</v>
      </c>
      <c r="F3276" s="1" t="s">
        <v>113</v>
      </c>
      <c r="G3276" s="1" t="s">
        <v>113</v>
      </c>
      <c r="H3276" s="1" t="str">
        <f>VLOOKUP(F3276,Countries!$A$1:$B$161,2,0)</f>
        <v>United States of America</v>
      </c>
    </row>
    <row r="3277" spans="1:8" x14ac:dyDescent="0.3">
      <c r="A3277" s="3">
        <v>46251.542199074072</v>
      </c>
      <c r="B3277" s="1">
        <v>6.37</v>
      </c>
      <c r="C3277" s="1">
        <v>5.5</v>
      </c>
      <c r="D3277" s="1">
        <v>0.54</v>
      </c>
      <c r="E3277" s="1" t="s">
        <v>113</v>
      </c>
      <c r="F3277" s="1" t="s">
        <v>113</v>
      </c>
      <c r="G3277" s="1" t="s">
        <v>113</v>
      </c>
      <c r="H3277" s="1" t="str">
        <f>VLOOKUP(F3277,Countries!$A$1:$B$161,2,0)</f>
        <v>United States of America</v>
      </c>
    </row>
    <row r="3278" spans="1:8" x14ac:dyDescent="0.3">
      <c r="A3278" s="3">
        <v>46251.541516203702</v>
      </c>
      <c r="B3278" s="1">
        <v>5.99</v>
      </c>
      <c r="C3278" s="1">
        <v>5.17</v>
      </c>
      <c r="D3278" s="1">
        <v>0.52</v>
      </c>
      <c r="E3278" s="1" t="s">
        <v>119</v>
      </c>
      <c r="F3278" s="1" t="s">
        <v>129</v>
      </c>
      <c r="G3278" s="1" t="s">
        <v>129</v>
      </c>
      <c r="H3278" s="1" t="str">
        <f>VLOOKUP(F3278,Countries!$A$1:$B$161,2,0)</f>
        <v>Qatar</v>
      </c>
    </row>
    <row r="3279" spans="1:8" x14ac:dyDescent="0.3">
      <c r="A3279" s="3">
        <v>46251.538437499999</v>
      </c>
      <c r="B3279" s="1">
        <v>7.48</v>
      </c>
      <c r="C3279" s="1">
        <v>6.45</v>
      </c>
      <c r="D3279" s="1">
        <v>0.54</v>
      </c>
      <c r="E3279" s="1" t="s">
        <v>119</v>
      </c>
      <c r="F3279" s="1" t="s">
        <v>119</v>
      </c>
      <c r="G3279" s="1" t="s">
        <v>119</v>
      </c>
      <c r="H3279" s="1" t="str">
        <f>VLOOKUP(F3279,Countries!$A$1:$B$161,2,0)</f>
        <v>Great Britain (United Kingdom)</v>
      </c>
    </row>
    <row r="3280" spans="1:8" x14ac:dyDescent="0.3">
      <c r="A3280" s="3">
        <v>46251.537766203714</v>
      </c>
      <c r="B3280" s="1">
        <v>6.37</v>
      </c>
      <c r="C3280" s="1">
        <v>5.5</v>
      </c>
      <c r="D3280" s="1">
        <v>0.54</v>
      </c>
      <c r="E3280" s="1" t="s">
        <v>113</v>
      </c>
      <c r="F3280" s="1" t="s">
        <v>113</v>
      </c>
      <c r="G3280" s="1" t="s">
        <v>113</v>
      </c>
      <c r="H3280" s="1" t="str">
        <f>VLOOKUP(F3280,Countries!$A$1:$B$161,2,0)</f>
        <v>United States of America</v>
      </c>
    </row>
    <row r="3281" spans="1:8" x14ac:dyDescent="0.3">
      <c r="A3281" s="3">
        <v>46251.532164351847</v>
      </c>
      <c r="B3281" s="1">
        <v>15.43</v>
      </c>
      <c r="C3281" s="1">
        <v>13.31</v>
      </c>
      <c r="D3281" s="1">
        <v>0.95</v>
      </c>
      <c r="E3281" s="1" t="s">
        <v>130</v>
      </c>
      <c r="F3281" s="1" t="s">
        <v>130</v>
      </c>
      <c r="G3281" s="1" t="s">
        <v>130</v>
      </c>
      <c r="H3281" s="1" t="str">
        <f>VLOOKUP(F3281,Countries!$A$1:$B$161,2,0)</f>
        <v>Australia</v>
      </c>
    </row>
    <row r="3282" spans="1:8" x14ac:dyDescent="0.3">
      <c r="A3282" s="3">
        <v>46251.524178240739</v>
      </c>
      <c r="B3282" s="1">
        <v>15.43</v>
      </c>
      <c r="C3282" s="1">
        <v>13.31</v>
      </c>
      <c r="D3282" s="1">
        <v>0.95</v>
      </c>
      <c r="E3282" s="1" t="s">
        <v>130</v>
      </c>
      <c r="F3282" s="1" t="s">
        <v>130</v>
      </c>
      <c r="G3282" s="1" t="s">
        <v>130</v>
      </c>
      <c r="H3282" s="1" t="str">
        <f>VLOOKUP(F3282,Countries!$A$1:$B$161,2,0)</f>
        <v>Australia</v>
      </c>
    </row>
    <row r="3283" spans="1:8" x14ac:dyDescent="0.3">
      <c r="A3283" s="3">
        <v>46251.52412037037</v>
      </c>
      <c r="B3283" s="1">
        <v>15.43</v>
      </c>
      <c r="C3283" s="1">
        <v>13.31</v>
      </c>
      <c r="D3283" s="1">
        <v>0.95</v>
      </c>
      <c r="E3283" s="1" t="s">
        <v>130</v>
      </c>
      <c r="F3283" s="1" t="s">
        <v>130</v>
      </c>
      <c r="G3283" s="1" t="s">
        <v>130</v>
      </c>
      <c r="H3283" s="1" t="str">
        <f>VLOOKUP(F3283,Countries!$A$1:$B$161,2,0)</f>
        <v>Australia</v>
      </c>
    </row>
    <row r="3284" spans="1:8" x14ac:dyDescent="0.3">
      <c r="A3284" s="3">
        <v>46251.507534722223</v>
      </c>
      <c r="B3284" s="1">
        <v>7.77</v>
      </c>
      <c r="C3284" s="1">
        <v>6.7</v>
      </c>
      <c r="D3284" s="1">
        <v>0.48</v>
      </c>
      <c r="E3284" s="1" t="s">
        <v>137</v>
      </c>
      <c r="F3284" s="1" t="s">
        <v>137</v>
      </c>
      <c r="G3284" s="1" t="s">
        <v>137</v>
      </c>
      <c r="H3284" s="1" t="str">
        <f>VLOOKUP(F3284,Countries!$A$1:$B$161,2,0)</f>
        <v>Poland</v>
      </c>
    </row>
    <row r="3285" spans="1:8" x14ac:dyDescent="0.3">
      <c r="A3285" s="3">
        <v>46251.497916666667</v>
      </c>
      <c r="B3285" s="1">
        <v>42.54</v>
      </c>
      <c r="C3285" s="1">
        <v>36.700000000000003</v>
      </c>
      <c r="D3285" s="1">
        <v>2.17</v>
      </c>
      <c r="E3285" s="1" t="s">
        <v>113</v>
      </c>
      <c r="F3285" s="1" t="s">
        <v>113</v>
      </c>
      <c r="G3285" s="1" t="s">
        <v>113</v>
      </c>
      <c r="H3285" s="1" t="str">
        <f>VLOOKUP(F3285,Countries!$A$1:$B$161,2,0)</f>
        <v>United States of America</v>
      </c>
    </row>
    <row r="3286" spans="1:8" x14ac:dyDescent="0.3">
      <c r="A3286" s="3">
        <v>46251.48709490741</v>
      </c>
      <c r="B3286" s="1">
        <v>7.98</v>
      </c>
      <c r="C3286" s="1">
        <v>6.88</v>
      </c>
      <c r="D3286" s="1">
        <v>0.49</v>
      </c>
      <c r="E3286" s="1" t="s">
        <v>133</v>
      </c>
      <c r="F3286" s="1" t="s">
        <v>133</v>
      </c>
      <c r="G3286" s="1" t="s">
        <v>133</v>
      </c>
      <c r="H3286" s="1" t="str">
        <f>VLOOKUP(F3286,Countries!$A$1:$B$161,2,0)</f>
        <v>Denmark</v>
      </c>
    </row>
    <row r="3287" spans="1:8" x14ac:dyDescent="0.3">
      <c r="A3287" s="3">
        <v>46251.483032407406</v>
      </c>
      <c r="B3287" s="1">
        <v>12.97</v>
      </c>
      <c r="C3287" s="1">
        <v>11.19</v>
      </c>
      <c r="D3287" s="1">
        <v>0.64</v>
      </c>
      <c r="E3287" s="1" t="s">
        <v>137</v>
      </c>
      <c r="F3287" s="1" t="s">
        <v>137</v>
      </c>
      <c r="G3287" s="1" t="s">
        <v>137</v>
      </c>
      <c r="H3287" s="1" t="str">
        <f>VLOOKUP(F3287,Countries!$A$1:$B$161,2,0)</f>
        <v>Poland</v>
      </c>
    </row>
    <row r="3288" spans="1:8" x14ac:dyDescent="0.3">
      <c r="A3288" s="3">
        <v>46251.48165509259</v>
      </c>
      <c r="B3288" s="1">
        <v>38.18</v>
      </c>
      <c r="C3288" s="1">
        <v>32.94</v>
      </c>
      <c r="D3288" s="1">
        <v>1.98</v>
      </c>
      <c r="E3288" s="1" t="s">
        <v>152</v>
      </c>
      <c r="F3288" s="1" t="s">
        <v>152</v>
      </c>
      <c r="G3288" s="1" t="s">
        <v>152</v>
      </c>
      <c r="H3288" s="1" t="str">
        <f>VLOOKUP(F3288,Countries!$A$1:$B$161,2,0)</f>
        <v>Singapore</v>
      </c>
    </row>
    <row r="3289" spans="1:8" x14ac:dyDescent="0.3">
      <c r="A3289" s="3">
        <v>46251.478043981479</v>
      </c>
      <c r="B3289" s="1">
        <v>6.37</v>
      </c>
      <c r="C3289" s="1">
        <v>5.5</v>
      </c>
      <c r="D3289" s="1">
        <v>0.54</v>
      </c>
      <c r="E3289" s="1" t="s">
        <v>113</v>
      </c>
      <c r="F3289" s="1" t="s">
        <v>113</v>
      </c>
      <c r="G3289" s="1" t="s">
        <v>113</v>
      </c>
      <c r="H3289" s="1" t="str">
        <f>VLOOKUP(F3289,Countries!$A$1:$B$161,2,0)</f>
        <v>United States of America</v>
      </c>
    </row>
    <row r="3290" spans="1:8" x14ac:dyDescent="0.3">
      <c r="A3290" s="3">
        <v>46251.475972222222</v>
      </c>
      <c r="B3290" s="1">
        <v>6.37</v>
      </c>
      <c r="C3290" s="1">
        <v>5.5</v>
      </c>
      <c r="D3290" s="1">
        <v>0.54</v>
      </c>
      <c r="E3290" s="1" t="s">
        <v>113</v>
      </c>
      <c r="F3290" s="1" t="s">
        <v>113</v>
      </c>
      <c r="G3290" s="1" t="s">
        <v>113</v>
      </c>
      <c r="H3290" s="1" t="str">
        <f>VLOOKUP(F3290,Countries!$A$1:$B$161,2,0)</f>
        <v>United States of America</v>
      </c>
    </row>
    <row r="3291" spans="1:8" x14ac:dyDescent="0.3">
      <c r="A3291" s="3">
        <v>46251.471863425933</v>
      </c>
      <c r="B3291" s="1">
        <v>6.37</v>
      </c>
      <c r="C3291" s="1">
        <v>5.5</v>
      </c>
      <c r="D3291" s="1">
        <v>0.54</v>
      </c>
      <c r="E3291" s="1" t="s">
        <v>113</v>
      </c>
      <c r="F3291" s="1" t="s">
        <v>113</v>
      </c>
      <c r="G3291" s="1" t="s">
        <v>113</v>
      </c>
      <c r="H3291" s="1" t="str">
        <f>VLOOKUP(F3291,Countries!$A$1:$B$161,2,0)</f>
        <v>United States of America</v>
      </c>
    </row>
    <row r="3292" spans="1:8" x14ac:dyDescent="0.3">
      <c r="A3292" s="3">
        <v>46251.467129629629</v>
      </c>
      <c r="B3292" s="1">
        <v>6.58</v>
      </c>
      <c r="C3292" s="1">
        <v>5.68</v>
      </c>
      <c r="D3292" s="1">
        <v>0.54</v>
      </c>
      <c r="E3292" s="1" t="s">
        <v>152</v>
      </c>
      <c r="F3292" s="1" t="s">
        <v>152</v>
      </c>
      <c r="G3292" s="1" t="s">
        <v>152</v>
      </c>
      <c r="H3292" s="1" t="str">
        <f>VLOOKUP(F3292,Countries!$A$1:$B$161,2,0)</f>
        <v>Singapore</v>
      </c>
    </row>
    <row r="3293" spans="1:8" x14ac:dyDescent="0.3">
      <c r="A3293" s="3">
        <v>46251.463263888887</v>
      </c>
      <c r="B3293" s="1">
        <v>6.37</v>
      </c>
      <c r="C3293" s="1">
        <v>5.5</v>
      </c>
      <c r="D3293" s="1">
        <v>0.54</v>
      </c>
      <c r="E3293" s="1" t="s">
        <v>113</v>
      </c>
      <c r="F3293" s="1" t="s">
        <v>113</v>
      </c>
      <c r="G3293" s="1" t="s">
        <v>113</v>
      </c>
      <c r="H3293" s="1" t="str">
        <f>VLOOKUP(F3293,Countries!$A$1:$B$161,2,0)</f>
        <v>United States of America</v>
      </c>
    </row>
    <row r="3294" spans="1:8" x14ac:dyDescent="0.3">
      <c r="A3294" s="3">
        <v>46251.459004629629</v>
      </c>
      <c r="B3294" s="1">
        <v>6.65</v>
      </c>
      <c r="C3294" s="1">
        <v>5.73</v>
      </c>
      <c r="D3294" s="1">
        <v>0.55000000000000004</v>
      </c>
      <c r="E3294" s="1" t="s">
        <v>171</v>
      </c>
      <c r="F3294" s="1" t="s">
        <v>171</v>
      </c>
      <c r="G3294" s="1" t="s">
        <v>171</v>
      </c>
      <c r="H3294" s="1" t="str">
        <f>VLOOKUP(F3294,Countries!$A$1:$B$161,2,0)</f>
        <v>Korea (South)</v>
      </c>
    </row>
    <row r="3295" spans="1:8" x14ac:dyDescent="0.3">
      <c r="A3295" s="3">
        <v>46251.43959490741</v>
      </c>
      <c r="B3295" s="1">
        <v>12.64</v>
      </c>
      <c r="C3295" s="1">
        <v>10.9</v>
      </c>
      <c r="D3295" s="1">
        <v>0.63</v>
      </c>
      <c r="E3295" s="1" t="s">
        <v>120</v>
      </c>
      <c r="F3295" s="1" t="s">
        <v>120</v>
      </c>
      <c r="G3295" s="1" t="s">
        <v>120</v>
      </c>
      <c r="H3295" s="1" t="str">
        <f>VLOOKUP(F3295,Countries!$A$1:$B$161,2,0)</f>
        <v>Czech Republic</v>
      </c>
    </row>
    <row r="3296" spans="1:8" x14ac:dyDescent="0.3">
      <c r="A3296" s="3">
        <v>46251.438113425917</v>
      </c>
      <c r="B3296" s="1">
        <v>7.99</v>
      </c>
      <c r="C3296" s="1">
        <v>6.89</v>
      </c>
      <c r="D3296" s="1">
        <v>0.61</v>
      </c>
      <c r="E3296" s="1" t="s">
        <v>157</v>
      </c>
      <c r="F3296" s="1" t="s">
        <v>157</v>
      </c>
      <c r="G3296" s="1" t="s">
        <v>157</v>
      </c>
      <c r="H3296" s="1" t="str">
        <f>VLOOKUP(F3296,Countries!$A$1:$B$161,2,0)</f>
        <v>Costa Rica</v>
      </c>
    </row>
    <row r="3297" spans="1:8" x14ac:dyDescent="0.3">
      <c r="A3297" s="3">
        <v>46251.425995370373</v>
      </c>
      <c r="B3297" s="1">
        <v>5.99</v>
      </c>
      <c r="C3297" s="1">
        <v>5.17</v>
      </c>
      <c r="D3297" s="1">
        <v>0.52</v>
      </c>
      <c r="E3297" s="1" t="s">
        <v>135</v>
      </c>
      <c r="F3297" s="1" t="s">
        <v>135</v>
      </c>
      <c r="G3297" s="1" t="s">
        <v>135</v>
      </c>
      <c r="H3297" s="1" t="str">
        <f>VLOOKUP(F3297,Countries!$A$1:$B$161,2,0)</f>
        <v>Kuwait</v>
      </c>
    </row>
    <row r="3298" spans="1:8" x14ac:dyDescent="0.3">
      <c r="A3298" s="3">
        <v>46251.421354166669</v>
      </c>
      <c r="B3298" s="1">
        <v>6.37</v>
      </c>
      <c r="C3298" s="1">
        <v>5.49</v>
      </c>
      <c r="D3298" s="1">
        <v>0.54</v>
      </c>
      <c r="E3298" s="1" t="s">
        <v>113</v>
      </c>
      <c r="F3298" s="1" t="s">
        <v>113</v>
      </c>
      <c r="G3298" s="1" t="s">
        <v>113</v>
      </c>
      <c r="H3298" s="1" t="str">
        <f>VLOOKUP(F3298,Countries!$A$1:$B$161,2,0)</f>
        <v>United States of America</v>
      </c>
    </row>
    <row r="3299" spans="1:8" x14ac:dyDescent="0.3">
      <c r="A3299" s="3">
        <v>46251.409363425933</v>
      </c>
      <c r="B3299" s="1">
        <v>147.68</v>
      </c>
      <c r="C3299" s="1">
        <v>127.34</v>
      </c>
      <c r="D3299" s="1">
        <v>5.98</v>
      </c>
      <c r="E3299" s="1" t="s">
        <v>119</v>
      </c>
      <c r="F3299" s="1" t="s">
        <v>119</v>
      </c>
      <c r="G3299" s="1" t="s">
        <v>119</v>
      </c>
      <c r="H3299" s="1" t="str">
        <f>VLOOKUP(F3299,Countries!$A$1:$B$161,2,0)</f>
        <v>Great Britain (United Kingdom)</v>
      </c>
    </row>
    <row r="3300" spans="1:8" x14ac:dyDescent="0.3">
      <c r="A3300" s="3">
        <v>46251.408414351848</v>
      </c>
      <c r="B3300" s="1">
        <v>147.68</v>
      </c>
      <c r="C3300" s="1">
        <v>127.34</v>
      </c>
      <c r="D3300" s="1">
        <v>5.98</v>
      </c>
      <c r="E3300" s="1" t="s">
        <v>119</v>
      </c>
      <c r="F3300" s="1" t="s">
        <v>119</v>
      </c>
      <c r="G3300" s="1" t="s">
        <v>119</v>
      </c>
      <c r="H3300" s="1" t="str">
        <f>VLOOKUP(F3300,Countries!$A$1:$B$161,2,0)</f>
        <v>Great Britain (United Kingdom)</v>
      </c>
    </row>
    <row r="3301" spans="1:8" x14ac:dyDescent="0.3">
      <c r="A3301" s="3">
        <v>46251.406875000001</v>
      </c>
      <c r="B3301" s="1">
        <v>17.36</v>
      </c>
      <c r="C3301" s="1">
        <v>14.97</v>
      </c>
      <c r="D3301" s="1">
        <v>0.92</v>
      </c>
      <c r="E3301" s="1" t="s">
        <v>119</v>
      </c>
      <c r="F3301" s="1" t="s">
        <v>119</v>
      </c>
      <c r="G3301" s="1" t="s">
        <v>119</v>
      </c>
      <c r="H3301" s="1" t="str">
        <f>VLOOKUP(F3301,Countries!$A$1:$B$161,2,0)</f>
        <v>Great Britain (United Kingdom)</v>
      </c>
    </row>
    <row r="3302" spans="1:8" x14ac:dyDescent="0.3">
      <c r="A3302" s="3">
        <v>46251.406215277777</v>
      </c>
      <c r="B3302" s="1">
        <v>147.68</v>
      </c>
      <c r="C3302" s="1">
        <v>127.34</v>
      </c>
      <c r="D3302" s="1">
        <v>5.98</v>
      </c>
      <c r="E3302" s="1" t="s">
        <v>119</v>
      </c>
      <c r="F3302" s="1" t="s">
        <v>119</v>
      </c>
      <c r="G3302" s="1" t="s">
        <v>119</v>
      </c>
      <c r="H3302" s="1" t="str">
        <f>VLOOKUP(F3302,Countries!$A$1:$B$161,2,0)</f>
        <v>Great Britain (United Kingdom)</v>
      </c>
    </row>
    <row r="3303" spans="1:8" x14ac:dyDescent="0.3">
      <c r="A3303" s="3">
        <v>46251.404849537037</v>
      </c>
      <c r="B3303" s="1">
        <v>112.93</v>
      </c>
      <c r="C3303" s="1">
        <v>97.37</v>
      </c>
      <c r="D3303" s="1">
        <v>4.63</v>
      </c>
      <c r="E3303" s="1" t="s">
        <v>119</v>
      </c>
      <c r="F3303" s="1" t="s">
        <v>119</v>
      </c>
      <c r="G3303" s="1" t="s">
        <v>119</v>
      </c>
      <c r="H3303" s="1" t="str">
        <f>VLOOKUP(F3303,Countries!$A$1:$B$161,2,0)</f>
        <v>Great Britain (United Kingdom)</v>
      </c>
    </row>
    <row r="3304" spans="1:8" x14ac:dyDescent="0.3">
      <c r="A3304" s="3">
        <v>46251.397418981483</v>
      </c>
      <c r="B3304" s="1">
        <v>60.81</v>
      </c>
      <c r="C3304" s="1">
        <v>52.43</v>
      </c>
      <c r="D3304" s="1">
        <v>2.61</v>
      </c>
      <c r="E3304" s="1" t="s">
        <v>119</v>
      </c>
      <c r="F3304" s="1" t="s">
        <v>119</v>
      </c>
      <c r="G3304" s="1" t="s">
        <v>119</v>
      </c>
      <c r="H3304" s="1" t="str">
        <f>VLOOKUP(F3304,Countries!$A$1:$B$161,2,0)</f>
        <v>Great Britain (United Kingdom)</v>
      </c>
    </row>
    <row r="3305" spans="1:8" x14ac:dyDescent="0.3">
      <c r="A3305" s="3">
        <v>46251.396747685183</v>
      </c>
      <c r="B3305" s="1">
        <v>60.81</v>
      </c>
      <c r="C3305" s="1">
        <v>52.43</v>
      </c>
      <c r="D3305" s="1">
        <v>2.61</v>
      </c>
      <c r="E3305" s="1" t="s">
        <v>119</v>
      </c>
      <c r="F3305" s="1" t="s">
        <v>119</v>
      </c>
      <c r="G3305" s="1" t="s">
        <v>119</v>
      </c>
      <c r="H3305" s="1" t="str">
        <f>VLOOKUP(F3305,Countries!$A$1:$B$161,2,0)</f>
        <v>Great Britain (United Kingdom)</v>
      </c>
    </row>
    <row r="3306" spans="1:8" x14ac:dyDescent="0.3">
      <c r="A3306" s="3">
        <v>46251.39571759259</v>
      </c>
      <c r="B3306" s="1">
        <v>6.37</v>
      </c>
      <c r="C3306" s="1">
        <v>5.49</v>
      </c>
      <c r="D3306" s="1">
        <v>0.54</v>
      </c>
      <c r="E3306" s="1" t="s">
        <v>113</v>
      </c>
      <c r="F3306" s="1" t="s">
        <v>113</v>
      </c>
      <c r="G3306" s="1" t="s">
        <v>113</v>
      </c>
      <c r="H3306" s="1" t="str">
        <f>VLOOKUP(F3306,Countries!$A$1:$B$161,2,0)</f>
        <v>United States of America</v>
      </c>
    </row>
    <row r="3307" spans="1:8" x14ac:dyDescent="0.3">
      <c r="A3307" s="3">
        <v>46251.394375000003</v>
      </c>
      <c r="B3307" s="1">
        <v>60.81</v>
      </c>
      <c r="C3307" s="1">
        <v>52.43</v>
      </c>
      <c r="D3307" s="1">
        <v>2.61</v>
      </c>
      <c r="E3307" s="1" t="s">
        <v>119</v>
      </c>
      <c r="F3307" s="1" t="s">
        <v>119</v>
      </c>
      <c r="G3307" s="1" t="s">
        <v>119</v>
      </c>
      <c r="H3307" s="1" t="str">
        <f>VLOOKUP(F3307,Countries!$A$1:$B$161,2,0)</f>
        <v>Great Britain (United Kingdom)</v>
      </c>
    </row>
    <row r="3308" spans="1:8" x14ac:dyDescent="0.3">
      <c r="A3308" s="3">
        <v>46251.384895833333</v>
      </c>
      <c r="B3308" s="1">
        <v>6.37</v>
      </c>
      <c r="C3308" s="1">
        <v>5.49</v>
      </c>
      <c r="D3308" s="1">
        <v>0.54</v>
      </c>
      <c r="E3308" s="1" t="s">
        <v>113</v>
      </c>
      <c r="F3308" s="1" t="s">
        <v>113</v>
      </c>
      <c r="G3308" s="1" t="s">
        <v>113</v>
      </c>
      <c r="H3308" s="1" t="str">
        <f>VLOOKUP(F3308,Countries!$A$1:$B$161,2,0)</f>
        <v>United States of America</v>
      </c>
    </row>
    <row r="3309" spans="1:8" x14ac:dyDescent="0.3">
      <c r="A3309" s="3">
        <v>46251.383171296293</v>
      </c>
      <c r="B3309" s="1">
        <v>7.77</v>
      </c>
      <c r="C3309" s="1">
        <v>6.7</v>
      </c>
      <c r="D3309" s="1">
        <v>0.48</v>
      </c>
      <c r="E3309" s="1" t="s">
        <v>137</v>
      </c>
      <c r="F3309" s="1" t="s">
        <v>137</v>
      </c>
      <c r="G3309" s="1" t="s">
        <v>137</v>
      </c>
      <c r="H3309" s="1" t="str">
        <f>VLOOKUP(F3309,Countries!$A$1:$B$161,2,0)</f>
        <v>Poland</v>
      </c>
    </row>
    <row r="3310" spans="1:8" x14ac:dyDescent="0.3">
      <c r="A3310" s="3">
        <v>46251.382939814823</v>
      </c>
      <c r="B3310" s="1">
        <v>5.99</v>
      </c>
      <c r="C3310" s="1">
        <v>5.16</v>
      </c>
      <c r="D3310" s="1">
        <v>0.52</v>
      </c>
      <c r="E3310" s="1" t="s">
        <v>113</v>
      </c>
      <c r="F3310" s="1" t="s">
        <v>113</v>
      </c>
      <c r="G3310" s="1" t="s">
        <v>113</v>
      </c>
      <c r="H3310" s="1" t="str">
        <f>VLOOKUP(F3310,Countries!$A$1:$B$161,2,0)</f>
        <v>United States of America</v>
      </c>
    </row>
    <row r="3311" spans="1:8" x14ac:dyDescent="0.3">
      <c r="A3311" s="3">
        <v>46251.376354166663</v>
      </c>
      <c r="B3311" s="1">
        <v>6.37</v>
      </c>
      <c r="C3311" s="1">
        <v>5.49</v>
      </c>
      <c r="D3311" s="1">
        <v>0.54</v>
      </c>
      <c r="E3311" s="1" t="s">
        <v>113</v>
      </c>
      <c r="F3311" s="1" t="s">
        <v>113</v>
      </c>
      <c r="G3311" s="1" t="s">
        <v>113</v>
      </c>
      <c r="H3311" s="1" t="str">
        <f>VLOOKUP(F3311,Countries!$A$1:$B$161,2,0)</f>
        <v>United States of America</v>
      </c>
    </row>
    <row r="3312" spans="1:8" x14ac:dyDescent="0.3">
      <c r="A3312" s="3">
        <v>46251.365844907406</v>
      </c>
      <c r="B3312" s="1">
        <v>19.98</v>
      </c>
      <c r="C3312" s="1">
        <v>17.21</v>
      </c>
      <c r="D3312" s="1">
        <v>1.02</v>
      </c>
      <c r="E3312" s="1" t="s">
        <v>119</v>
      </c>
      <c r="F3312" s="1" t="s">
        <v>119</v>
      </c>
      <c r="G3312" s="1" t="s">
        <v>119</v>
      </c>
      <c r="H3312" s="1" t="str">
        <f>VLOOKUP(F3312,Countries!$A$1:$B$161,2,0)</f>
        <v>Great Britain (United Kingdom)</v>
      </c>
    </row>
    <row r="3313" spans="1:8" x14ac:dyDescent="0.3">
      <c r="A3313" s="3">
        <v>46251.36346064815</v>
      </c>
      <c r="B3313" s="1">
        <v>1.99</v>
      </c>
      <c r="C3313" s="1">
        <v>1.71</v>
      </c>
      <c r="D3313" s="1">
        <v>0.34</v>
      </c>
      <c r="E3313" s="1" t="s">
        <v>113</v>
      </c>
      <c r="F3313" s="1" t="s">
        <v>113</v>
      </c>
      <c r="G3313" s="1" t="s">
        <v>113</v>
      </c>
      <c r="H3313" s="1" t="str">
        <f>VLOOKUP(F3313,Countries!$A$1:$B$161,2,0)</f>
        <v>United States of America</v>
      </c>
    </row>
    <row r="3314" spans="1:8" x14ac:dyDescent="0.3">
      <c r="A3314" s="3">
        <v>46251.353831018518</v>
      </c>
      <c r="B3314" s="1">
        <v>7.77</v>
      </c>
      <c r="C3314" s="1">
        <v>6.69</v>
      </c>
      <c r="D3314" s="1">
        <v>0.48</v>
      </c>
      <c r="E3314" s="1" t="s">
        <v>112</v>
      </c>
      <c r="F3314" s="1" t="s">
        <v>112</v>
      </c>
      <c r="G3314" s="1" t="s">
        <v>112</v>
      </c>
      <c r="H3314" s="1" t="str">
        <f>VLOOKUP(F3314,Countries!$A$1:$B$161,2,0)</f>
        <v>Ireland</v>
      </c>
    </row>
    <row r="3315" spans="1:8" x14ac:dyDescent="0.3">
      <c r="A3315" s="3">
        <v>46251.353078703702</v>
      </c>
      <c r="B3315" s="1">
        <v>7.48</v>
      </c>
      <c r="C3315" s="1">
        <v>6.44</v>
      </c>
      <c r="D3315" s="1">
        <v>0.48</v>
      </c>
      <c r="E3315" s="1" t="s">
        <v>123</v>
      </c>
      <c r="F3315" s="1" t="s">
        <v>123</v>
      </c>
      <c r="G3315" s="1" t="s">
        <v>123</v>
      </c>
      <c r="H3315" s="1" t="str">
        <f>VLOOKUP(F3315,Countries!$A$1:$B$161,2,0)</f>
        <v>France</v>
      </c>
    </row>
    <row r="3316" spans="1:8" x14ac:dyDescent="0.3">
      <c r="A3316" s="3">
        <v>46251.348229166673</v>
      </c>
      <c r="B3316" s="1">
        <v>7.04</v>
      </c>
      <c r="C3316" s="1">
        <v>6.07</v>
      </c>
      <c r="D3316" s="1">
        <v>0.56999999999999995</v>
      </c>
      <c r="E3316" s="1" t="s">
        <v>163</v>
      </c>
      <c r="F3316" s="1" t="s">
        <v>163</v>
      </c>
      <c r="G3316" s="1" t="s">
        <v>163</v>
      </c>
      <c r="H3316" s="1" t="str">
        <f>VLOOKUP(F3316,Countries!$A$1:$B$161,2,0)</f>
        <v>Saudi Arabia</v>
      </c>
    </row>
    <row r="3317" spans="1:8" x14ac:dyDescent="0.3">
      <c r="A3317" s="3">
        <v>46251.338935185187</v>
      </c>
      <c r="B3317" s="1">
        <v>6.37</v>
      </c>
      <c r="C3317" s="1">
        <v>5.49</v>
      </c>
      <c r="D3317" s="1">
        <v>0.54</v>
      </c>
      <c r="E3317" s="1" t="s">
        <v>113</v>
      </c>
      <c r="F3317" s="1" t="s">
        <v>113</v>
      </c>
      <c r="G3317" s="1" t="s">
        <v>113</v>
      </c>
      <c r="H3317" s="1" t="str">
        <f>VLOOKUP(F3317,Countries!$A$1:$B$161,2,0)</f>
        <v>United States of America</v>
      </c>
    </row>
    <row r="3318" spans="1:8" x14ac:dyDescent="0.3">
      <c r="A3318" s="3">
        <v>46251.333668981482</v>
      </c>
      <c r="B3318" s="1">
        <v>6.65</v>
      </c>
      <c r="C3318" s="1">
        <v>5.73</v>
      </c>
      <c r="D3318" s="1">
        <v>0.55000000000000004</v>
      </c>
      <c r="E3318" s="1" t="s">
        <v>121</v>
      </c>
      <c r="F3318" s="1" t="s">
        <v>121</v>
      </c>
      <c r="G3318" s="1" t="s">
        <v>121</v>
      </c>
      <c r="H3318" s="1" t="str">
        <f>VLOOKUP(F3318,Countries!$A$1:$B$161,2,0)</f>
        <v>Japan</v>
      </c>
    </row>
    <row r="3319" spans="1:8" x14ac:dyDescent="0.3">
      <c r="A3319" s="3">
        <v>46251.324664351851</v>
      </c>
      <c r="B3319" s="1">
        <v>6.37</v>
      </c>
      <c r="C3319" s="1">
        <v>5.49</v>
      </c>
      <c r="D3319" s="1">
        <v>0.54</v>
      </c>
      <c r="E3319" s="1" t="s">
        <v>113</v>
      </c>
      <c r="F3319" s="1" t="s">
        <v>113</v>
      </c>
      <c r="G3319" s="1" t="s">
        <v>113</v>
      </c>
      <c r="H3319" s="1" t="str">
        <f>VLOOKUP(F3319,Countries!$A$1:$B$161,2,0)</f>
        <v>United States of America</v>
      </c>
    </row>
    <row r="3320" spans="1:8" x14ac:dyDescent="0.3">
      <c r="A3320" s="3">
        <v>46251.323819444442</v>
      </c>
      <c r="B3320" s="1">
        <v>12.97</v>
      </c>
      <c r="C3320" s="1">
        <v>11.19</v>
      </c>
      <c r="D3320" s="1">
        <v>0.64</v>
      </c>
      <c r="E3320" s="1" t="s">
        <v>137</v>
      </c>
      <c r="F3320" s="1" t="s">
        <v>137</v>
      </c>
      <c r="G3320" s="1" t="s">
        <v>137</v>
      </c>
      <c r="H3320" s="1" t="str">
        <f>VLOOKUP(F3320,Countries!$A$1:$B$161,2,0)</f>
        <v>Poland</v>
      </c>
    </row>
    <row r="3321" spans="1:8" x14ac:dyDescent="0.3">
      <c r="A3321" s="3">
        <v>46251.322152777779</v>
      </c>
      <c r="B3321" s="1">
        <v>110.99</v>
      </c>
      <c r="C3321" s="1">
        <v>95.72</v>
      </c>
      <c r="D3321" s="1">
        <v>5.27</v>
      </c>
      <c r="E3321" s="1" t="s">
        <v>142</v>
      </c>
      <c r="F3321" s="1" t="s">
        <v>142</v>
      </c>
      <c r="G3321" s="1" t="s">
        <v>142</v>
      </c>
      <c r="H3321" s="1" t="str">
        <f>VLOOKUP(F3321,Countries!$A$1:$B$161,2,0)</f>
        <v>India</v>
      </c>
    </row>
    <row r="3322" spans="1:8" x14ac:dyDescent="0.3">
      <c r="A3322" s="3">
        <v>46251.311111111107</v>
      </c>
      <c r="B3322" s="1">
        <v>12.97</v>
      </c>
      <c r="C3322" s="1">
        <v>11.19</v>
      </c>
      <c r="D3322" s="1">
        <v>0.64</v>
      </c>
      <c r="E3322" s="1" t="s">
        <v>137</v>
      </c>
      <c r="F3322" s="1" t="s">
        <v>137</v>
      </c>
      <c r="G3322" s="1" t="s">
        <v>137</v>
      </c>
      <c r="H3322" s="1" t="str">
        <f>VLOOKUP(F3322,Countries!$A$1:$B$161,2,0)</f>
        <v>Poland</v>
      </c>
    </row>
    <row r="3323" spans="1:8" x14ac:dyDescent="0.3">
      <c r="A3323" s="3">
        <v>46251.310648148137</v>
      </c>
      <c r="B3323" s="1">
        <v>12.98</v>
      </c>
      <c r="C3323" s="1">
        <v>11.19</v>
      </c>
      <c r="D3323" s="1">
        <v>0.64</v>
      </c>
      <c r="E3323" s="1" t="s">
        <v>137</v>
      </c>
      <c r="F3323" s="1" t="s">
        <v>137</v>
      </c>
      <c r="G3323" s="1" t="s">
        <v>137</v>
      </c>
      <c r="H3323" s="1" t="str">
        <f>VLOOKUP(F3323,Countries!$A$1:$B$161,2,0)</f>
        <v>Poland</v>
      </c>
    </row>
    <row r="3324" spans="1:8" x14ac:dyDescent="0.3">
      <c r="A3324" s="3">
        <v>46251.308518518519</v>
      </c>
      <c r="B3324" s="1">
        <v>2.48</v>
      </c>
      <c r="C3324" s="1">
        <v>2.14</v>
      </c>
      <c r="D3324" s="1">
        <v>0.32</v>
      </c>
      <c r="E3324" s="1" t="s">
        <v>123</v>
      </c>
      <c r="F3324" s="1" t="s">
        <v>123</v>
      </c>
      <c r="G3324" s="1" t="s">
        <v>123</v>
      </c>
      <c r="H3324" s="1" t="str">
        <f>VLOOKUP(F3324,Countries!$A$1:$B$161,2,0)</f>
        <v>France</v>
      </c>
    </row>
    <row r="3325" spans="1:8" x14ac:dyDescent="0.3">
      <c r="A3325" s="3">
        <v>46251.308298611111</v>
      </c>
      <c r="B3325" s="1">
        <v>38.96</v>
      </c>
      <c r="C3325" s="1">
        <v>33.6</v>
      </c>
      <c r="D3325" s="1">
        <v>1.42</v>
      </c>
      <c r="E3325" s="1" t="s">
        <v>137</v>
      </c>
      <c r="F3325" s="1" t="s">
        <v>137</v>
      </c>
      <c r="G3325" s="1" t="s">
        <v>137</v>
      </c>
      <c r="H3325" s="1" t="str">
        <f>VLOOKUP(F3325,Countries!$A$1:$B$161,2,0)</f>
        <v>Poland</v>
      </c>
    </row>
    <row r="3326" spans="1:8" x14ac:dyDescent="0.3">
      <c r="A3326" s="3">
        <v>46251.306030092594</v>
      </c>
      <c r="B3326" s="1">
        <v>12.98</v>
      </c>
      <c r="C3326" s="1">
        <v>11.19</v>
      </c>
      <c r="D3326" s="1">
        <v>0.64</v>
      </c>
      <c r="E3326" s="1" t="s">
        <v>137</v>
      </c>
      <c r="F3326" s="1" t="s">
        <v>137</v>
      </c>
      <c r="G3326" s="1" t="s">
        <v>137</v>
      </c>
      <c r="H3326" s="1" t="str">
        <f>VLOOKUP(F3326,Countries!$A$1:$B$161,2,0)</f>
        <v>Poland</v>
      </c>
    </row>
    <row r="3327" spans="1:8" x14ac:dyDescent="0.3">
      <c r="A3327" s="3">
        <v>46251.303912037038</v>
      </c>
      <c r="B3327" s="1">
        <v>12.97</v>
      </c>
      <c r="C3327" s="1">
        <v>11.19</v>
      </c>
      <c r="D3327" s="1">
        <v>0.64</v>
      </c>
      <c r="E3327" s="1" t="s">
        <v>137</v>
      </c>
      <c r="F3327" s="1" t="s">
        <v>137</v>
      </c>
      <c r="G3327" s="1" t="s">
        <v>137</v>
      </c>
      <c r="H3327" s="1" t="str">
        <f>VLOOKUP(F3327,Countries!$A$1:$B$161,2,0)</f>
        <v>Poland</v>
      </c>
    </row>
    <row r="3328" spans="1:8" x14ac:dyDescent="0.3">
      <c r="A3328" s="3">
        <v>46251.303159722222</v>
      </c>
      <c r="B3328" s="1">
        <v>12.98</v>
      </c>
      <c r="C3328" s="1">
        <v>11.19</v>
      </c>
      <c r="D3328" s="1">
        <v>0.64</v>
      </c>
      <c r="E3328" s="1" t="s">
        <v>137</v>
      </c>
      <c r="F3328" s="1" t="s">
        <v>137</v>
      </c>
      <c r="G3328" s="1" t="s">
        <v>137</v>
      </c>
      <c r="H3328" s="1" t="str">
        <f>VLOOKUP(F3328,Countries!$A$1:$B$161,2,0)</f>
        <v>Poland</v>
      </c>
    </row>
    <row r="3329" spans="1:8" x14ac:dyDescent="0.3">
      <c r="A3329" s="3">
        <v>46251.301006944443</v>
      </c>
      <c r="B3329" s="1">
        <v>1.99</v>
      </c>
      <c r="C3329" s="1">
        <v>1.72</v>
      </c>
      <c r="D3329" s="1">
        <v>0.34</v>
      </c>
      <c r="E3329" s="1" t="s">
        <v>126</v>
      </c>
      <c r="F3329" s="1" t="s">
        <v>126</v>
      </c>
      <c r="G3329" s="1" t="s">
        <v>126</v>
      </c>
      <c r="H3329" s="1" t="str">
        <f>VLOOKUP(F3329,Countries!$A$1:$B$161,2,0)</f>
        <v>Cambodia</v>
      </c>
    </row>
    <row r="3330" spans="1:8" x14ac:dyDescent="0.3">
      <c r="A3330" s="3">
        <v>46251.300474537027</v>
      </c>
      <c r="B3330" s="1">
        <v>12.98</v>
      </c>
      <c r="C3330" s="1">
        <v>11.19</v>
      </c>
      <c r="D3330" s="1">
        <v>0.64</v>
      </c>
      <c r="E3330" s="1" t="s">
        <v>137</v>
      </c>
      <c r="F3330" s="1" t="s">
        <v>137</v>
      </c>
      <c r="G3330" s="1" t="s">
        <v>137</v>
      </c>
      <c r="H3330" s="1" t="str">
        <f>VLOOKUP(F3330,Countries!$A$1:$B$161,2,0)</f>
        <v>Poland</v>
      </c>
    </row>
    <row r="3331" spans="1:8" x14ac:dyDescent="0.3">
      <c r="A3331" s="3">
        <v>46251.299016203702</v>
      </c>
      <c r="B3331" s="1">
        <v>6.37</v>
      </c>
      <c r="C3331" s="1">
        <v>5.49</v>
      </c>
      <c r="D3331" s="1">
        <v>0.54</v>
      </c>
      <c r="E3331" s="1" t="s">
        <v>113</v>
      </c>
      <c r="F3331" s="1" t="s">
        <v>113</v>
      </c>
      <c r="G3331" s="1" t="s">
        <v>113</v>
      </c>
      <c r="H3331" s="1" t="str">
        <f>VLOOKUP(F3331,Countries!$A$1:$B$161,2,0)</f>
        <v>United States of America</v>
      </c>
    </row>
    <row r="3332" spans="1:8" x14ac:dyDescent="0.3">
      <c r="A3332" s="3">
        <v>46251.282766203702</v>
      </c>
      <c r="B3332" s="1">
        <v>2.11</v>
      </c>
      <c r="C3332" s="1">
        <v>1.82</v>
      </c>
      <c r="D3332" s="1">
        <v>0.35</v>
      </c>
      <c r="E3332" s="1" t="s">
        <v>113</v>
      </c>
      <c r="F3332" s="1" t="s">
        <v>113</v>
      </c>
      <c r="G3332" s="1" t="s">
        <v>113</v>
      </c>
      <c r="H3332" s="1" t="str">
        <f>VLOOKUP(F3332,Countries!$A$1:$B$161,2,0)</f>
        <v>United States of America</v>
      </c>
    </row>
    <row r="3333" spans="1:8" x14ac:dyDescent="0.3">
      <c r="A3333" s="3">
        <v>46251.281805555547</v>
      </c>
      <c r="B3333" s="1">
        <v>14.77</v>
      </c>
      <c r="C3333" s="1">
        <v>12.75</v>
      </c>
      <c r="D3333" s="1">
        <v>0.92</v>
      </c>
      <c r="E3333" s="1" t="s">
        <v>113</v>
      </c>
      <c r="F3333" s="1" t="s">
        <v>113</v>
      </c>
      <c r="G3333" s="1" t="s">
        <v>113</v>
      </c>
      <c r="H3333" s="1" t="str">
        <f>VLOOKUP(F3333,Countries!$A$1:$B$161,2,0)</f>
        <v>United States of America</v>
      </c>
    </row>
    <row r="3334" spans="1:8" x14ac:dyDescent="0.3">
      <c r="A3334" s="3">
        <v>46251.281273148154</v>
      </c>
      <c r="B3334" s="1">
        <v>6.37</v>
      </c>
      <c r="C3334" s="1">
        <v>5.5</v>
      </c>
      <c r="D3334" s="1">
        <v>0.54</v>
      </c>
      <c r="E3334" s="1" t="s">
        <v>113</v>
      </c>
      <c r="F3334" s="1" t="s">
        <v>113</v>
      </c>
      <c r="G3334" s="1" t="s">
        <v>113</v>
      </c>
      <c r="H3334" s="1" t="str">
        <f>VLOOKUP(F3334,Countries!$A$1:$B$161,2,0)</f>
        <v>United States of America</v>
      </c>
    </row>
    <row r="3335" spans="1:8" x14ac:dyDescent="0.3">
      <c r="A3335" s="3">
        <v>46251.275219907409</v>
      </c>
      <c r="B3335" s="1">
        <v>36.96</v>
      </c>
      <c r="C3335" s="1">
        <v>31.9</v>
      </c>
      <c r="D3335" s="1">
        <v>1.93</v>
      </c>
      <c r="E3335" s="1" t="s">
        <v>113</v>
      </c>
      <c r="F3335" s="1" t="s">
        <v>113</v>
      </c>
      <c r="G3335" s="1" t="s">
        <v>113</v>
      </c>
      <c r="H3335" s="1" t="str">
        <f>VLOOKUP(F3335,Countries!$A$1:$B$161,2,0)</f>
        <v>United States of America</v>
      </c>
    </row>
    <row r="3336" spans="1:8" x14ac:dyDescent="0.3">
      <c r="A3336" s="3">
        <v>46251.274699074071</v>
      </c>
      <c r="B3336" s="1">
        <v>12.97</v>
      </c>
      <c r="C3336" s="1">
        <v>11.19</v>
      </c>
      <c r="D3336" s="1">
        <v>0.64</v>
      </c>
      <c r="E3336" s="1" t="s">
        <v>137</v>
      </c>
      <c r="F3336" s="1" t="s">
        <v>137</v>
      </c>
      <c r="G3336" s="1" t="s">
        <v>137</v>
      </c>
      <c r="H3336" s="1" t="str">
        <f>VLOOKUP(F3336,Countries!$A$1:$B$161,2,0)</f>
        <v>Poland</v>
      </c>
    </row>
    <row r="3337" spans="1:8" x14ac:dyDescent="0.3">
      <c r="A3337" s="3">
        <v>46251.270462962973</v>
      </c>
      <c r="B3337" s="1">
        <v>6.37</v>
      </c>
      <c r="C3337" s="1">
        <v>5.5</v>
      </c>
      <c r="D3337" s="1">
        <v>0.54</v>
      </c>
      <c r="E3337" s="1" t="s">
        <v>113</v>
      </c>
      <c r="F3337" s="1" t="s">
        <v>113</v>
      </c>
      <c r="G3337" s="1" t="s">
        <v>113</v>
      </c>
      <c r="H3337" s="1" t="str">
        <f>VLOOKUP(F3337,Countries!$A$1:$B$161,2,0)</f>
        <v>United States of America</v>
      </c>
    </row>
    <row r="3338" spans="1:8" x14ac:dyDescent="0.3">
      <c r="A3338" s="3">
        <v>46251.265682870369</v>
      </c>
      <c r="B3338" s="1">
        <v>6.37</v>
      </c>
      <c r="C3338" s="1">
        <v>5.5</v>
      </c>
      <c r="D3338" s="1">
        <v>0.54</v>
      </c>
      <c r="E3338" s="1" t="s">
        <v>113</v>
      </c>
      <c r="F3338" s="1" t="s">
        <v>113</v>
      </c>
      <c r="G3338" s="1" t="s">
        <v>113</v>
      </c>
      <c r="H3338" s="1" t="str">
        <f>VLOOKUP(F3338,Countries!$A$1:$B$161,2,0)</f>
        <v>United States of America</v>
      </c>
    </row>
    <row r="3339" spans="1:8" x14ac:dyDescent="0.3">
      <c r="A3339" s="3">
        <v>46251.260127314818</v>
      </c>
      <c r="B3339" s="1">
        <v>6.37</v>
      </c>
      <c r="C3339" s="1">
        <v>5.5</v>
      </c>
      <c r="D3339" s="1">
        <v>0.54</v>
      </c>
      <c r="E3339" s="1" t="s">
        <v>206</v>
      </c>
      <c r="F3339" s="1" t="s">
        <v>113</v>
      </c>
      <c r="G3339" s="1" t="s">
        <v>113</v>
      </c>
      <c r="H3339" s="1" t="str">
        <f>VLOOKUP(F3339,Countries!$A$1:$B$161,2,0)</f>
        <v>United States of America</v>
      </c>
    </row>
    <row r="3340" spans="1:8" x14ac:dyDescent="0.3">
      <c r="A3340" s="3">
        <v>46251.249606481477</v>
      </c>
      <c r="B3340" s="1">
        <v>59.03</v>
      </c>
      <c r="C3340" s="1">
        <v>50.95</v>
      </c>
      <c r="D3340" s="1">
        <v>2.93</v>
      </c>
      <c r="E3340" s="1" t="s">
        <v>113</v>
      </c>
      <c r="F3340" s="1" t="s">
        <v>113</v>
      </c>
      <c r="G3340" s="1" t="s">
        <v>113</v>
      </c>
      <c r="H3340" s="1" t="str">
        <f>VLOOKUP(F3340,Countries!$A$1:$B$161,2,0)</f>
        <v>United States of America</v>
      </c>
    </row>
    <row r="3341" spans="1:8" x14ac:dyDescent="0.3">
      <c r="A3341" s="3">
        <v>46251.246423611112</v>
      </c>
      <c r="B3341" s="1">
        <v>10.62</v>
      </c>
      <c r="C3341" s="1">
        <v>9.17</v>
      </c>
      <c r="D3341" s="1">
        <v>0.73</v>
      </c>
      <c r="E3341" s="1" t="s">
        <v>113</v>
      </c>
      <c r="F3341" s="1" t="s">
        <v>113</v>
      </c>
      <c r="G3341" s="1" t="s">
        <v>113</v>
      </c>
      <c r="H3341" s="1" t="str">
        <f>VLOOKUP(F3341,Countries!$A$1:$B$161,2,0)</f>
        <v>United States of America</v>
      </c>
    </row>
    <row r="3342" spans="1:8" x14ac:dyDescent="0.3">
      <c r="A3342" s="3">
        <v>46251.241898148153</v>
      </c>
      <c r="B3342" s="1">
        <v>6.37</v>
      </c>
      <c r="C3342" s="1">
        <v>5.5</v>
      </c>
      <c r="D3342" s="1">
        <v>0.54</v>
      </c>
      <c r="E3342" s="1" t="s">
        <v>113</v>
      </c>
      <c r="F3342" s="1" t="s">
        <v>113</v>
      </c>
      <c r="G3342" s="1" t="s">
        <v>113</v>
      </c>
      <c r="H3342" s="1" t="str">
        <f>VLOOKUP(F3342,Countries!$A$1:$B$161,2,0)</f>
        <v>United States of America</v>
      </c>
    </row>
    <row r="3343" spans="1:8" x14ac:dyDescent="0.3">
      <c r="A3343" s="3">
        <v>46251.230416666673</v>
      </c>
      <c r="B3343" s="1">
        <v>6.37</v>
      </c>
      <c r="C3343" s="1">
        <v>5.5</v>
      </c>
      <c r="D3343" s="1">
        <v>0.54</v>
      </c>
      <c r="E3343" s="1" t="s">
        <v>113</v>
      </c>
      <c r="F3343" s="1" t="s">
        <v>113</v>
      </c>
      <c r="G3343" s="1" t="s">
        <v>113</v>
      </c>
      <c r="H3343" s="1" t="str">
        <f>VLOOKUP(F3343,Countries!$A$1:$B$161,2,0)</f>
        <v>United States of America</v>
      </c>
    </row>
    <row r="3344" spans="1:8" x14ac:dyDescent="0.3">
      <c r="A3344" s="3">
        <v>46251.208298611113</v>
      </c>
      <c r="B3344" s="1">
        <v>3.88</v>
      </c>
      <c r="C3344" s="1">
        <v>3.35</v>
      </c>
      <c r="D3344" s="1">
        <v>0.37</v>
      </c>
      <c r="E3344" s="1" t="s">
        <v>117</v>
      </c>
      <c r="F3344" s="1" t="s">
        <v>117</v>
      </c>
      <c r="G3344" s="1" t="s">
        <v>117</v>
      </c>
      <c r="H3344" s="1" t="str">
        <f>VLOOKUP(F3344,Countries!$A$1:$B$161,2,0)</f>
        <v>Slovak Republic</v>
      </c>
    </row>
    <row r="3345" spans="1:8" x14ac:dyDescent="0.3">
      <c r="A3345" s="3">
        <v>46251.199664351851</v>
      </c>
      <c r="B3345" s="1">
        <v>6.37</v>
      </c>
      <c r="C3345" s="1">
        <v>5.5</v>
      </c>
      <c r="D3345" s="1">
        <v>0.54</v>
      </c>
      <c r="E3345" s="1" t="s">
        <v>113</v>
      </c>
      <c r="F3345" s="1" t="s">
        <v>113</v>
      </c>
      <c r="G3345" s="1" t="s">
        <v>113</v>
      </c>
      <c r="H3345" s="1" t="str">
        <f>VLOOKUP(F3345,Countries!$A$1:$B$161,2,0)</f>
        <v>United States of America</v>
      </c>
    </row>
    <row r="3346" spans="1:8" x14ac:dyDescent="0.3">
      <c r="A3346" s="3">
        <v>46251.198460648149</v>
      </c>
      <c r="B3346" s="1">
        <v>6.37</v>
      </c>
      <c r="C3346" s="1">
        <v>5.5</v>
      </c>
      <c r="D3346" s="1">
        <v>0.54</v>
      </c>
      <c r="E3346" s="1" t="s">
        <v>113</v>
      </c>
      <c r="F3346" s="1" t="s">
        <v>113</v>
      </c>
      <c r="G3346" s="1" t="s">
        <v>113</v>
      </c>
      <c r="H3346" s="1" t="str">
        <f>VLOOKUP(F3346,Countries!$A$1:$B$161,2,0)</f>
        <v>United States of America</v>
      </c>
    </row>
    <row r="3347" spans="1:8" x14ac:dyDescent="0.3">
      <c r="A3347" s="3">
        <v>46251.19840277778</v>
      </c>
      <c r="B3347" s="1">
        <v>6.37</v>
      </c>
      <c r="C3347" s="1">
        <v>5.5</v>
      </c>
      <c r="D3347" s="1">
        <v>0.54</v>
      </c>
      <c r="E3347" s="1" t="s">
        <v>113</v>
      </c>
      <c r="F3347" s="1" t="s">
        <v>113</v>
      </c>
      <c r="G3347" s="1" t="s">
        <v>113</v>
      </c>
      <c r="H3347" s="1" t="str">
        <f>VLOOKUP(F3347,Countries!$A$1:$B$161,2,0)</f>
        <v>United States of America</v>
      </c>
    </row>
    <row r="3348" spans="1:8" x14ac:dyDescent="0.3">
      <c r="A3348" s="3">
        <v>46251.196053240739</v>
      </c>
      <c r="B3348" s="1">
        <v>14.77</v>
      </c>
      <c r="C3348" s="1">
        <v>12.75</v>
      </c>
      <c r="D3348" s="1">
        <v>0.92</v>
      </c>
      <c r="E3348" s="1" t="s">
        <v>113</v>
      </c>
      <c r="F3348" s="1" t="s">
        <v>113</v>
      </c>
      <c r="G3348" s="1" t="s">
        <v>113</v>
      </c>
      <c r="H3348" s="1" t="str">
        <f>VLOOKUP(F3348,Countries!$A$1:$B$161,2,0)</f>
        <v>United States of America</v>
      </c>
    </row>
    <row r="3349" spans="1:8" x14ac:dyDescent="0.3">
      <c r="A3349" s="3">
        <v>46251.191979166673</v>
      </c>
      <c r="B3349" s="1">
        <v>147.87</v>
      </c>
      <c r="C3349" s="1">
        <v>127.67</v>
      </c>
      <c r="D3349" s="1">
        <v>6.95</v>
      </c>
      <c r="E3349" s="1" t="s">
        <v>113</v>
      </c>
      <c r="F3349" s="1" t="s">
        <v>113</v>
      </c>
      <c r="G3349" s="1" t="s">
        <v>113</v>
      </c>
      <c r="H3349" s="1" t="str">
        <f>VLOOKUP(F3349,Countries!$A$1:$B$161,2,0)</f>
        <v>United States of America</v>
      </c>
    </row>
    <row r="3350" spans="1:8" x14ac:dyDescent="0.3">
      <c r="A3350" s="3">
        <v>46251.18818287037</v>
      </c>
      <c r="B3350" s="1">
        <v>103.51</v>
      </c>
      <c r="C3350" s="1">
        <v>89.37</v>
      </c>
      <c r="D3350" s="1">
        <v>4.9400000000000004</v>
      </c>
      <c r="E3350" s="1" t="s">
        <v>113</v>
      </c>
      <c r="F3350" s="1" t="s">
        <v>113</v>
      </c>
      <c r="G3350" s="1" t="s">
        <v>113</v>
      </c>
      <c r="H3350" s="1" t="str">
        <f>VLOOKUP(F3350,Countries!$A$1:$B$161,2,0)</f>
        <v>United States of America</v>
      </c>
    </row>
    <row r="3351" spans="1:8" x14ac:dyDescent="0.3">
      <c r="A3351" s="3">
        <v>46251.186597222222</v>
      </c>
      <c r="B3351" s="1">
        <v>14.77</v>
      </c>
      <c r="C3351" s="1">
        <v>12.75</v>
      </c>
      <c r="D3351" s="1">
        <v>0.92</v>
      </c>
      <c r="E3351" s="1" t="s">
        <v>113</v>
      </c>
      <c r="F3351" s="1" t="s">
        <v>113</v>
      </c>
      <c r="G3351" s="1" t="s">
        <v>113</v>
      </c>
      <c r="H3351" s="1" t="str">
        <f>VLOOKUP(F3351,Countries!$A$1:$B$161,2,0)</f>
        <v>United States of America</v>
      </c>
    </row>
    <row r="3352" spans="1:8" x14ac:dyDescent="0.3">
      <c r="A3352" s="3">
        <v>46251.185069444437</v>
      </c>
      <c r="B3352" s="1">
        <v>6.37</v>
      </c>
      <c r="C3352" s="1">
        <v>5.5</v>
      </c>
      <c r="D3352" s="1">
        <v>0.54</v>
      </c>
      <c r="E3352" s="1" t="s">
        <v>113</v>
      </c>
      <c r="F3352" s="1" t="s">
        <v>113</v>
      </c>
      <c r="G3352" s="1" t="s">
        <v>113</v>
      </c>
      <c r="H3352" s="1" t="str">
        <f>VLOOKUP(F3352,Countries!$A$1:$B$161,2,0)</f>
        <v>United States of America</v>
      </c>
    </row>
    <row r="3353" spans="1:8" x14ac:dyDescent="0.3">
      <c r="A3353" s="3">
        <v>46251.184236111112</v>
      </c>
      <c r="B3353" s="1">
        <v>6.37</v>
      </c>
      <c r="C3353" s="1">
        <v>5.5</v>
      </c>
      <c r="D3353" s="1">
        <v>0.54</v>
      </c>
      <c r="E3353" s="1" t="s">
        <v>114</v>
      </c>
      <c r="F3353" s="1" t="s">
        <v>114</v>
      </c>
      <c r="G3353" s="1" t="s">
        <v>114</v>
      </c>
      <c r="H3353" s="1" t="str">
        <f>VLOOKUP(F3353,Countries!$A$1:$B$161,2,0)</f>
        <v>Philippines</v>
      </c>
    </row>
    <row r="3354" spans="1:8" x14ac:dyDescent="0.3">
      <c r="A3354" s="3">
        <v>46251.18</v>
      </c>
      <c r="B3354" s="1">
        <v>14.77</v>
      </c>
      <c r="C3354" s="1">
        <v>12.75</v>
      </c>
      <c r="D3354" s="1">
        <v>0.92</v>
      </c>
      <c r="E3354" s="1" t="s">
        <v>113</v>
      </c>
      <c r="F3354" s="1" t="s">
        <v>113</v>
      </c>
      <c r="G3354" s="1" t="s">
        <v>113</v>
      </c>
      <c r="H3354" s="1" t="str">
        <f>VLOOKUP(F3354,Countries!$A$1:$B$161,2,0)</f>
        <v>United States of America</v>
      </c>
    </row>
    <row r="3355" spans="1:8" x14ac:dyDescent="0.3">
      <c r="A3355" s="3">
        <v>46251.179826388892</v>
      </c>
      <c r="B3355" s="1">
        <v>7.04</v>
      </c>
      <c r="C3355" s="1">
        <v>6.08</v>
      </c>
      <c r="D3355" s="1">
        <v>0.56999999999999995</v>
      </c>
      <c r="E3355" s="1" t="s">
        <v>113</v>
      </c>
      <c r="F3355" s="1" t="s">
        <v>113</v>
      </c>
      <c r="G3355" s="1" t="s">
        <v>113</v>
      </c>
      <c r="H3355" s="1" t="str">
        <f>VLOOKUP(F3355,Countries!$A$1:$B$161,2,0)</f>
        <v>United States of America</v>
      </c>
    </row>
    <row r="3356" spans="1:8" x14ac:dyDescent="0.3">
      <c r="A3356" s="3">
        <v>46251.175127314818</v>
      </c>
      <c r="B3356" s="1">
        <v>6.37</v>
      </c>
      <c r="C3356" s="1">
        <v>5.5</v>
      </c>
      <c r="D3356" s="1">
        <v>0.54</v>
      </c>
      <c r="E3356" s="1" t="s">
        <v>113</v>
      </c>
      <c r="F3356" s="1" t="s">
        <v>113</v>
      </c>
      <c r="G3356" s="1" t="s">
        <v>113</v>
      </c>
      <c r="H3356" s="1" t="str">
        <f>VLOOKUP(F3356,Countries!$A$1:$B$161,2,0)</f>
        <v>United States of America</v>
      </c>
    </row>
    <row r="3357" spans="1:8" x14ac:dyDescent="0.3">
      <c r="A3357" s="3">
        <v>46251.173576388886</v>
      </c>
      <c r="B3357" s="1">
        <v>7.48</v>
      </c>
      <c r="C3357" s="1">
        <v>6.46</v>
      </c>
      <c r="D3357" s="1">
        <v>0.54</v>
      </c>
      <c r="E3357" s="1" t="s">
        <v>119</v>
      </c>
      <c r="F3357" s="1" t="s">
        <v>119</v>
      </c>
      <c r="G3357" s="1" t="s">
        <v>119</v>
      </c>
      <c r="H3357" s="1" t="str">
        <f>VLOOKUP(F3357,Countries!$A$1:$B$161,2,0)</f>
        <v>Great Britain (United Kingdom)</v>
      </c>
    </row>
    <row r="3358" spans="1:8" x14ac:dyDescent="0.3">
      <c r="A3358" s="3">
        <v>46251.173055555562</v>
      </c>
      <c r="B3358" s="1">
        <v>6.65</v>
      </c>
      <c r="C3358" s="1">
        <v>5.74</v>
      </c>
      <c r="D3358" s="1">
        <v>0.55000000000000004</v>
      </c>
      <c r="E3358" s="1" t="s">
        <v>130</v>
      </c>
      <c r="F3358" s="1" t="s">
        <v>130</v>
      </c>
      <c r="G3358" s="1" t="s">
        <v>130</v>
      </c>
      <c r="H3358" s="1" t="str">
        <f>VLOOKUP(F3358,Countries!$A$1:$B$161,2,0)</f>
        <v>Australia</v>
      </c>
    </row>
    <row r="3359" spans="1:8" x14ac:dyDescent="0.3">
      <c r="A3359" s="3">
        <v>46251.15902777778</v>
      </c>
      <c r="B3359" s="1">
        <v>6.37</v>
      </c>
      <c r="C3359" s="1">
        <v>5.5</v>
      </c>
      <c r="D3359" s="1">
        <v>0.54</v>
      </c>
      <c r="E3359" s="1" t="s">
        <v>113</v>
      </c>
      <c r="F3359" s="1" t="s">
        <v>113</v>
      </c>
      <c r="G3359" s="1" t="s">
        <v>113</v>
      </c>
      <c r="H3359" s="1" t="str">
        <f>VLOOKUP(F3359,Countries!$A$1:$B$161,2,0)</f>
        <v>United States of America</v>
      </c>
    </row>
    <row r="3360" spans="1:8" x14ac:dyDescent="0.3">
      <c r="A3360" s="3">
        <v>46251.152106481481</v>
      </c>
      <c r="B3360" s="1">
        <v>19.98</v>
      </c>
      <c r="C3360" s="1">
        <v>17.25</v>
      </c>
      <c r="D3360" s="1">
        <v>0.86</v>
      </c>
      <c r="E3360" s="1" t="s">
        <v>123</v>
      </c>
      <c r="F3360" s="1" t="s">
        <v>123</v>
      </c>
      <c r="G3360" s="1" t="s">
        <v>123</v>
      </c>
      <c r="H3360" s="1" t="str">
        <f>VLOOKUP(F3360,Countries!$A$1:$B$161,2,0)</f>
        <v>France</v>
      </c>
    </row>
    <row r="3361" spans="1:8" x14ac:dyDescent="0.3">
      <c r="A3361" s="3">
        <v>46251.147893518522</v>
      </c>
      <c r="B3361" s="1">
        <v>6.37</v>
      </c>
      <c r="C3361" s="1">
        <v>5.5</v>
      </c>
      <c r="D3361" s="1">
        <v>0.54</v>
      </c>
      <c r="E3361" s="1" t="s">
        <v>113</v>
      </c>
      <c r="F3361" s="1" t="s">
        <v>113</v>
      </c>
      <c r="G3361" s="1" t="s">
        <v>113</v>
      </c>
      <c r="H3361" s="1" t="str">
        <f>VLOOKUP(F3361,Countries!$A$1:$B$161,2,0)</f>
        <v>United States of America</v>
      </c>
    </row>
    <row r="3362" spans="1:8" x14ac:dyDescent="0.3">
      <c r="A3362" s="3">
        <v>46251.144155092603</v>
      </c>
      <c r="B3362" s="1">
        <v>7.58</v>
      </c>
      <c r="C3362" s="1">
        <v>6.55</v>
      </c>
      <c r="D3362" s="1">
        <v>0.48</v>
      </c>
      <c r="E3362" s="1" t="s">
        <v>120</v>
      </c>
      <c r="F3362" s="1" t="s">
        <v>120</v>
      </c>
      <c r="G3362" s="1" t="s">
        <v>120</v>
      </c>
      <c r="H3362" s="1" t="str">
        <f>VLOOKUP(F3362,Countries!$A$1:$B$161,2,0)</f>
        <v>Czech Republic</v>
      </c>
    </row>
    <row r="3363" spans="1:8" x14ac:dyDescent="0.3">
      <c r="A3363" s="3">
        <v>46251.140509259261</v>
      </c>
      <c r="B3363" s="1">
        <v>3.35</v>
      </c>
      <c r="C3363" s="1">
        <v>2.89</v>
      </c>
      <c r="D3363" s="1">
        <v>0.4</v>
      </c>
      <c r="E3363" s="1" t="s">
        <v>149</v>
      </c>
      <c r="F3363" s="1" t="s">
        <v>149</v>
      </c>
      <c r="G3363" s="1" t="s">
        <v>149</v>
      </c>
      <c r="H3363" s="1" t="str">
        <f>VLOOKUP(F3363,Countries!$A$1:$B$161,2,0)</f>
        <v>Indonesia</v>
      </c>
    </row>
    <row r="3364" spans="1:8" x14ac:dyDescent="0.3">
      <c r="A3364" s="3">
        <v>46251.136053240742</v>
      </c>
      <c r="B3364" s="1">
        <v>6.37</v>
      </c>
      <c r="C3364" s="1">
        <v>5.5</v>
      </c>
      <c r="D3364" s="1">
        <v>0.54</v>
      </c>
      <c r="E3364" s="1" t="s">
        <v>130</v>
      </c>
      <c r="F3364" s="1" t="s">
        <v>130</v>
      </c>
      <c r="G3364" s="1" t="s">
        <v>130</v>
      </c>
      <c r="H3364" s="1" t="str">
        <f>VLOOKUP(F3364,Countries!$A$1:$B$161,2,0)</f>
        <v>Australia</v>
      </c>
    </row>
    <row r="3365" spans="1:8" x14ac:dyDescent="0.3">
      <c r="A3365" s="3">
        <v>46251.127638888887</v>
      </c>
      <c r="B3365" s="1">
        <v>6.37</v>
      </c>
      <c r="C3365" s="1">
        <v>5.5</v>
      </c>
      <c r="D3365" s="1">
        <v>0.54</v>
      </c>
      <c r="E3365" s="1" t="s">
        <v>113</v>
      </c>
      <c r="F3365" s="1" t="s">
        <v>113</v>
      </c>
      <c r="G3365" s="1" t="s">
        <v>113</v>
      </c>
      <c r="H3365" s="1" t="str">
        <f>VLOOKUP(F3365,Countries!$A$1:$B$161,2,0)</f>
        <v>United States of America</v>
      </c>
    </row>
    <row r="3366" spans="1:8" x14ac:dyDescent="0.3">
      <c r="A3366" s="3">
        <v>46251.120949074073</v>
      </c>
      <c r="B3366" s="1">
        <v>4.24</v>
      </c>
      <c r="C3366" s="1">
        <v>3.66</v>
      </c>
      <c r="D3366" s="1">
        <v>0.44</v>
      </c>
      <c r="E3366" s="1" t="s">
        <v>113</v>
      </c>
      <c r="F3366" s="1" t="s">
        <v>113</v>
      </c>
      <c r="G3366" s="1" t="s">
        <v>113</v>
      </c>
      <c r="H3366" s="1" t="str">
        <f>VLOOKUP(F3366,Countries!$A$1:$B$161,2,0)</f>
        <v>United States of America</v>
      </c>
    </row>
    <row r="3367" spans="1:8" x14ac:dyDescent="0.3">
      <c r="A3367" s="3">
        <v>46251.115011574067</v>
      </c>
      <c r="B3367" s="1">
        <v>7.04</v>
      </c>
      <c r="C3367" s="1">
        <v>6.08</v>
      </c>
      <c r="D3367" s="1">
        <v>0.56999999999999995</v>
      </c>
      <c r="E3367" s="1" t="s">
        <v>128</v>
      </c>
      <c r="F3367" s="1" t="s">
        <v>128</v>
      </c>
      <c r="G3367" s="1" t="s">
        <v>128</v>
      </c>
      <c r="H3367" s="1" t="str">
        <f>VLOOKUP(F3367,Countries!$A$1:$B$161,2,0)</f>
        <v>South Africa</v>
      </c>
    </row>
    <row r="3368" spans="1:8" x14ac:dyDescent="0.3">
      <c r="A3368" s="3">
        <v>46251.107187499998</v>
      </c>
      <c r="B3368" s="1">
        <v>1.99</v>
      </c>
      <c r="C3368" s="1">
        <v>1.72</v>
      </c>
      <c r="D3368" s="1">
        <v>0.34</v>
      </c>
      <c r="E3368" s="1" t="s">
        <v>115</v>
      </c>
      <c r="F3368" s="1" t="s">
        <v>115</v>
      </c>
      <c r="G3368" s="1" t="s">
        <v>115</v>
      </c>
      <c r="H3368" s="1" t="str">
        <f>VLOOKUP(F3368,Countries!$A$1:$B$161,2,0)</f>
        <v>Switzerland</v>
      </c>
    </row>
    <row r="3369" spans="1:8" x14ac:dyDescent="0.3">
      <c r="A3369" s="3">
        <v>46251.078344907408</v>
      </c>
      <c r="B3369" s="1">
        <v>2.99</v>
      </c>
      <c r="C3369" s="1">
        <v>2.58</v>
      </c>
      <c r="D3369" s="1">
        <v>0.38</v>
      </c>
      <c r="E3369" s="1" t="s">
        <v>129</v>
      </c>
      <c r="F3369" s="1" t="s">
        <v>129</v>
      </c>
      <c r="G3369" s="1" t="s">
        <v>129</v>
      </c>
      <c r="H3369" s="1" t="str">
        <f>VLOOKUP(F3369,Countries!$A$1:$B$161,2,0)</f>
        <v>Qatar</v>
      </c>
    </row>
    <row r="3370" spans="1:8" x14ac:dyDescent="0.3">
      <c r="A3370" s="3">
        <v>46251.065358796302</v>
      </c>
      <c r="B3370" s="1">
        <v>6.37</v>
      </c>
      <c r="C3370" s="1">
        <v>5.5</v>
      </c>
      <c r="D3370" s="1">
        <v>0.54</v>
      </c>
      <c r="E3370" s="1" t="s">
        <v>113</v>
      </c>
      <c r="F3370" s="1" t="s">
        <v>113</v>
      </c>
      <c r="G3370" s="1" t="s">
        <v>113</v>
      </c>
      <c r="H3370" s="1" t="str">
        <f>VLOOKUP(F3370,Countries!$A$1:$B$161,2,0)</f>
        <v>United States of America</v>
      </c>
    </row>
    <row r="3371" spans="1:8" x14ac:dyDescent="0.3">
      <c r="A3371" s="3">
        <v>46251.062210648153</v>
      </c>
      <c r="B3371" s="1">
        <v>3.93</v>
      </c>
      <c r="C3371" s="1">
        <v>3.39</v>
      </c>
      <c r="D3371" s="1">
        <v>0.37</v>
      </c>
      <c r="E3371" s="1" t="s">
        <v>137</v>
      </c>
      <c r="F3371" s="1" t="s">
        <v>138</v>
      </c>
      <c r="G3371" s="1" t="s">
        <v>138</v>
      </c>
      <c r="H3371" s="1" t="str">
        <f>VLOOKUP(F3371,Countries!$A$1:$B$161,2,0)</f>
        <v>Iceland</v>
      </c>
    </row>
    <row r="3372" spans="1:8" x14ac:dyDescent="0.3">
      <c r="A3372" s="3">
        <v>46251.055243055547</v>
      </c>
      <c r="B3372" s="1">
        <v>2.99</v>
      </c>
      <c r="C3372" s="1">
        <v>2.58</v>
      </c>
      <c r="D3372" s="1">
        <v>0.38</v>
      </c>
      <c r="E3372" s="1" t="s">
        <v>207</v>
      </c>
      <c r="F3372" s="1" t="s">
        <v>207</v>
      </c>
      <c r="G3372" s="1" t="s">
        <v>207</v>
      </c>
      <c r="H3372" s="1" t="str">
        <f>VLOOKUP(F3372,Countries!$A$1:$B$161,2,0)</f>
        <v>Brazil</v>
      </c>
    </row>
    <row r="3373" spans="1:8" x14ac:dyDescent="0.3">
      <c r="A3373" s="3">
        <v>46251.050358796303</v>
      </c>
      <c r="B3373" s="1">
        <v>6.37</v>
      </c>
      <c r="C3373" s="1">
        <v>5.5</v>
      </c>
      <c r="D3373" s="1">
        <v>0.54</v>
      </c>
      <c r="E3373" s="1" t="s">
        <v>113</v>
      </c>
      <c r="F3373" s="1" t="s">
        <v>113</v>
      </c>
      <c r="G3373" s="1" t="s">
        <v>113</v>
      </c>
      <c r="H3373" s="1" t="str">
        <f>VLOOKUP(F3373,Countries!$A$1:$B$161,2,0)</f>
        <v>United States of America</v>
      </c>
    </row>
    <row r="3374" spans="1:8" x14ac:dyDescent="0.3">
      <c r="A3374" s="3">
        <v>46251.046643518523</v>
      </c>
      <c r="B3374" s="1">
        <v>3.32</v>
      </c>
      <c r="C3374" s="1">
        <v>2.87</v>
      </c>
      <c r="D3374" s="1">
        <v>0.4</v>
      </c>
      <c r="E3374" s="1" t="s">
        <v>121</v>
      </c>
      <c r="F3374" s="1" t="s">
        <v>121</v>
      </c>
      <c r="G3374" s="1" t="s">
        <v>121</v>
      </c>
      <c r="H3374" s="1" t="str">
        <f>VLOOKUP(F3374,Countries!$A$1:$B$161,2,0)</f>
        <v>Japan</v>
      </c>
    </row>
    <row r="3375" spans="1:8" x14ac:dyDescent="0.3">
      <c r="A3375" s="3">
        <v>46251.034710648149</v>
      </c>
      <c r="B3375" s="1">
        <v>1.99</v>
      </c>
      <c r="C3375" s="1">
        <v>1.72</v>
      </c>
      <c r="D3375" s="1">
        <v>0.34</v>
      </c>
      <c r="E3375" s="1" t="s">
        <v>140</v>
      </c>
      <c r="F3375" s="1" t="s">
        <v>140</v>
      </c>
      <c r="G3375" s="1" t="s">
        <v>140</v>
      </c>
      <c r="H3375" s="1" t="str">
        <f>VLOOKUP(F3375,Countries!$A$1:$B$161,2,0)</f>
        <v>Colombia</v>
      </c>
    </row>
    <row r="3376" spans="1:8" x14ac:dyDescent="0.3">
      <c r="A3376" s="3">
        <v>46251.034456018519</v>
      </c>
      <c r="B3376" s="1">
        <v>3.64</v>
      </c>
      <c r="C3376" s="1">
        <v>3.15</v>
      </c>
      <c r="D3376" s="1">
        <v>0.41</v>
      </c>
      <c r="E3376" s="1" t="s">
        <v>208</v>
      </c>
      <c r="F3376" s="1" t="s">
        <v>208</v>
      </c>
      <c r="G3376" s="1" t="s">
        <v>208</v>
      </c>
      <c r="H3376" s="1" t="str">
        <f>VLOOKUP(F3376,Countries!$A$1:$B$161,2,0)</f>
        <v>Georgia</v>
      </c>
    </row>
    <row r="3377" spans="1:8" x14ac:dyDescent="0.3">
      <c r="A3377" s="3">
        <v>46251.021180555559</v>
      </c>
      <c r="B3377" s="1">
        <v>7.99</v>
      </c>
      <c r="C3377" s="1">
        <v>6.9</v>
      </c>
      <c r="D3377" s="1">
        <v>0.61</v>
      </c>
      <c r="E3377" s="1" t="s">
        <v>113</v>
      </c>
      <c r="F3377" s="1" t="s">
        <v>113</v>
      </c>
      <c r="G3377" s="1" t="s">
        <v>113</v>
      </c>
      <c r="H3377" s="1" t="str">
        <f>VLOOKUP(F3377,Countries!$A$1:$B$161,2,0)</f>
        <v>United States of America</v>
      </c>
    </row>
    <row r="3378" spans="1:8" x14ac:dyDescent="0.3">
      <c r="A3378" s="3">
        <v>46251.021180555559</v>
      </c>
      <c r="B3378" s="1">
        <v>7.77</v>
      </c>
      <c r="C3378" s="1">
        <v>6.71</v>
      </c>
      <c r="D3378" s="1">
        <v>0.48</v>
      </c>
      <c r="E3378" s="1" t="s">
        <v>137</v>
      </c>
      <c r="F3378" s="1" t="s">
        <v>137</v>
      </c>
      <c r="G3378" s="1" t="s">
        <v>137</v>
      </c>
      <c r="H3378" s="1" t="str">
        <f>VLOOKUP(F3378,Countries!$A$1:$B$161,2,0)</f>
        <v>Poland</v>
      </c>
    </row>
    <row r="3379" spans="1:8" x14ac:dyDescent="0.3">
      <c r="A3379" s="3">
        <v>46251.013784722221</v>
      </c>
      <c r="B3379" s="1">
        <v>10.62</v>
      </c>
      <c r="C3379" s="1">
        <v>9.18</v>
      </c>
      <c r="D3379" s="1">
        <v>0.73</v>
      </c>
      <c r="E3379" s="1" t="s">
        <v>113</v>
      </c>
      <c r="F3379" s="1" t="s">
        <v>113</v>
      </c>
      <c r="G3379" s="1" t="s">
        <v>113</v>
      </c>
      <c r="H3379" s="1" t="str">
        <f>VLOOKUP(F3379,Countries!$A$1:$B$161,2,0)</f>
        <v>United States of America</v>
      </c>
    </row>
    <row r="3380" spans="1:8" x14ac:dyDescent="0.3">
      <c r="A3380" s="3">
        <v>46251.013425925928</v>
      </c>
      <c r="B3380" s="1">
        <v>6.37</v>
      </c>
      <c r="C3380" s="1">
        <v>5.5</v>
      </c>
      <c r="D3380" s="1">
        <v>0.54</v>
      </c>
      <c r="E3380" s="1" t="s">
        <v>113</v>
      </c>
      <c r="F3380" s="1" t="s">
        <v>113</v>
      </c>
      <c r="G3380" s="1" t="s">
        <v>113</v>
      </c>
      <c r="H3380" s="1" t="str">
        <f>VLOOKUP(F3380,Countries!$A$1:$B$161,2,0)</f>
        <v>United States of America</v>
      </c>
    </row>
    <row r="3381" spans="1:8" x14ac:dyDescent="0.3">
      <c r="A3381" s="3">
        <v>46251.00986111111</v>
      </c>
      <c r="B3381" s="1">
        <v>7.77</v>
      </c>
      <c r="C3381" s="1">
        <v>6.71</v>
      </c>
      <c r="D3381" s="1">
        <v>0.48</v>
      </c>
      <c r="E3381" s="1" t="s">
        <v>137</v>
      </c>
      <c r="F3381" s="1" t="s">
        <v>137</v>
      </c>
      <c r="G3381" s="1" t="s">
        <v>137</v>
      </c>
      <c r="H3381" s="1" t="str">
        <f>VLOOKUP(F3381,Countries!$A$1:$B$161,2,0)</f>
        <v>Poland</v>
      </c>
    </row>
    <row r="3382" spans="1:8" x14ac:dyDescent="0.3">
      <c r="A3382" s="3">
        <v>46251.002754629633</v>
      </c>
      <c r="B3382" s="1">
        <v>6.37</v>
      </c>
      <c r="C3382" s="1">
        <v>5.5</v>
      </c>
      <c r="D3382" s="1">
        <v>0.54</v>
      </c>
      <c r="E3382" s="1" t="s">
        <v>113</v>
      </c>
      <c r="F3382" s="1" t="s">
        <v>113</v>
      </c>
      <c r="G3382" s="1" t="s">
        <v>113</v>
      </c>
      <c r="H3382" s="1" t="str">
        <f>VLOOKUP(F3382,Countries!$A$1:$B$161,2,0)</f>
        <v>United States of America</v>
      </c>
    </row>
    <row r="3383" spans="1:8" x14ac:dyDescent="0.3">
      <c r="A3383" s="3">
        <v>46251.002465277779</v>
      </c>
      <c r="B3383" s="1">
        <v>7.99</v>
      </c>
      <c r="C3383" s="1">
        <v>6.9</v>
      </c>
      <c r="D3383" s="1">
        <v>0.61</v>
      </c>
      <c r="E3383" s="1" t="s">
        <v>113</v>
      </c>
      <c r="F3383" s="1" t="s">
        <v>113</v>
      </c>
      <c r="G3383" s="1" t="s">
        <v>113</v>
      </c>
      <c r="H3383" s="1" t="str">
        <f>VLOOKUP(F3383,Countries!$A$1:$B$161,2,0)</f>
        <v>United States of America</v>
      </c>
    </row>
    <row r="3384" spans="1:8" x14ac:dyDescent="0.3">
      <c r="A3384" s="3">
        <v>46250.99832175926</v>
      </c>
      <c r="B3384" s="1">
        <v>6.37</v>
      </c>
      <c r="C3384" s="1">
        <v>5.5</v>
      </c>
      <c r="D3384" s="1">
        <v>0.54</v>
      </c>
      <c r="E3384" s="1" t="s">
        <v>113</v>
      </c>
      <c r="F3384" s="1" t="s">
        <v>113</v>
      </c>
      <c r="G3384" s="1" t="s">
        <v>113</v>
      </c>
      <c r="H3384" s="1" t="str">
        <f>VLOOKUP(F3384,Countries!$A$1:$B$161,2,0)</f>
        <v>United States of America</v>
      </c>
    </row>
    <row r="3385" spans="1:8" x14ac:dyDescent="0.3">
      <c r="A3385" s="3">
        <v>46250.957604166673</v>
      </c>
      <c r="B3385" s="1">
        <v>17.010000000000002</v>
      </c>
      <c r="C3385" s="1">
        <v>14.71</v>
      </c>
      <c r="D3385" s="1">
        <v>1.02</v>
      </c>
      <c r="E3385" s="1" t="s">
        <v>113</v>
      </c>
      <c r="F3385" s="1" t="s">
        <v>113</v>
      </c>
      <c r="G3385" s="1" t="s">
        <v>113</v>
      </c>
      <c r="H3385" s="1" t="str">
        <f>VLOOKUP(F3385,Countries!$A$1:$B$161,2,0)</f>
        <v>United States of America</v>
      </c>
    </row>
    <row r="3386" spans="1:8" x14ac:dyDescent="0.3">
      <c r="A3386" s="3">
        <v>46250.956782407397</v>
      </c>
      <c r="B3386" s="1">
        <v>7.48</v>
      </c>
      <c r="C3386" s="1">
        <v>6.47</v>
      </c>
      <c r="D3386" s="1">
        <v>0.48</v>
      </c>
      <c r="E3386" s="1" t="s">
        <v>123</v>
      </c>
      <c r="F3386" s="1" t="s">
        <v>123</v>
      </c>
      <c r="G3386" s="1" t="s">
        <v>123</v>
      </c>
      <c r="H3386" s="1" t="str">
        <f>VLOOKUP(F3386,Countries!$A$1:$B$161,2,0)</f>
        <v>France</v>
      </c>
    </row>
    <row r="3387" spans="1:8" x14ac:dyDescent="0.3">
      <c r="A3387" s="3">
        <v>46250.950104166674</v>
      </c>
      <c r="B3387" s="1">
        <v>4.09</v>
      </c>
      <c r="C3387" s="1">
        <v>3.54</v>
      </c>
      <c r="D3387" s="1">
        <v>0.37</v>
      </c>
      <c r="E3387" s="1" t="s">
        <v>177</v>
      </c>
      <c r="F3387" s="1" t="s">
        <v>177</v>
      </c>
      <c r="G3387" s="1" t="s">
        <v>177</v>
      </c>
      <c r="H3387" s="1" t="str">
        <f>VLOOKUP(F3387,Countries!$A$1:$B$161,2,0)</f>
        <v>Hungary</v>
      </c>
    </row>
    <row r="3388" spans="1:8" x14ac:dyDescent="0.3">
      <c r="A3388" s="3">
        <v>46250.94835648148</v>
      </c>
      <c r="B3388" s="1">
        <v>14.77</v>
      </c>
      <c r="C3388" s="1">
        <v>12.77</v>
      </c>
      <c r="D3388" s="1">
        <v>0.93</v>
      </c>
      <c r="E3388" s="1" t="s">
        <v>113</v>
      </c>
      <c r="F3388" s="1" t="s">
        <v>113</v>
      </c>
      <c r="G3388" s="1" t="s">
        <v>113</v>
      </c>
      <c r="H3388" s="1" t="str">
        <f>VLOOKUP(F3388,Countries!$A$1:$B$161,2,0)</f>
        <v>United States of America</v>
      </c>
    </row>
    <row r="3389" spans="1:8" x14ac:dyDescent="0.3">
      <c r="A3389" s="3">
        <v>46250.94159722222</v>
      </c>
      <c r="B3389" s="1">
        <v>1.99</v>
      </c>
      <c r="C3389" s="1">
        <v>1.72</v>
      </c>
      <c r="D3389" s="1">
        <v>0.34</v>
      </c>
      <c r="E3389" s="1" t="s">
        <v>113</v>
      </c>
      <c r="F3389" s="1" t="s">
        <v>113</v>
      </c>
      <c r="G3389" s="1" t="s">
        <v>113</v>
      </c>
      <c r="H3389" s="1" t="str">
        <f>VLOOKUP(F3389,Countries!$A$1:$B$161,2,0)</f>
        <v>United States of America</v>
      </c>
    </row>
    <row r="3390" spans="1:8" x14ac:dyDescent="0.3">
      <c r="A3390" s="3">
        <v>46250.935995370368</v>
      </c>
      <c r="B3390" s="1">
        <v>5.99</v>
      </c>
      <c r="C3390" s="1">
        <v>5.18</v>
      </c>
      <c r="D3390" s="1">
        <v>0.52</v>
      </c>
      <c r="E3390" s="1" t="s">
        <v>113</v>
      </c>
      <c r="F3390" s="1" t="s">
        <v>113</v>
      </c>
      <c r="G3390" s="1" t="s">
        <v>113</v>
      </c>
      <c r="H3390" s="1" t="str">
        <f>VLOOKUP(F3390,Countries!$A$1:$B$161,2,0)</f>
        <v>United States of America</v>
      </c>
    </row>
    <row r="3391" spans="1:8" x14ac:dyDescent="0.3">
      <c r="A3391" s="3">
        <v>46250.934745370367</v>
      </c>
      <c r="B3391" s="1">
        <v>14.77</v>
      </c>
      <c r="C3391" s="1">
        <v>12.77</v>
      </c>
      <c r="D3391" s="1">
        <v>0.93</v>
      </c>
      <c r="E3391" s="1" t="s">
        <v>113</v>
      </c>
      <c r="F3391" s="1" t="s">
        <v>113</v>
      </c>
      <c r="G3391" s="1" t="s">
        <v>113</v>
      </c>
      <c r="H3391" s="1" t="str">
        <f>VLOOKUP(F3391,Countries!$A$1:$B$161,2,0)</f>
        <v>United States of America</v>
      </c>
    </row>
    <row r="3392" spans="1:8" x14ac:dyDescent="0.3">
      <c r="A3392" s="3">
        <v>46250.931388888886</v>
      </c>
      <c r="B3392" s="1">
        <v>6.37</v>
      </c>
      <c r="C3392" s="1">
        <v>5.51</v>
      </c>
      <c r="D3392" s="1">
        <v>0.54</v>
      </c>
      <c r="E3392" s="1" t="s">
        <v>113</v>
      </c>
      <c r="F3392" s="1" t="s">
        <v>113</v>
      </c>
      <c r="G3392" s="1" t="s">
        <v>113</v>
      </c>
      <c r="H3392" s="1" t="str">
        <f>VLOOKUP(F3392,Countries!$A$1:$B$161,2,0)</f>
        <v>United States of America</v>
      </c>
    </row>
    <row r="3393" spans="1:8" x14ac:dyDescent="0.3">
      <c r="A3393" s="3">
        <v>46250.919988425929</v>
      </c>
      <c r="B3393" s="1">
        <v>14.77</v>
      </c>
      <c r="C3393" s="1">
        <v>12.77</v>
      </c>
      <c r="D3393" s="1">
        <v>0.93</v>
      </c>
      <c r="E3393" s="1" t="s">
        <v>113</v>
      </c>
      <c r="F3393" s="1" t="s">
        <v>113</v>
      </c>
      <c r="G3393" s="1" t="s">
        <v>113</v>
      </c>
      <c r="H3393" s="1" t="str">
        <f>VLOOKUP(F3393,Countries!$A$1:$B$161,2,0)</f>
        <v>United States of America</v>
      </c>
    </row>
    <row r="3394" spans="1:8" x14ac:dyDescent="0.3">
      <c r="A3394" s="3">
        <v>46250.915567129632</v>
      </c>
      <c r="B3394" s="1">
        <v>16.829999999999998</v>
      </c>
      <c r="C3394" s="1">
        <v>14.55</v>
      </c>
      <c r="D3394" s="1">
        <v>1.01</v>
      </c>
      <c r="E3394" s="1" t="s">
        <v>132</v>
      </c>
      <c r="F3394" s="1" t="s">
        <v>132</v>
      </c>
      <c r="G3394" s="1" t="s">
        <v>132</v>
      </c>
      <c r="H3394" s="1" t="str">
        <f>VLOOKUP(F3394,Countries!$A$1:$B$161,2,0)</f>
        <v>Canada</v>
      </c>
    </row>
    <row r="3395" spans="1:8" x14ac:dyDescent="0.3">
      <c r="A3395" s="3">
        <v>46250.913483796299</v>
      </c>
      <c r="B3395" s="1">
        <v>6.37</v>
      </c>
      <c r="C3395" s="1">
        <v>5.51</v>
      </c>
      <c r="D3395" s="1">
        <v>0.54</v>
      </c>
      <c r="E3395" s="1" t="s">
        <v>113</v>
      </c>
      <c r="F3395" s="1" t="s">
        <v>113</v>
      </c>
      <c r="G3395" s="1" t="s">
        <v>113</v>
      </c>
      <c r="H3395" s="1" t="str">
        <f>VLOOKUP(F3395,Countries!$A$1:$B$161,2,0)</f>
        <v>United States of America</v>
      </c>
    </row>
    <row r="3396" spans="1:8" x14ac:dyDescent="0.3">
      <c r="A3396" s="3">
        <v>46250.912048611113</v>
      </c>
      <c r="B3396" s="1">
        <v>6.37</v>
      </c>
      <c r="C3396" s="1">
        <v>5.51</v>
      </c>
      <c r="D3396" s="1">
        <v>0.54</v>
      </c>
      <c r="E3396" s="1" t="s">
        <v>113</v>
      </c>
      <c r="F3396" s="1" t="s">
        <v>113</v>
      </c>
      <c r="G3396" s="1" t="s">
        <v>113</v>
      </c>
      <c r="H3396" s="1" t="str">
        <f>VLOOKUP(F3396,Countries!$A$1:$B$161,2,0)</f>
        <v>United States of America</v>
      </c>
    </row>
    <row r="3397" spans="1:8" x14ac:dyDescent="0.3">
      <c r="A3397" s="3">
        <v>46250.90861111111</v>
      </c>
      <c r="B3397" s="1">
        <v>14.77</v>
      </c>
      <c r="C3397" s="1">
        <v>12.77</v>
      </c>
      <c r="D3397" s="1">
        <v>0.93</v>
      </c>
      <c r="E3397" s="1" t="s">
        <v>113</v>
      </c>
      <c r="F3397" s="1" t="s">
        <v>113</v>
      </c>
      <c r="G3397" s="1" t="s">
        <v>113</v>
      </c>
      <c r="H3397" s="1" t="str">
        <f>VLOOKUP(F3397,Countries!$A$1:$B$161,2,0)</f>
        <v>United States of America</v>
      </c>
    </row>
    <row r="3398" spans="1:8" x14ac:dyDescent="0.3">
      <c r="A3398" s="3">
        <v>46250.891956018517</v>
      </c>
      <c r="B3398" s="1">
        <v>17.36</v>
      </c>
      <c r="C3398" s="1">
        <v>15.01</v>
      </c>
      <c r="D3398" s="1">
        <v>0.78</v>
      </c>
      <c r="E3398" s="1" t="s">
        <v>123</v>
      </c>
      <c r="F3398" s="1" t="s">
        <v>123</v>
      </c>
      <c r="G3398" s="1" t="s">
        <v>123</v>
      </c>
      <c r="H3398" s="1" t="str">
        <f>VLOOKUP(F3398,Countries!$A$1:$B$161,2,0)</f>
        <v>France</v>
      </c>
    </row>
    <row r="3399" spans="1:8" x14ac:dyDescent="0.3">
      <c r="A3399" s="3">
        <v>46250.885972222219</v>
      </c>
      <c r="B3399" s="1">
        <v>7.58</v>
      </c>
      <c r="C3399" s="1">
        <v>6.55</v>
      </c>
      <c r="D3399" s="1">
        <v>0.48</v>
      </c>
      <c r="E3399" s="1" t="s">
        <v>116</v>
      </c>
      <c r="F3399" s="1" t="s">
        <v>116</v>
      </c>
      <c r="G3399" s="1" t="s">
        <v>116</v>
      </c>
      <c r="H3399" s="1" t="str">
        <f>VLOOKUP(F3399,Countries!$A$1:$B$161,2,0)</f>
        <v>Spain</v>
      </c>
    </row>
    <row r="3400" spans="1:8" x14ac:dyDescent="0.3">
      <c r="A3400" s="3">
        <v>46250.884467592587</v>
      </c>
      <c r="B3400" s="1">
        <v>121.62</v>
      </c>
      <c r="C3400" s="1">
        <v>105.16</v>
      </c>
      <c r="D3400" s="1">
        <v>3.93</v>
      </c>
      <c r="E3400" s="1" t="s">
        <v>113</v>
      </c>
      <c r="F3400" s="1" t="s">
        <v>113</v>
      </c>
      <c r="G3400" s="1" t="s">
        <v>113</v>
      </c>
      <c r="H3400" s="1" t="str">
        <f>VLOOKUP(F3400,Countries!$A$1:$B$161,2,0)</f>
        <v>United States of America</v>
      </c>
    </row>
    <row r="3401" spans="1:8" x14ac:dyDescent="0.3">
      <c r="A3401" s="3">
        <v>46250.881562499999</v>
      </c>
      <c r="B3401" s="1">
        <v>10.62</v>
      </c>
      <c r="C3401" s="1">
        <v>9.18</v>
      </c>
      <c r="D3401" s="1">
        <v>0.73</v>
      </c>
      <c r="E3401" s="1" t="s">
        <v>113</v>
      </c>
      <c r="F3401" s="1" t="s">
        <v>113</v>
      </c>
      <c r="G3401" s="1" t="s">
        <v>113</v>
      </c>
      <c r="H3401" s="1" t="str">
        <f>VLOOKUP(F3401,Countries!$A$1:$B$161,2,0)</f>
        <v>United States of America</v>
      </c>
    </row>
    <row r="3402" spans="1:8" x14ac:dyDescent="0.3">
      <c r="A3402" s="3">
        <v>46250.88009259259</v>
      </c>
      <c r="B3402" s="1">
        <v>10.62</v>
      </c>
      <c r="C3402" s="1">
        <v>9.18</v>
      </c>
      <c r="D3402" s="1">
        <v>0.73</v>
      </c>
      <c r="E3402" s="1" t="s">
        <v>113</v>
      </c>
      <c r="F3402" s="1" t="s">
        <v>113</v>
      </c>
      <c r="G3402" s="1" t="s">
        <v>113</v>
      </c>
      <c r="H3402" s="1" t="str">
        <f>VLOOKUP(F3402,Countries!$A$1:$B$161,2,0)</f>
        <v>United States of America</v>
      </c>
    </row>
    <row r="3403" spans="1:8" x14ac:dyDescent="0.3">
      <c r="A3403" s="3">
        <v>46250.878912037027</v>
      </c>
      <c r="B3403" s="1">
        <v>6.37</v>
      </c>
      <c r="C3403" s="1">
        <v>5.51</v>
      </c>
      <c r="D3403" s="1">
        <v>0.54</v>
      </c>
      <c r="E3403" s="1" t="s">
        <v>113</v>
      </c>
      <c r="F3403" s="1" t="s">
        <v>113</v>
      </c>
      <c r="G3403" s="1" t="s">
        <v>113</v>
      </c>
      <c r="H3403" s="1" t="str">
        <f>VLOOKUP(F3403,Countries!$A$1:$B$161,2,0)</f>
        <v>United States of America</v>
      </c>
    </row>
    <row r="3404" spans="1:8" x14ac:dyDescent="0.3">
      <c r="A3404" s="3">
        <v>46250.877256944441</v>
      </c>
      <c r="B3404" s="1">
        <v>6.37</v>
      </c>
      <c r="C3404" s="1">
        <v>5.51</v>
      </c>
      <c r="D3404" s="1">
        <v>0.54</v>
      </c>
      <c r="E3404" s="1" t="s">
        <v>113</v>
      </c>
      <c r="F3404" s="1" t="s">
        <v>113</v>
      </c>
      <c r="G3404" s="1" t="s">
        <v>113</v>
      </c>
      <c r="H3404" s="1" t="str">
        <f>VLOOKUP(F3404,Countries!$A$1:$B$161,2,0)</f>
        <v>United States of America</v>
      </c>
    </row>
    <row r="3405" spans="1:8" x14ac:dyDescent="0.3">
      <c r="A3405" s="3">
        <v>46250.870659722219</v>
      </c>
      <c r="B3405" s="1">
        <v>60.81</v>
      </c>
      <c r="C3405" s="1">
        <v>52.55</v>
      </c>
      <c r="D3405" s="1">
        <v>2.09</v>
      </c>
      <c r="E3405" s="1" t="s">
        <v>113</v>
      </c>
      <c r="F3405" s="1" t="s">
        <v>113</v>
      </c>
      <c r="G3405" s="1" t="s">
        <v>113</v>
      </c>
      <c r="H3405" s="1" t="str">
        <f>VLOOKUP(F3405,Countries!$A$1:$B$161,2,0)</f>
        <v>United States of America</v>
      </c>
    </row>
    <row r="3406" spans="1:8" x14ac:dyDescent="0.3">
      <c r="A3406" s="3">
        <v>46250.868969907409</v>
      </c>
      <c r="B3406" s="1">
        <v>17.36</v>
      </c>
      <c r="C3406" s="1">
        <v>15</v>
      </c>
      <c r="D3406" s="1">
        <v>0.78</v>
      </c>
      <c r="E3406" s="1" t="s">
        <v>113</v>
      </c>
      <c r="F3406" s="1" t="s">
        <v>113</v>
      </c>
      <c r="G3406" s="1" t="s">
        <v>113</v>
      </c>
      <c r="H3406" s="1" t="str">
        <f>VLOOKUP(F3406,Countries!$A$1:$B$161,2,0)</f>
        <v>United States of America</v>
      </c>
    </row>
    <row r="3407" spans="1:8" x14ac:dyDescent="0.3">
      <c r="A3407" s="3">
        <v>46250.86822916667</v>
      </c>
      <c r="B3407" s="1">
        <v>34.75</v>
      </c>
      <c r="C3407" s="1">
        <v>30.03</v>
      </c>
      <c r="D3407" s="1">
        <v>1.3</v>
      </c>
      <c r="E3407" s="1" t="s">
        <v>113</v>
      </c>
      <c r="F3407" s="1" t="s">
        <v>113</v>
      </c>
      <c r="G3407" s="1" t="s">
        <v>113</v>
      </c>
      <c r="H3407" s="1" t="str">
        <f>VLOOKUP(F3407,Countries!$A$1:$B$161,2,0)</f>
        <v>United States of America</v>
      </c>
    </row>
    <row r="3408" spans="1:8" x14ac:dyDescent="0.3">
      <c r="A3408" s="3">
        <v>46250.86451388889</v>
      </c>
      <c r="B3408" s="1">
        <v>34.75</v>
      </c>
      <c r="C3408" s="1">
        <v>30.03</v>
      </c>
      <c r="D3408" s="1">
        <v>1.3</v>
      </c>
      <c r="E3408" s="1" t="s">
        <v>113</v>
      </c>
      <c r="F3408" s="1" t="s">
        <v>113</v>
      </c>
      <c r="G3408" s="1" t="s">
        <v>113</v>
      </c>
      <c r="H3408" s="1" t="str">
        <f>VLOOKUP(F3408,Countries!$A$1:$B$161,2,0)</f>
        <v>United States of America</v>
      </c>
    </row>
    <row r="3409" spans="1:8" x14ac:dyDescent="0.3">
      <c r="A3409" s="3">
        <v>46250.864178240743</v>
      </c>
      <c r="B3409" s="1">
        <v>26.06</v>
      </c>
      <c r="C3409" s="1">
        <v>22.52</v>
      </c>
      <c r="D3409" s="1">
        <v>1.04</v>
      </c>
      <c r="E3409" s="1" t="s">
        <v>113</v>
      </c>
      <c r="F3409" s="1" t="s">
        <v>113</v>
      </c>
      <c r="G3409" s="1" t="s">
        <v>113</v>
      </c>
      <c r="H3409" s="1" t="str">
        <f>VLOOKUP(F3409,Countries!$A$1:$B$161,2,0)</f>
        <v>United States of America</v>
      </c>
    </row>
    <row r="3410" spans="1:8" x14ac:dyDescent="0.3">
      <c r="A3410" s="3">
        <v>46250.861689814818</v>
      </c>
      <c r="B3410" s="1">
        <v>17.36</v>
      </c>
      <c r="C3410" s="1">
        <v>15</v>
      </c>
      <c r="D3410" s="1">
        <v>0.78</v>
      </c>
      <c r="E3410" s="1" t="s">
        <v>113</v>
      </c>
      <c r="F3410" s="1" t="s">
        <v>113</v>
      </c>
      <c r="G3410" s="1" t="s">
        <v>113</v>
      </c>
      <c r="H3410" s="1" t="str">
        <f>VLOOKUP(F3410,Countries!$A$1:$B$161,2,0)</f>
        <v>United States of America</v>
      </c>
    </row>
    <row r="3411" spans="1:8" x14ac:dyDescent="0.3">
      <c r="A3411" s="3">
        <v>46250.858738425923</v>
      </c>
      <c r="B3411" s="1">
        <v>1.99</v>
      </c>
      <c r="C3411" s="1">
        <v>1.72</v>
      </c>
      <c r="D3411" s="1">
        <v>0.31</v>
      </c>
      <c r="E3411" s="1" t="s">
        <v>147</v>
      </c>
      <c r="F3411" s="1" t="s">
        <v>147</v>
      </c>
      <c r="G3411" s="1" t="s">
        <v>147</v>
      </c>
      <c r="H3411" s="1" t="str">
        <f>VLOOKUP(F3411,Countries!$A$1:$B$161,2,0)</f>
        <v>Germany</v>
      </c>
    </row>
    <row r="3412" spans="1:8" x14ac:dyDescent="0.3">
      <c r="A3412" s="3">
        <v>46250.858506944453</v>
      </c>
      <c r="B3412" s="1">
        <v>3.69</v>
      </c>
      <c r="C3412" s="1">
        <v>3.19</v>
      </c>
      <c r="D3412" s="1">
        <v>0.36</v>
      </c>
      <c r="E3412" s="1" t="s">
        <v>147</v>
      </c>
      <c r="F3412" s="1" t="s">
        <v>159</v>
      </c>
      <c r="G3412" s="1" t="s">
        <v>159</v>
      </c>
      <c r="H3412" s="1" t="str">
        <f>VLOOKUP(F3412,Countries!$A$1:$B$161,2,0)</f>
        <v>Romania</v>
      </c>
    </row>
    <row r="3413" spans="1:8" x14ac:dyDescent="0.3">
      <c r="A3413" s="3">
        <v>46250.856192129628</v>
      </c>
      <c r="B3413" s="1">
        <v>69.5</v>
      </c>
      <c r="C3413" s="1">
        <v>60.06</v>
      </c>
      <c r="D3413" s="1">
        <v>2.35</v>
      </c>
      <c r="E3413" s="1" t="s">
        <v>113</v>
      </c>
      <c r="F3413" s="1" t="s">
        <v>113</v>
      </c>
      <c r="G3413" s="1" t="s">
        <v>113</v>
      </c>
      <c r="H3413" s="1" t="str">
        <f>VLOOKUP(F3413,Countries!$A$1:$B$161,2,0)</f>
        <v>United States of America</v>
      </c>
    </row>
    <row r="3414" spans="1:8" x14ac:dyDescent="0.3">
      <c r="A3414" s="3">
        <v>46250.853877314818</v>
      </c>
      <c r="B3414" s="1">
        <v>2.99</v>
      </c>
      <c r="C3414" s="1">
        <v>2.58</v>
      </c>
      <c r="D3414" s="1">
        <v>0.38</v>
      </c>
      <c r="E3414" s="1" t="s">
        <v>135</v>
      </c>
      <c r="F3414" s="1" t="s">
        <v>135</v>
      </c>
      <c r="G3414" s="1" t="s">
        <v>135</v>
      </c>
      <c r="H3414" s="1" t="str">
        <f>VLOOKUP(F3414,Countries!$A$1:$B$161,2,0)</f>
        <v>Kuwait</v>
      </c>
    </row>
    <row r="3415" spans="1:8" x14ac:dyDescent="0.3">
      <c r="A3415" s="3">
        <v>46250.851365740738</v>
      </c>
      <c r="B3415" s="1">
        <v>17.36</v>
      </c>
      <c r="C3415" s="1">
        <v>15</v>
      </c>
      <c r="D3415" s="1">
        <v>0.78</v>
      </c>
      <c r="E3415" s="1" t="s">
        <v>113</v>
      </c>
      <c r="F3415" s="1" t="s">
        <v>113</v>
      </c>
      <c r="G3415" s="1" t="s">
        <v>113</v>
      </c>
      <c r="H3415" s="1" t="str">
        <f>VLOOKUP(F3415,Countries!$A$1:$B$161,2,0)</f>
        <v>United States of America</v>
      </c>
    </row>
    <row r="3416" spans="1:8" x14ac:dyDescent="0.3">
      <c r="A3416" s="3">
        <v>46250.847291666672</v>
      </c>
      <c r="B3416" s="1">
        <v>6.37</v>
      </c>
      <c r="C3416" s="1">
        <v>5.5</v>
      </c>
      <c r="D3416" s="1">
        <v>0.54</v>
      </c>
      <c r="E3416" s="1" t="s">
        <v>113</v>
      </c>
      <c r="F3416" s="1" t="s">
        <v>113</v>
      </c>
      <c r="G3416" s="1" t="s">
        <v>113</v>
      </c>
      <c r="H3416" s="1" t="str">
        <f>VLOOKUP(F3416,Countries!$A$1:$B$161,2,0)</f>
        <v>United States of America</v>
      </c>
    </row>
    <row r="3417" spans="1:8" x14ac:dyDescent="0.3">
      <c r="A3417" s="3">
        <v>46250.845567129632</v>
      </c>
      <c r="B3417" s="1">
        <v>6.37</v>
      </c>
      <c r="C3417" s="1">
        <v>5.5</v>
      </c>
      <c r="D3417" s="1">
        <v>0.54</v>
      </c>
      <c r="E3417" s="1" t="s">
        <v>113</v>
      </c>
      <c r="F3417" s="1" t="s">
        <v>113</v>
      </c>
      <c r="G3417" s="1" t="s">
        <v>113</v>
      </c>
      <c r="H3417" s="1" t="str">
        <f>VLOOKUP(F3417,Countries!$A$1:$B$161,2,0)</f>
        <v>United States of America</v>
      </c>
    </row>
    <row r="3418" spans="1:8" x14ac:dyDescent="0.3">
      <c r="A3418" s="3">
        <v>46250.844861111109</v>
      </c>
      <c r="B3418" s="1">
        <v>17.36</v>
      </c>
      <c r="C3418" s="1">
        <v>15</v>
      </c>
      <c r="D3418" s="1">
        <v>0.78</v>
      </c>
      <c r="E3418" s="1" t="s">
        <v>113</v>
      </c>
      <c r="F3418" s="1" t="s">
        <v>113</v>
      </c>
      <c r="G3418" s="1" t="s">
        <v>113</v>
      </c>
      <c r="H3418" s="1" t="str">
        <f>VLOOKUP(F3418,Countries!$A$1:$B$161,2,0)</f>
        <v>United States of America</v>
      </c>
    </row>
    <row r="3419" spans="1:8" x14ac:dyDescent="0.3">
      <c r="A3419" s="3">
        <v>46250.837685185194</v>
      </c>
      <c r="B3419" s="1">
        <v>17.36</v>
      </c>
      <c r="C3419" s="1">
        <v>15</v>
      </c>
      <c r="D3419" s="1">
        <v>0.78</v>
      </c>
      <c r="E3419" s="1" t="s">
        <v>113</v>
      </c>
      <c r="F3419" s="1" t="s">
        <v>113</v>
      </c>
      <c r="G3419" s="1" t="s">
        <v>113</v>
      </c>
      <c r="H3419" s="1" t="str">
        <f>VLOOKUP(F3419,Countries!$A$1:$B$161,2,0)</f>
        <v>United States of America</v>
      </c>
    </row>
    <row r="3420" spans="1:8" x14ac:dyDescent="0.3">
      <c r="A3420" s="3">
        <v>46250.835416666669</v>
      </c>
      <c r="B3420" s="1">
        <v>17.37</v>
      </c>
      <c r="C3420" s="1">
        <v>15.01</v>
      </c>
      <c r="D3420" s="1">
        <v>0.78</v>
      </c>
      <c r="E3420" s="1" t="s">
        <v>113</v>
      </c>
      <c r="F3420" s="1" t="s">
        <v>113</v>
      </c>
      <c r="G3420" s="1" t="s">
        <v>113</v>
      </c>
      <c r="H3420" s="1" t="str">
        <f>VLOOKUP(F3420,Countries!$A$1:$B$161,2,0)</f>
        <v>United States of America</v>
      </c>
    </row>
    <row r="3421" spans="1:8" x14ac:dyDescent="0.3">
      <c r="A3421" s="3">
        <v>46250.830613425933</v>
      </c>
      <c r="B3421" s="1">
        <v>17.36</v>
      </c>
      <c r="C3421" s="1">
        <v>15.01</v>
      </c>
      <c r="D3421" s="1">
        <v>0.78</v>
      </c>
      <c r="E3421" s="1" t="s">
        <v>113</v>
      </c>
      <c r="F3421" s="1" t="s">
        <v>113</v>
      </c>
      <c r="G3421" s="1" t="s">
        <v>113</v>
      </c>
      <c r="H3421" s="1" t="str">
        <f>VLOOKUP(F3421,Countries!$A$1:$B$161,2,0)</f>
        <v>United States of America</v>
      </c>
    </row>
    <row r="3422" spans="1:8" x14ac:dyDescent="0.3">
      <c r="A3422" s="3">
        <v>46250.824895833342</v>
      </c>
      <c r="B3422" s="1">
        <v>86.87</v>
      </c>
      <c r="C3422" s="1">
        <v>75.09</v>
      </c>
      <c r="D3422" s="1">
        <v>2.88</v>
      </c>
      <c r="E3422" s="1" t="s">
        <v>113</v>
      </c>
      <c r="F3422" s="1" t="s">
        <v>113</v>
      </c>
      <c r="G3422" s="1" t="s">
        <v>113</v>
      </c>
      <c r="H3422" s="1" t="str">
        <f>VLOOKUP(F3422,Countries!$A$1:$B$161,2,0)</f>
        <v>United States of America</v>
      </c>
    </row>
    <row r="3423" spans="1:8" x14ac:dyDescent="0.3">
      <c r="A3423" s="3">
        <v>46250.823240740741</v>
      </c>
      <c r="B3423" s="1">
        <v>2.99</v>
      </c>
      <c r="C3423" s="1">
        <v>2.58</v>
      </c>
      <c r="D3423" s="1">
        <v>0.38</v>
      </c>
      <c r="E3423" s="1" t="s">
        <v>142</v>
      </c>
      <c r="F3423" s="1" t="s">
        <v>142</v>
      </c>
      <c r="G3423" s="1" t="s">
        <v>142</v>
      </c>
      <c r="H3423" s="1" t="str">
        <f>VLOOKUP(F3423,Countries!$A$1:$B$161,2,0)</f>
        <v>India</v>
      </c>
    </row>
    <row r="3424" spans="1:8" x14ac:dyDescent="0.3">
      <c r="A3424" s="3">
        <v>46250.819363425922</v>
      </c>
      <c r="B3424" s="1">
        <v>17.36</v>
      </c>
      <c r="C3424" s="1">
        <v>15.01</v>
      </c>
      <c r="D3424" s="1">
        <v>0.78</v>
      </c>
      <c r="E3424" s="1" t="s">
        <v>113</v>
      </c>
      <c r="F3424" s="1" t="s">
        <v>113</v>
      </c>
      <c r="G3424" s="1" t="s">
        <v>113</v>
      </c>
      <c r="H3424" s="1" t="str">
        <f>VLOOKUP(F3424,Countries!$A$1:$B$161,2,0)</f>
        <v>United States of America</v>
      </c>
    </row>
    <row r="3425" spans="1:8" x14ac:dyDescent="0.3">
      <c r="A3425" s="3">
        <v>46250.816550925927</v>
      </c>
      <c r="B3425" s="1">
        <v>3.51</v>
      </c>
      <c r="C3425" s="1">
        <v>3.03</v>
      </c>
      <c r="D3425" s="1">
        <v>0.41</v>
      </c>
      <c r="E3425" s="1" t="s">
        <v>160</v>
      </c>
      <c r="F3425" s="1" t="s">
        <v>160</v>
      </c>
      <c r="G3425" s="1" t="s">
        <v>160</v>
      </c>
      <c r="H3425" s="1" t="str">
        <f>VLOOKUP(F3425,Countries!$A$1:$B$161,2,0)</f>
        <v>New Zealand</v>
      </c>
    </row>
    <row r="3426" spans="1:8" x14ac:dyDescent="0.3">
      <c r="A3426" s="3">
        <v>46250.815509259257</v>
      </c>
      <c r="B3426" s="1">
        <v>34.75</v>
      </c>
      <c r="C3426" s="1">
        <v>30.04</v>
      </c>
      <c r="D3426" s="1">
        <v>1.3</v>
      </c>
      <c r="E3426" s="1" t="s">
        <v>113</v>
      </c>
      <c r="F3426" s="1" t="s">
        <v>113</v>
      </c>
      <c r="G3426" s="1" t="s">
        <v>113</v>
      </c>
      <c r="H3426" s="1" t="str">
        <f>VLOOKUP(F3426,Countries!$A$1:$B$161,2,0)</f>
        <v>United States of America</v>
      </c>
    </row>
    <row r="3427" spans="1:8" x14ac:dyDescent="0.3">
      <c r="A3427" s="3">
        <v>46250.813888888893</v>
      </c>
      <c r="B3427" s="1">
        <v>3.99</v>
      </c>
      <c r="C3427" s="1">
        <v>3.45</v>
      </c>
      <c r="D3427" s="1">
        <v>0.43</v>
      </c>
      <c r="E3427" s="1" t="s">
        <v>121</v>
      </c>
      <c r="F3427" s="1" t="s">
        <v>121</v>
      </c>
      <c r="G3427" s="1" t="s">
        <v>121</v>
      </c>
      <c r="H3427" s="1" t="str">
        <f>VLOOKUP(F3427,Countries!$A$1:$B$161,2,0)</f>
        <v>Japan</v>
      </c>
    </row>
    <row r="3428" spans="1:8" x14ac:dyDescent="0.3">
      <c r="A3428" s="3">
        <v>46250.81144675926</v>
      </c>
      <c r="B3428" s="1">
        <v>6.37</v>
      </c>
      <c r="C3428" s="1">
        <v>5.51</v>
      </c>
      <c r="D3428" s="1">
        <v>0.54</v>
      </c>
      <c r="E3428" s="1" t="s">
        <v>113</v>
      </c>
      <c r="F3428" s="1" t="s">
        <v>113</v>
      </c>
      <c r="G3428" s="1" t="s">
        <v>113</v>
      </c>
      <c r="H3428" s="1" t="str">
        <f>VLOOKUP(F3428,Countries!$A$1:$B$161,2,0)</f>
        <v>United States of America</v>
      </c>
    </row>
    <row r="3429" spans="1:8" x14ac:dyDescent="0.3">
      <c r="A3429" s="3">
        <v>46250.811377314807</v>
      </c>
      <c r="B3429" s="1">
        <v>17.36</v>
      </c>
      <c r="C3429" s="1">
        <v>15.01</v>
      </c>
      <c r="D3429" s="1">
        <v>0.78</v>
      </c>
      <c r="E3429" s="1" t="s">
        <v>113</v>
      </c>
      <c r="F3429" s="1" t="s">
        <v>113</v>
      </c>
      <c r="G3429" s="1" t="s">
        <v>113</v>
      </c>
      <c r="H3429" s="1" t="str">
        <f>VLOOKUP(F3429,Countries!$A$1:$B$161,2,0)</f>
        <v>United States of America</v>
      </c>
    </row>
    <row r="3430" spans="1:8" x14ac:dyDescent="0.3">
      <c r="A3430" s="3">
        <v>46250.808287037027</v>
      </c>
      <c r="B3430" s="1">
        <v>86.87</v>
      </c>
      <c r="C3430" s="1">
        <v>75.09</v>
      </c>
      <c r="D3430" s="1">
        <v>2.88</v>
      </c>
      <c r="E3430" s="1" t="s">
        <v>113</v>
      </c>
      <c r="F3430" s="1" t="s">
        <v>113</v>
      </c>
      <c r="G3430" s="1" t="s">
        <v>113</v>
      </c>
      <c r="H3430" s="1" t="str">
        <f>VLOOKUP(F3430,Countries!$A$1:$B$161,2,0)</f>
        <v>United States of America</v>
      </c>
    </row>
    <row r="3431" spans="1:8" x14ac:dyDescent="0.3">
      <c r="A3431" s="3">
        <v>46250.805879629632</v>
      </c>
      <c r="B3431" s="1">
        <v>26.06</v>
      </c>
      <c r="C3431" s="1">
        <v>22.53</v>
      </c>
      <c r="D3431" s="1">
        <v>1.04</v>
      </c>
      <c r="E3431" s="1" t="s">
        <v>113</v>
      </c>
      <c r="F3431" s="1" t="s">
        <v>113</v>
      </c>
      <c r="G3431" s="1" t="s">
        <v>113</v>
      </c>
      <c r="H3431" s="1" t="str">
        <f>VLOOKUP(F3431,Countries!$A$1:$B$161,2,0)</f>
        <v>United States of America</v>
      </c>
    </row>
    <row r="3432" spans="1:8" x14ac:dyDescent="0.3">
      <c r="A3432" s="3">
        <v>46250.804861111108</v>
      </c>
      <c r="B3432" s="1">
        <v>20.85</v>
      </c>
      <c r="C3432" s="1">
        <v>18.02</v>
      </c>
      <c r="D3432" s="1">
        <v>0.88</v>
      </c>
      <c r="E3432" s="1" t="s">
        <v>113</v>
      </c>
      <c r="F3432" s="1" t="s">
        <v>113</v>
      </c>
      <c r="G3432" s="1" t="s">
        <v>113</v>
      </c>
      <c r="H3432" s="1" t="str">
        <f>VLOOKUP(F3432,Countries!$A$1:$B$161,2,0)</f>
        <v>United States of America</v>
      </c>
    </row>
    <row r="3433" spans="1:8" x14ac:dyDescent="0.3">
      <c r="A3433" s="3">
        <v>46250.802789351852</v>
      </c>
      <c r="B3433" s="1">
        <v>43.43</v>
      </c>
      <c r="C3433" s="1">
        <v>37.54</v>
      </c>
      <c r="D3433" s="1">
        <v>1.56</v>
      </c>
      <c r="E3433" s="1" t="s">
        <v>113</v>
      </c>
      <c r="F3433" s="1" t="s">
        <v>113</v>
      </c>
      <c r="G3433" s="1" t="s">
        <v>113</v>
      </c>
      <c r="H3433" s="1" t="str">
        <f>VLOOKUP(F3433,Countries!$A$1:$B$161,2,0)</f>
        <v>United States of America</v>
      </c>
    </row>
    <row r="3434" spans="1:8" x14ac:dyDescent="0.3">
      <c r="A3434" s="3">
        <v>46250.797129629631</v>
      </c>
      <c r="B3434" s="1">
        <v>19.98</v>
      </c>
      <c r="C3434" s="1">
        <v>17.27</v>
      </c>
      <c r="D3434" s="1">
        <v>0.86</v>
      </c>
      <c r="E3434" s="1" t="s">
        <v>113</v>
      </c>
      <c r="F3434" s="1" t="s">
        <v>113</v>
      </c>
      <c r="G3434" s="1" t="s">
        <v>113</v>
      </c>
      <c r="H3434" s="1" t="str">
        <f>VLOOKUP(F3434,Countries!$A$1:$B$161,2,0)</f>
        <v>United States of America</v>
      </c>
    </row>
    <row r="3435" spans="1:8" x14ac:dyDescent="0.3">
      <c r="A3435" s="3">
        <v>46250.785381944443</v>
      </c>
      <c r="B3435" s="1">
        <v>6.37</v>
      </c>
      <c r="C3435" s="1">
        <v>5.51</v>
      </c>
      <c r="D3435" s="1">
        <v>0.54</v>
      </c>
      <c r="E3435" s="1" t="s">
        <v>113</v>
      </c>
      <c r="F3435" s="1" t="s">
        <v>113</v>
      </c>
      <c r="G3435" s="1" t="s">
        <v>113</v>
      </c>
      <c r="H3435" s="1" t="str">
        <f>VLOOKUP(F3435,Countries!$A$1:$B$161,2,0)</f>
        <v>United States of America</v>
      </c>
    </row>
    <row r="3436" spans="1:8" x14ac:dyDescent="0.3">
      <c r="A3436" s="3">
        <v>46250.775289351863</v>
      </c>
      <c r="B3436" s="1">
        <v>7.48</v>
      </c>
      <c r="C3436" s="1">
        <v>6.47</v>
      </c>
      <c r="D3436" s="1">
        <v>0.48</v>
      </c>
      <c r="E3436" s="1" t="s">
        <v>123</v>
      </c>
      <c r="F3436" s="1" t="s">
        <v>123</v>
      </c>
      <c r="G3436" s="1" t="s">
        <v>123</v>
      </c>
      <c r="H3436" s="1" t="str">
        <f>VLOOKUP(F3436,Countries!$A$1:$B$161,2,0)</f>
        <v>France</v>
      </c>
    </row>
    <row r="3437" spans="1:8" x14ac:dyDescent="0.3">
      <c r="A3437" s="3">
        <v>46250.769745370373</v>
      </c>
      <c r="B3437" s="1">
        <v>3.39</v>
      </c>
      <c r="C3437" s="1">
        <v>2.93</v>
      </c>
      <c r="D3437" s="1">
        <v>0.41</v>
      </c>
      <c r="E3437" s="1" t="s">
        <v>114</v>
      </c>
      <c r="F3437" s="1" t="s">
        <v>114</v>
      </c>
      <c r="G3437" s="1" t="s">
        <v>114</v>
      </c>
      <c r="H3437" s="1" t="str">
        <f>VLOOKUP(F3437,Countries!$A$1:$B$161,2,0)</f>
        <v>Philippines</v>
      </c>
    </row>
    <row r="3438" spans="1:8" x14ac:dyDescent="0.3">
      <c r="A3438" s="3">
        <v>46250.761412037027</v>
      </c>
      <c r="B3438" s="1">
        <v>3.88</v>
      </c>
      <c r="C3438" s="1">
        <v>3.35</v>
      </c>
      <c r="D3438" s="1">
        <v>0.37</v>
      </c>
      <c r="E3438" s="1" t="s">
        <v>137</v>
      </c>
      <c r="F3438" s="1" t="s">
        <v>137</v>
      </c>
      <c r="G3438" s="1" t="s">
        <v>137</v>
      </c>
      <c r="H3438" s="1" t="str">
        <f>VLOOKUP(F3438,Countries!$A$1:$B$161,2,0)</f>
        <v>Poland</v>
      </c>
    </row>
    <row r="3439" spans="1:8" x14ac:dyDescent="0.3">
      <c r="A3439" s="3">
        <v>46250.745509259257</v>
      </c>
      <c r="B3439" s="1">
        <v>1.05</v>
      </c>
      <c r="C3439" s="1">
        <v>0.91</v>
      </c>
      <c r="D3439" s="1">
        <v>0.3</v>
      </c>
      <c r="E3439" s="1" t="s">
        <v>114</v>
      </c>
      <c r="F3439" s="1" t="s">
        <v>113</v>
      </c>
      <c r="G3439" s="1" t="s">
        <v>113</v>
      </c>
      <c r="H3439" s="1" t="str">
        <f>VLOOKUP(F3439,Countries!$A$1:$B$161,2,0)</f>
        <v>United States of America</v>
      </c>
    </row>
    <row r="3440" spans="1:8" x14ac:dyDescent="0.3">
      <c r="A3440" s="3">
        <v>46250.744641203702</v>
      </c>
      <c r="B3440" s="1">
        <v>6.37</v>
      </c>
      <c r="C3440" s="1">
        <v>5.5</v>
      </c>
      <c r="D3440" s="1">
        <v>0.54</v>
      </c>
      <c r="E3440" s="1" t="s">
        <v>119</v>
      </c>
      <c r="F3440" s="1" t="s">
        <v>183</v>
      </c>
      <c r="G3440" s="1" t="s">
        <v>183</v>
      </c>
      <c r="H3440" s="1" t="str">
        <f>VLOOKUP(F3440,Countries!$A$1:$B$161,2,0)</f>
        <v>Malaysia</v>
      </c>
    </row>
    <row r="3441" spans="1:8" x14ac:dyDescent="0.3">
      <c r="A3441" s="3">
        <v>46250.728043981479</v>
      </c>
      <c r="B3441" s="1">
        <v>6.65</v>
      </c>
      <c r="C3441" s="1">
        <v>5.75</v>
      </c>
      <c r="D3441" s="1">
        <v>0.56000000000000005</v>
      </c>
      <c r="E3441" s="1" t="s">
        <v>121</v>
      </c>
      <c r="F3441" s="1" t="s">
        <v>121</v>
      </c>
      <c r="G3441" s="1" t="s">
        <v>121</v>
      </c>
      <c r="H3441" s="1" t="str">
        <f>VLOOKUP(F3441,Countries!$A$1:$B$161,2,0)</f>
        <v>Japan</v>
      </c>
    </row>
    <row r="3442" spans="1:8" x14ac:dyDescent="0.3">
      <c r="A3442" s="3">
        <v>46250.727638888893</v>
      </c>
      <c r="B3442" s="1">
        <v>110.99</v>
      </c>
      <c r="C3442" s="1">
        <v>95.91</v>
      </c>
      <c r="D3442" s="1">
        <v>5.29</v>
      </c>
      <c r="E3442" s="1" t="s">
        <v>142</v>
      </c>
      <c r="F3442" s="1" t="s">
        <v>142</v>
      </c>
      <c r="G3442" s="1" t="s">
        <v>142</v>
      </c>
      <c r="H3442" s="1" t="str">
        <f>VLOOKUP(F3442,Countries!$A$1:$B$161,2,0)</f>
        <v>India</v>
      </c>
    </row>
    <row r="3443" spans="1:8" x14ac:dyDescent="0.3">
      <c r="A3443" s="3">
        <v>46250.721192129633</v>
      </c>
      <c r="B3443" s="1">
        <v>4.24</v>
      </c>
      <c r="C3443" s="1">
        <v>3.66</v>
      </c>
      <c r="D3443" s="1">
        <v>0.44</v>
      </c>
      <c r="E3443" s="1" t="s">
        <v>113</v>
      </c>
      <c r="F3443" s="1" t="s">
        <v>113</v>
      </c>
      <c r="G3443" s="1" t="s">
        <v>113</v>
      </c>
      <c r="H3443" s="1" t="str">
        <f>VLOOKUP(F3443,Countries!$A$1:$B$161,2,0)</f>
        <v>United States of America</v>
      </c>
    </row>
    <row r="3444" spans="1:8" x14ac:dyDescent="0.3">
      <c r="A3444" s="3">
        <v>46250.719328703701</v>
      </c>
      <c r="B3444" s="1">
        <v>12.48</v>
      </c>
      <c r="C3444" s="1">
        <v>10.78</v>
      </c>
      <c r="D3444" s="1">
        <v>0.74</v>
      </c>
      <c r="E3444" s="1" t="s">
        <v>119</v>
      </c>
      <c r="F3444" s="1" t="s">
        <v>119</v>
      </c>
      <c r="G3444" s="1" t="s">
        <v>119</v>
      </c>
      <c r="H3444" s="1" t="str">
        <f>VLOOKUP(F3444,Countries!$A$1:$B$161,2,0)</f>
        <v>Great Britain (United Kingdom)</v>
      </c>
    </row>
    <row r="3445" spans="1:8" x14ac:dyDescent="0.3">
      <c r="A3445" s="3">
        <v>46250.706018518518</v>
      </c>
      <c r="B3445" s="1">
        <v>10.99</v>
      </c>
      <c r="C3445" s="1">
        <v>9.5</v>
      </c>
      <c r="D3445" s="1">
        <v>0.75</v>
      </c>
      <c r="E3445" s="1" t="s">
        <v>113</v>
      </c>
      <c r="F3445" s="1" t="s">
        <v>113</v>
      </c>
      <c r="G3445" s="1" t="s">
        <v>113</v>
      </c>
      <c r="H3445" s="1" t="str">
        <f>VLOOKUP(F3445,Countries!$A$1:$B$161,2,0)</f>
        <v>United States of America</v>
      </c>
    </row>
    <row r="3446" spans="1:8" x14ac:dyDescent="0.3">
      <c r="A3446" s="3">
        <v>46250.70516203704</v>
      </c>
      <c r="B3446" s="1">
        <v>66.540000000000006</v>
      </c>
      <c r="C3446" s="1">
        <v>57.52</v>
      </c>
      <c r="D3446" s="1">
        <v>3.27</v>
      </c>
      <c r="E3446" s="1" t="s">
        <v>113</v>
      </c>
      <c r="F3446" s="1" t="s">
        <v>113</v>
      </c>
      <c r="G3446" s="1" t="s">
        <v>113</v>
      </c>
      <c r="H3446" s="1" t="str">
        <f>VLOOKUP(F3446,Countries!$A$1:$B$161,2,0)</f>
        <v>United States of America</v>
      </c>
    </row>
    <row r="3447" spans="1:8" x14ac:dyDescent="0.3">
      <c r="A3447" s="3">
        <v>46250.704351851848</v>
      </c>
      <c r="B3447" s="1">
        <v>14.77</v>
      </c>
      <c r="C3447" s="1">
        <v>12.77</v>
      </c>
      <c r="D3447" s="1">
        <v>0.93</v>
      </c>
      <c r="E3447" s="1" t="s">
        <v>113</v>
      </c>
      <c r="F3447" s="1" t="s">
        <v>113</v>
      </c>
      <c r="G3447" s="1" t="s">
        <v>113</v>
      </c>
      <c r="H3447" s="1" t="str">
        <f>VLOOKUP(F3447,Countries!$A$1:$B$161,2,0)</f>
        <v>United States of America</v>
      </c>
    </row>
    <row r="3448" spans="1:8" x14ac:dyDescent="0.3">
      <c r="A3448" s="3">
        <v>46250.702291666668</v>
      </c>
      <c r="B3448" s="1">
        <v>14.78</v>
      </c>
      <c r="C3448" s="1">
        <v>12.78</v>
      </c>
      <c r="D3448" s="1">
        <v>0.93</v>
      </c>
      <c r="E3448" s="1" t="s">
        <v>113</v>
      </c>
      <c r="F3448" s="1" t="s">
        <v>113</v>
      </c>
      <c r="G3448" s="1" t="s">
        <v>113</v>
      </c>
      <c r="H3448" s="1" t="str">
        <f>VLOOKUP(F3448,Countries!$A$1:$B$161,2,0)</f>
        <v>United States of America</v>
      </c>
    </row>
    <row r="3449" spans="1:8" x14ac:dyDescent="0.3">
      <c r="A3449" s="3">
        <v>46250.697997685187</v>
      </c>
      <c r="B3449" s="1">
        <v>2.48</v>
      </c>
      <c r="C3449" s="1">
        <v>2.14</v>
      </c>
      <c r="D3449" s="1">
        <v>0.34</v>
      </c>
      <c r="E3449" s="1" t="s">
        <v>119</v>
      </c>
      <c r="F3449" s="1" t="s">
        <v>119</v>
      </c>
      <c r="G3449" s="1" t="s">
        <v>119</v>
      </c>
      <c r="H3449" s="1" t="str">
        <f>VLOOKUP(F3449,Countries!$A$1:$B$161,2,0)</f>
        <v>Great Britain (United Kingdom)</v>
      </c>
    </row>
    <row r="3450" spans="1:8" x14ac:dyDescent="0.3">
      <c r="A3450" s="3">
        <v>46250.694155092591</v>
      </c>
      <c r="B3450" s="1">
        <v>7.48</v>
      </c>
      <c r="C3450" s="1">
        <v>6.47</v>
      </c>
      <c r="D3450" s="1">
        <v>0.48</v>
      </c>
      <c r="E3450" s="1" t="s">
        <v>123</v>
      </c>
      <c r="F3450" s="1" t="s">
        <v>123</v>
      </c>
      <c r="G3450" s="1" t="s">
        <v>123</v>
      </c>
      <c r="H3450" s="1" t="str">
        <f>VLOOKUP(F3450,Countries!$A$1:$B$161,2,0)</f>
        <v>France</v>
      </c>
    </row>
    <row r="3451" spans="1:8" x14ac:dyDescent="0.3">
      <c r="A3451" s="3">
        <v>46250.692256944443</v>
      </c>
      <c r="B3451" s="1">
        <v>7.48</v>
      </c>
      <c r="C3451" s="1">
        <v>6.47</v>
      </c>
      <c r="D3451" s="1">
        <v>0.48</v>
      </c>
      <c r="E3451" s="1" t="s">
        <v>123</v>
      </c>
      <c r="F3451" s="1" t="s">
        <v>123</v>
      </c>
      <c r="G3451" s="1" t="s">
        <v>123</v>
      </c>
      <c r="H3451" s="1" t="str">
        <f>VLOOKUP(F3451,Countries!$A$1:$B$161,2,0)</f>
        <v>France</v>
      </c>
    </row>
    <row r="3452" spans="1:8" x14ac:dyDescent="0.3">
      <c r="A3452" s="3">
        <v>46250.679606481477</v>
      </c>
      <c r="B3452" s="1">
        <v>6.37</v>
      </c>
      <c r="C3452" s="1">
        <v>5.51</v>
      </c>
      <c r="D3452" s="1">
        <v>0.54</v>
      </c>
      <c r="E3452" s="1" t="s">
        <v>113</v>
      </c>
      <c r="F3452" s="1" t="s">
        <v>113</v>
      </c>
      <c r="G3452" s="1" t="s">
        <v>113</v>
      </c>
      <c r="H3452" s="1" t="str">
        <f>VLOOKUP(F3452,Countries!$A$1:$B$161,2,0)</f>
        <v>United States of America</v>
      </c>
    </row>
    <row r="3453" spans="1:8" x14ac:dyDescent="0.3">
      <c r="A3453" s="3">
        <v>46250.673634259263</v>
      </c>
      <c r="B3453" s="1">
        <v>3.73</v>
      </c>
      <c r="C3453" s="1">
        <v>3.22</v>
      </c>
      <c r="D3453" s="1">
        <v>0.39</v>
      </c>
      <c r="E3453" s="1" t="s">
        <v>119</v>
      </c>
      <c r="F3453" s="1" t="s">
        <v>119</v>
      </c>
      <c r="G3453" s="1" t="s">
        <v>119</v>
      </c>
      <c r="H3453" s="1" t="str">
        <f>VLOOKUP(F3453,Countries!$A$1:$B$161,2,0)</f>
        <v>Great Britain (United Kingdom)</v>
      </c>
    </row>
    <row r="3454" spans="1:8" x14ac:dyDescent="0.3">
      <c r="A3454" s="3">
        <v>46250.665601851862</v>
      </c>
      <c r="B3454" s="1">
        <v>110.99</v>
      </c>
      <c r="C3454" s="1">
        <v>95.93</v>
      </c>
      <c r="D3454" s="1">
        <v>5.29</v>
      </c>
      <c r="E3454" s="1" t="s">
        <v>142</v>
      </c>
      <c r="F3454" s="1" t="s">
        <v>142</v>
      </c>
      <c r="G3454" s="1" t="s">
        <v>142</v>
      </c>
      <c r="H3454" s="1" t="str">
        <f>VLOOKUP(F3454,Countries!$A$1:$B$161,2,0)</f>
        <v>India</v>
      </c>
    </row>
    <row r="3455" spans="1:8" x14ac:dyDescent="0.3">
      <c r="A3455" s="3">
        <v>46250.659375000003</v>
      </c>
      <c r="B3455" s="1">
        <v>2.99</v>
      </c>
      <c r="C3455" s="1">
        <v>2.58</v>
      </c>
      <c r="D3455" s="1">
        <v>0.38</v>
      </c>
      <c r="E3455" s="1" t="s">
        <v>113</v>
      </c>
      <c r="F3455" s="1" t="s">
        <v>113</v>
      </c>
      <c r="G3455" s="1" t="s">
        <v>113</v>
      </c>
      <c r="H3455" s="1" t="str">
        <f>VLOOKUP(F3455,Countries!$A$1:$B$161,2,0)</f>
        <v>United States of America</v>
      </c>
    </row>
    <row r="3456" spans="1:8" x14ac:dyDescent="0.3">
      <c r="A3456" s="3">
        <v>46250.656423611108</v>
      </c>
      <c r="B3456" s="1">
        <v>14.77</v>
      </c>
      <c r="C3456" s="1">
        <v>12.77</v>
      </c>
      <c r="D3456" s="1">
        <v>0.93</v>
      </c>
      <c r="E3456" s="1" t="s">
        <v>113</v>
      </c>
      <c r="F3456" s="1" t="s">
        <v>113</v>
      </c>
      <c r="G3456" s="1" t="s">
        <v>113</v>
      </c>
      <c r="H3456" s="1" t="str">
        <f>VLOOKUP(F3456,Countries!$A$1:$B$161,2,0)</f>
        <v>United States of America</v>
      </c>
    </row>
    <row r="3457" spans="1:8" x14ac:dyDescent="0.3">
      <c r="A3457" s="3">
        <v>46250.640717592592</v>
      </c>
      <c r="B3457" s="1">
        <v>6.37</v>
      </c>
      <c r="C3457" s="1">
        <v>5.51</v>
      </c>
      <c r="D3457" s="1">
        <v>0.54</v>
      </c>
      <c r="E3457" s="1" t="s">
        <v>113</v>
      </c>
      <c r="F3457" s="1" t="s">
        <v>113</v>
      </c>
      <c r="G3457" s="1" t="s">
        <v>113</v>
      </c>
      <c r="H3457" s="1" t="str">
        <f>VLOOKUP(F3457,Countries!$A$1:$B$161,2,0)</f>
        <v>United States of America</v>
      </c>
    </row>
    <row r="3458" spans="1:8" x14ac:dyDescent="0.3">
      <c r="A3458" s="3">
        <v>46250.640266203707</v>
      </c>
      <c r="B3458" s="1">
        <v>3.78</v>
      </c>
      <c r="C3458" s="1">
        <v>3.27</v>
      </c>
      <c r="D3458" s="1">
        <v>0.37</v>
      </c>
      <c r="E3458" s="1" t="s">
        <v>116</v>
      </c>
      <c r="F3458" s="1" t="s">
        <v>116</v>
      </c>
      <c r="G3458" s="1" t="s">
        <v>116</v>
      </c>
      <c r="H3458" s="1" t="str">
        <f>VLOOKUP(F3458,Countries!$A$1:$B$161,2,0)</f>
        <v>Spain</v>
      </c>
    </row>
    <row r="3459" spans="1:8" x14ac:dyDescent="0.3">
      <c r="A3459" s="3">
        <v>46250.639525462961</v>
      </c>
      <c r="B3459" s="1">
        <v>6.37</v>
      </c>
      <c r="C3459" s="1">
        <v>5.51</v>
      </c>
      <c r="D3459" s="1">
        <v>0.54</v>
      </c>
      <c r="E3459" s="1" t="s">
        <v>113</v>
      </c>
      <c r="F3459" s="1" t="s">
        <v>113</v>
      </c>
      <c r="G3459" s="1" t="s">
        <v>113</v>
      </c>
      <c r="H3459" s="1" t="str">
        <f>VLOOKUP(F3459,Countries!$A$1:$B$161,2,0)</f>
        <v>United States of America</v>
      </c>
    </row>
    <row r="3460" spans="1:8" x14ac:dyDescent="0.3">
      <c r="A3460" s="3">
        <v>46250.628738425927</v>
      </c>
      <c r="B3460" s="1">
        <v>9.99</v>
      </c>
      <c r="C3460" s="1">
        <v>8.6300000000000008</v>
      </c>
      <c r="D3460" s="1">
        <v>0.7</v>
      </c>
      <c r="E3460" s="1" t="s">
        <v>142</v>
      </c>
      <c r="F3460" s="1" t="s">
        <v>142</v>
      </c>
      <c r="G3460" s="1" t="s">
        <v>142</v>
      </c>
      <c r="H3460" s="1" t="str">
        <f>VLOOKUP(F3460,Countries!$A$1:$B$161,2,0)</f>
        <v>India</v>
      </c>
    </row>
    <row r="3461" spans="1:8" x14ac:dyDescent="0.3">
      <c r="A3461" s="3">
        <v>46250.626898148148</v>
      </c>
      <c r="B3461" s="1">
        <v>6.37</v>
      </c>
      <c r="C3461" s="1">
        <v>5.51</v>
      </c>
      <c r="D3461" s="1">
        <v>0.54</v>
      </c>
      <c r="E3461" s="1" t="s">
        <v>113</v>
      </c>
      <c r="F3461" s="1" t="s">
        <v>113</v>
      </c>
      <c r="G3461" s="1" t="s">
        <v>113</v>
      </c>
      <c r="H3461" s="1" t="str">
        <f>VLOOKUP(F3461,Countries!$A$1:$B$161,2,0)</f>
        <v>United States of America</v>
      </c>
    </row>
    <row r="3462" spans="1:8" x14ac:dyDescent="0.3">
      <c r="A3462" s="3">
        <v>46250.622881944437</v>
      </c>
      <c r="B3462" s="1">
        <v>2.99</v>
      </c>
      <c r="C3462" s="1">
        <v>2.58</v>
      </c>
      <c r="D3462" s="1">
        <v>0.38</v>
      </c>
      <c r="E3462" s="1" t="s">
        <v>142</v>
      </c>
      <c r="F3462" s="1" t="s">
        <v>142</v>
      </c>
      <c r="G3462" s="1" t="s">
        <v>142</v>
      </c>
      <c r="H3462" s="1" t="str">
        <f>VLOOKUP(F3462,Countries!$A$1:$B$161,2,0)</f>
        <v>India</v>
      </c>
    </row>
    <row r="3463" spans="1:8" x14ac:dyDescent="0.3">
      <c r="A3463" s="3">
        <v>46250.607604166667</v>
      </c>
      <c r="B3463" s="1">
        <v>42.54</v>
      </c>
      <c r="C3463" s="1">
        <v>36.770000000000003</v>
      </c>
      <c r="D3463" s="1">
        <v>2.19</v>
      </c>
      <c r="E3463" s="1" t="s">
        <v>113</v>
      </c>
      <c r="F3463" s="1" t="s">
        <v>113</v>
      </c>
      <c r="G3463" s="1" t="s">
        <v>113</v>
      </c>
      <c r="H3463" s="1" t="str">
        <f>VLOOKUP(F3463,Countries!$A$1:$B$161,2,0)</f>
        <v>United States of America</v>
      </c>
    </row>
    <row r="3464" spans="1:8" x14ac:dyDescent="0.3">
      <c r="A3464" s="3">
        <v>46250.60359953704</v>
      </c>
      <c r="B3464" s="1">
        <v>11.35</v>
      </c>
      <c r="C3464" s="1">
        <v>9.81</v>
      </c>
      <c r="D3464" s="1">
        <v>0.77</v>
      </c>
      <c r="E3464" s="1" t="s">
        <v>121</v>
      </c>
      <c r="F3464" s="1" t="s">
        <v>114</v>
      </c>
      <c r="G3464" s="1" t="s">
        <v>114</v>
      </c>
      <c r="H3464" s="1" t="str">
        <f>VLOOKUP(F3464,Countries!$A$1:$B$161,2,0)</f>
        <v>Philippines</v>
      </c>
    </row>
    <row r="3465" spans="1:8" x14ac:dyDescent="0.3">
      <c r="A3465" s="3">
        <v>46250.601527777777</v>
      </c>
      <c r="B3465" s="1">
        <v>3.39</v>
      </c>
      <c r="C3465" s="1">
        <v>2.93</v>
      </c>
      <c r="D3465" s="1">
        <v>0.41</v>
      </c>
      <c r="E3465" s="1" t="s">
        <v>121</v>
      </c>
      <c r="F3465" s="1" t="s">
        <v>114</v>
      </c>
      <c r="G3465" s="1" t="s">
        <v>114</v>
      </c>
      <c r="H3465" s="1" t="str">
        <f>VLOOKUP(F3465,Countries!$A$1:$B$161,2,0)</f>
        <v>Philippines</v>
      </c>
    </row>
    <row r="3466" spans="1:8" x14ac:dyDescent="0.3">
      <c r="A3466" s="3">
        <v>46250.595335648148</v>
      </c>
      <c r="B3466" s="1">
        <v>10.62</v>
      </c>
      <c r="C3466" s="1">
        <v>9.18</v>
      </c>
      <c r="D3466" s="1">
        <v>0.73</v>
      </c>
      <c r="E3466" s="1" t="s">
        <v>113</v>
      </c>
      <c r="F3466" s="1" t="s">
        <v>113</v>
      </c>
      <c r="G3466" s="1" t="s">
        <v>113</v>
      </c>
      <c r="H3466" s="1" t="str">
        <f>VLOOKUP(F3466,Countries!$A$1:$B$161,2,0)</f>
        <v>United States of America</v>
      </c>
    </row>
    <row r="3467" spans="1:8" x14ac:dyDescent="0.3">
      <c r="A3467" s="3">
        <v>46250.589861111112</v>
      </c>
      <c r="B3467" s="1">
        <v>3.32</v>
      </c>
      <c r="C3467" s="1">
        <v>2.87</v>
      </c>
      <c r="D3467" s="1">
        <v>0.4</v>
      </c>
      <c r="E3467" s="1" t="s">
        <v>121</v>
      </c>
      <c r="F3467" s="1" t="s">
        <v>114</v>
      </c>
      <c r="G3467" s="1" t="s">
        <v>114</v>
      </c>
      <c r="H3467" s="1" t="str">
        <f>VLOOKUP(F3467,Countries!$A$1:$B$161,2,0)</f>
        <v>Philippines</v>
      </c>
    </row>
    <row r="3468" spans="1:8" x14ac:dyDescent="0.3">
      <c r="A3468" s="3">
        <v>46250.585393518522</v>
      </c>
      <c r="B3468" s="1">
        <v>6.37</v>
      </c>
      <c r="C3468" s="1">
        <v>5.51</v>
      </c>
      <c r="D3468" s="1">
        <v>0.54</v>
      </c>
      <c r="E3468" s="1" t="s">
        <v>113</v>
      </c>
      <c r="F3468" s="1" t="s">
        <v>113</v>
      </c>
      <c r="G3468" s="1" t="s">
        <v>113</v>
      </c>
      <c r="H3468" s="1" t="str">
        <f>VLOOKUP(F3468,Countries!$A$1:$B$161,2,0)</f>
        <v>United States of America</v>
      </c>
    </row>
    <row r="3469" spans="1:8" x14ac:dyDescent="0.3">
      <c r="A3469" s="3">
        <v>46250.563449074078</v>
      </c>
      <c r="B3469" s="1">
        <v>6.37</v>
      </c>
      <c r="C3469" s="1">
        <v>5.51</v>
      </c>
      <c r="D3469" s="1">
        <v>0.54</v>
      </c>
      <c r="E3469" s="1" t="s">
        <v>113</v>
      </c>
      <c r="F3469" s="1" t="s">
        <v>113</v>
      </c>
      <c r="G3469" s="1" t="s">
        <v>113</v>
      </c>
      <c r="H3469" s="1" t="str">
        <f>VLOOKUP(F3469,Countries!$A$1:$B$161,2,0)</f>
        <v>United States of America</v>
      </c>
    </row>
    <row r="3470" spans="1:8" x14ac:dyDescent="0.3">
      <c r="A3470" s="3">
        <v>46250.562731481477</v>
      </c>
      <c r="B3470" s="1">
        <v>7.48</v>
      </c>
      <c r="C3470" s="1">
        <v>6.47</v>
      </c>
      <c r="D3470" s="1">
        <v>0.54</v>
      </c>
      <c r="E3470" s="1" t="s">
        <v>119</v>
      </c>
      <c r="F3470" s="1" t="s">
        <v>119</v>
      </c>
      <c r="G3470" s="1" t="s">
        <v>119</v>
      </c>
      <c r="H3470" s="1" t="str">
        <f>VLOOKUP(F3470,Countries!$A$1:$B$161,2,0)</f>
        <v>Great Britain (United Kingdom)</v>
      </c>
    </row>
    <row r="3471" spans="1:8" x14ac:dyDescent="0.3">
      <c r="A3471" s="3">
        <v>46250.546620370369</v>
      </c>
      <c r="B3471" s="1">
        <v>9.99</v>
      </c>
      <c r="C3471" s="1">
        <v>8.6300000000000008</v>
      </c>
      <c r="D3471" s="1">
        <v>0.7</v>
      </c>
      <c r="E3471" s="1" t="s">
        <v>136</v>
      </c>
      <c r="F3471" s="1" t="s">
        <v>136</v>
      </c>
      <c r="G3471" s="1" t="s">
        <v>136</v>
      </c>
      <c r="H3471" s="1" t="str">
        <f>VLOOKUP(F3471,Countries!$A$1:$B$161,2,0)</f>
        <v>Turkey</v>
      </c>
    </row>
    <row r="3472" spans="1:8" x14ac:dyDescent="0.3">
      <c r="A3472" s="3">
        <v>46250.544687499998</v>
      </c>
      <c r="B3472" s="1">
        <v>10.65</v>
      </c>
      <c r="C3472" s="1">
        <v>9.2100000000000009</v>
      </c>
      <c r="D3472" s="1">
        <v>0.56999999999999995</v>
      </c>
      <c r="E3472" s="1" t="s">
        <v>178</v>
      </c>
      <c r="F3472" s="1" t="s">
        <v>178</v>
      </c>
      <c r="G3472" s="1" t="s">
        <v>178</v>
      </c>
      <c r="H3472" s="1" t="str">
        <f>VLOOKUP(F3472,Countries!$A$1:$B$161,2,0)</f>
        <v>Sweden</v>
      </c>
    </row>
    <row r="3473" spans="1:8" x14ac:dyDescent="0.3">
      <c r="A3473" s="3">
        <v>46250.538634259261</v>
      </c>
      <c r="B3473" s="1">
        <v>1.99</v>
      </c>
      <c r="C3473" s="1">
        <v>1.72</v>
      </c>
      <c r="D3473" s="1">
        <v>0.34</v>
      </c>
      <c r="E3473" s="1" t="s">
        <v>114</v>
      </c>
      <c r="F3473" s="1" t="s">
        <v>114</v>
      </c>
      <c r="G3473" s="1" t="s">
        <v>114</v>
      </c>
      <c r="H3473" s="1" t="str">
        <f>VLOOKUP(F3473,Countries!$A$1:$B$161,2,0)</f>
        <v>Philippines</v>
      </c>
    </row>
    <row r="3474" spans="1:8" x14ac:dyDescent="0.3">
      <c r="A3474" s="3">
        <v>46250.538634259261</v>
      </c>
      <c r="B3474" s="1">
        <v>2.99</v>
      </c>
      <c r="C3474" s="1">
        <v>2.58</v>
      </c>
      <c r="D3474" s="1">
        <v>0.38</v>
      </c>
      <c r="E3474" s="1" t="s">
        <v>136</v>
      </c>
      <c r="F3474" s="1" t="s">
        <v>136</v>
      </c>
      <c r="G3474" s="1" t="s">
        <v>136</v>
      </c>
      <c r="H3474" s="1" t="str">
        <f>VLOOKUP(F3474,Countries!$A$1:$B$161,2,0)</f>
        <v>Turkey</v>
      </c>
    </row>
    <row r="3475" spans="1:8" x14ac:dyDescent="0.3">
      <c r="A3475" s="3">
        <v>46250.534444444442</v>
      </c>
      <c r="B3475" s="1">
        <v>7.58</v>
      </c>
      <c r="C3475" s="1">
        <v>6.55</v>
      </c>
      <c r="D3475" s="1">
        <v>0.48</v>
      </c>
      <c r="E3475" s="1" t="s">
        <v>116</v>
      </c>
      <c r="F3475" s="1" t="s">
        <v>116</v>
      </c>
      <c r="G3475" s="1" t="s">
        <v>116</v>
      </c>
      <c r="H3475" s="1" t="str">
        <f>VLOOKUP(F3475,Countries!$A$1:$B$161,2,0)</f>
        <v>Spain</v>
      </c>
    </row>
    <row r="3476" spans="1:8" x14ac:dyDescent="0.3">
      <c r="A3476" s="3">
        <v>46250.533460648148</v>
      </c>
      <c r="B3476" s="1">
        <v>6.37</v>
      </c>
      <c r="C3476" s="1">
        <v>5.51</v>
      </c>
      <c r="D3476" s="1">
        <v>0.44</v>
      </c>
      <c r="E3476" s="1" t="s">
        <v>116</v>
      </c>
      <c r="F3476" s="1" t="s">
        <v>116</v>
      </c>
      <c r="G3476" s="1" t="s">
        <v>116</v>
      </c>
      <c r="H3476" s="1" t="str">
        <f>VLOOKUP(F3476,Countries!$A$1:$B$161,2,0)</f>
        <v>Spain</v>
      </c>
    </row>
    <row r="3477" spans="1:8" x14ac:dyDescent="0.3">
      <c r="A3477" s="3">
        <v>46250.529641203713</v>
      </c>
      <c r="B3477" s="1">
        <v>12.33</v>
      </c>
      <c r="C3477" s="1">
        <v>10.66</v>
      </c>
      <c r="D3477" s="1">
        <v>0.62</v>
      </c>
      <c r="E3477" s="1" t="s">
        <v>159</v>
      </c>
      <c r="F3477" s="1" t="s">
        <v>159</v>
      </c>
      <c r="G3477" s="1" t="s">
        <v>159</v>
      </c>
      <c r="H3477" s="1" t="str">
        <f>VLOOKUP(F3477,Countries!$A$1:$B$161,2,0)</f>
        <v>Romania</v>
      </c>
    </row>
    <row r="3478" spans="1:8" x14ac:dyDescent="0.3">
      <c r="A3478" s="3">
        <v>46250.528773148151</v>
      </c>
      <c r="B3478" s="1">
        <v>1.99</v>
      </c>
      <c r="C3478" s="1">
        <v>1.72</v>
      </c>
      <c r="D3478" s="1">
        <v>0.31</v>
      </c>
      <c r="E3478" s="1" t="s">
        <v>151</v>
      </c>
      <c r="F3478" s="1" t="s">
        <v>151</v>
      </c>
      <c r="G3478" s="1" t="s">
        <v>151</v>
      </c>
      <c r="H3478" s="1" t="str">
        <f>VLOOKUP(F3478,Countries!$A$1:$B$161,2,0)</f>
        <v>Netherlands (Holland)</v>
      </c>
    </row>
    <row r="3479" spans="1:8" x14ac:dyDescent="0.3">
      <c r="A3479" s="3">
        <v>46250.524664351848</v>
      </c>
      <c r="B3479" s="1">
        <v>6.37</v>
      </c>
      <c r="C3479" s="1">
        <v>5.51</v>
      </c>
      <c r="D3479" s="1">
        <v>0.54</v>
      </c>
      <c r="E3479" s="1" t="s">
        <v>113</v>
      </c>
      <c r="F3479" s="1" t="s">
        <v>113</v>
      </c>
      <c r="G3479" s="1" t="s">
        <v>113</v>
      </c>
      <c r="H3479" s="1" t="str">
        <f>VLOOKUP(F3479,Countries!$A$1:$B$161,2,0)</f>
        <v>United States of America</v>
      </c>
    </row>
    <row r="3480" spans="1:8" x14ac:dyDescent="0.3">
      <c r="A3480" s="3">
        <v>46250.519328703696</v>
      </c>
      <c r="B3480" s="1">
        <v>42.54</v>
      </c>
      <c r="C3480" s="1">
        <v>36.770000000000003</v>
      </c>
      <c r="D3480" s="1">
        <v>2.19</v>
      </c>
      <c r="E3480" s="1" t="s">
        <v>113</v>
      </c>
      <c r="F3480" s="1" t="s">
        <v>113</v>
      </c>
      <c r="G3480" s="1" t="s">
        <v>113</v>
      </c>
      <c r="H3480" s="1" t="str">
        <f>VLOOKUP(F3480,Countries!$A$1:$B$161,2,0)</f>
        <v>United States of America</v>
      </c>
    </row>
    <row r="3481" spans="1:8" x14ac:dyDescent="0.3">
      <c r="A3481" s="3">
        <v>46250.518483796302</v>
      </c>
      <c r="B3481" s="1">
        <v>14.78</v>
      </c>
      <c r="C3481" s="1">
        <v>12.77</v>
      </c>
      <c r="D3481" s="1">
        <v>0.93</v>
      </c>
      <c r="E3481" s="1" t="s">
        <v>113</v>
      </c>
      <c r="F3481" s="1" t="s">
        <v>113</v>
      </c>
      <c r="G3481" s="1" t="s">
        <v>113</v>
      </c>
      <c r="H3481" s="1" t="str">
        <f>VLOOKUP(F3481,Countries!$A$1:$B$161,2,0)</f>
        <v>United States of America</v>
      </c>
    </row>
    <row r="3482" spans="1:8" x14ac:dyDescent="0.3">
      <c r="A3482" s="3">
        <v>46250.516886574071</v>
      </c>
      <c r="B3482" s="1">
        <v>3.98</v>
      </c>
      <c r="C3482" s="1">
        <v>3.44</v>
      </c>
      <c r="D3482" s="1">
        <v>0.37</v>
      </c>
      <c r="E3482" s="1" t="s">
        <v>178</v>
      </c>
      <c r="F3482" s="1" t="s">
        <v>178</v>
      </c>
      <c r="G3482" s="1" t="s">
        <v>178</v>
      </c>
      <c r="H3482" s="1" t="str">
        <f>VLOOKUP(F3482,Countries!$A$1:$B$161,2,0)</f>
        <v>Sweden</v>
      </c>
    </row>
    <row r="3483" spans="1:8" x14ac:dyDescent="0.3">
      <c r="A3483" s="3">
        <v>46250.516562500001</v>
      </c>
      <c r="B3483" s="1">
        <v>19.02</v>
      </c>
      <c r="C3483" s="1">
        <v>16.440000000000001</v>
      </c>
      <c r="D3483" s="1">
        <v>0.83</v>
      </c>
      <c r="E3483" s="1" t="s">
        <v>177</v>
      </c>
      <c r="F3483" s="1" t="s">
        <v>177</v>
      </c>
      <c r="G3483" s="1" t="s">
        <v>177</v>
      </c>
      <c r="H3483" s="1" t="str">
        <f>VLOOKUP(F3483,Countries!$A$1:$B$161,2,0)</f>
        <v>Hungary</v>
      </c>
    </row>
    <row r="3484" spans="1:8" x14ac:dyDescent="0.3">
      <c r="A3484" s="3">
        <v>46250.512384259258</v>
      </c>
      <c r="B3484" s="1">
        <v>24.75</v>
      </c>
      <c r="C3484" s="1">
        <v>21.39</v>
      </c>
      <c r="D3484" s="1">
        <v>1</v>
      </c>
      <c r="E3484" s="1" t="s">
        <v>177</v>
      </c>
      <c r="F3484" s="1" t="s">
        <v>177</v>
      </c>
      <c r="G3484" s="1" t="s">
        <v>177</v>
      </c>
      <c r="H3484" s="1" t="str">
        <f>VLOOKUP(F3484,Countries!$A$1:$B$161,2,0)</f>
        <v>Hungary</v>
      </c>
    </row>
    <row r="3485" spans="1:8" x14ac:dyDescent="0.3">
      <c r="A3485" s="3">
        <v>46250.507835648154</v>
      </c>
      <c r="B3485" s="1">
        <v>2.99</v>
      </c>
      <c r="C3485" s="1">
        <v>2.58</v>
      </c>
      <c r="D3485" s="1">
        <v>0.38</v>
      </c>
      <c r="E3485" s="1" t="s">
        <v>113</v>
      </c>
      <c r="F3485" s="1" t="s">
        <v>113</v>
      </c>
      <c r="G3485" s="1" t="s">
        <v>113</v>
      </c>
      <c r="H3485" s="1" t="str">
        <f>VLOOKUP(F3485,Countries!$A$1:$B$161,2,0)</f>
        <v>United States of America</v>
      </c>
    </row>
    <row r="3486" spans="1:8" x14ac:dyDescent="0.3">
      <c r="A3486" s="3">
        <v>46250.502233796287</v>
      </c>
      <c r="B3486" s="1">
        <v>17.010000000000002</v>
      </c>
      <c r="C3486" s="1">
        <v>14.7</v>
      </c>
      <c r="D3486" s="1">
        <v>1.02</v>
      </c>
      <c r="E3486" s="1" t="s">
        <v>113</v>
      </c>
      <c r="F3486" s="1" t="s">
        <v>113</v>
      </c>
      <c r="G3486" s="1" t="s">
        <v>113</v>
      </c>
      <c r="H3486" s="1" t="str">
        <f>VLOOKUP(F3486,Countries!$A$1:$B$161,2,0)</f>
        <v>United States of America</v>
      </c>
    </row>
    <row r="3487" spans="1:8" x14ac:dyDescent="0.3">
      <c r="A3487" s="3">
        <v>46250.499085648153</v>
      </c>
      <c r="B3487" s="1">
        <v>3.39</v>
      </c>
      <c r="C3487" s="1">
        <v>2.93</v>
      </c>
      <c r="D3487" s="1">
        <v>0.41</v>
      </c>
      <c r="E3487" s="1" t="s">
        <v>114</v>
      </c>
      <c r="F3487" s="1" t="s">
        <v>114</v>
      </c>
      <c r="G3487" s="1" t="s">
        <v>114</v>
      </c>
      <c r="H3487" s="1" t="str">
        <f>VLOOKUP(F3487,Countries!$A$1:$B$161,2,0)</f>
        <v>Philippines</v>
      </c>
    </row>
    <row r="3488" spans="1:8" x14ac:dyDescent="0.3">
      <c r="A3488" s="3">
        <v>46250.495451388888</v>
      </c>
      <c r="B3488" s="1">
        <v>17.010000000000002</v>
      </c>
      <c r="C3488" s="1">
        <v>14.7</v>
      </c>
      <c r="D3488" s="1">
        <v>1.02</v>
      </c>
      <c r="E3488" s="1" t="s">
        <v>113</v>
      </c>
      <c r="F3488" s="1" t="s">
        <v>113</v>
      </c>
      <c r="G3488" s="1" t="s">
        <v>113</v>
      </c>
      <c r="H3488" s="1" t="str">
        <f>VLOOKUP(F3488,Countries!$A$1:$B$161,2,0)</f>
        <v>United States of America</v>
      </c>
    </row>
    <row r="3489" spans="1:8" x14ac:dyDescent="0.3">
      <c r="A3489" s="3">
        <v>46250.495023148149</v>
      </c>
      <c r="B3489" s="1">
        <v>14.77</v>
      </c>
      <c r="C3489" s="1">
        <v>12.77</v>
      </c>
      <c r="D3489" s="1">
        <v>0.93</v>
      </c>
      <c r="E3489" s="1" t="s">
        <v>113</v>
      </c>
      <c r="F3489" s="1" t="s">
        <v>113</v>
      </c>
      <c r="G3489" s="1" t="s">
        <v>113</v>
      </c>
      <c r="H3489" s="1" t="str">
        <f>VLOOKUP(F3489,Countries!$A$1:$B$161,2,0)</f>
        <v>United States of America</v>
      </c>
    </row>
    <row r="3490" spans="1:8" x14ac:dyDescent="0.3">
      <c r="A3490" s="3">
        <v>46250.488807870373</v>
      </c>
      <c r="B3490" s="1">
        <v>8.1999999999999993</v>
      </c>
      <c r="C3490" s="1">
        <v>7.09</v>
      </c>
      <c r="D3490" s="1">
        <v>0.5</v>
      </c>
      <c r="E3490" s="1" t="s">
        <v>177</v>
      </c>
      <c r="F3490" s="1" t="s">
        <v>177</v>
      </c>
      <c r="G3490" s="1" t="s">
        <v>177</v>
      </c>
      <c r="H3490" s="1" t="str">
        <f>VLOOKUP(F3490,Countries!$A$1:$B$161,2,0)</f>
        <v>Hungary</v>
      </c>
    </row>
    <row r="3491" spans="1:8" x14ac:dyDescent="0.3">
      <c r="A3491" s="3">
        <v>46250.487060185187</v>
      </c>
      <c r="B3491" s="1">
        <v>14.62</v>
      </c>
      <c r="C3491" s="1">
        <v>12.64</v>
      </c>
      <c r="D3491" s="1">
        <v>0.91</v>
      </c>
      <c r="E3491" s="1" t="s">
        <v>132</v>
      </c>
      <c r="F3491" s="1" t="s">
        <v>132</v>
      </c>
      <c r="G3491" s="1" t="s">
        <v>132</v>
      </c>
      <c r="H3491" s="1" t="str">
        <f>VLOOKUP(F3491,Countries!$A$1:$B$161,2,0)</f>
        <v>Canada</v>
      </c>
    </row>
    <row r="3492" spans="1:8" x14ac:dyDescent="0.3">
      <c r="A3492" s="3">
        <v>46250.475995370369</v>
      </c>
      <c r="B3492" s="1">
        <v>10.51</v>
      </c>
      <c r="C3492" s="1">
        <v>9.08</v>
      </c>
      <c r="D3492" s="1">
        <v>0.73</v>
      </c>
      <c r="E3492" s="1" t="s">
        <v>132</v>
      </c>
      <c r="F3492" s="1" t="s">
        <v>132</v>
      </c>
      <c r="G3492" s="1" t="s">
        <v>132</v>
      </c>
      <c r="H3492" s="1" t="str">
        <f>VLOOKUP(F3492,Countries!$A$1:$B$161,2,0)</f>
        <v>Canada</v>
      </c>
    </row>
    <row r="3493" spans="1:8" x14ac:dyDescent="0.3">
      <c r="A3493" s="3">
        <v>46250.47320601852</v>
      </c>
      <c r="B3493" s="1">
        <v>6.37</v>
      </c>
      <c r="C3493" s="1">
        <v>5.51</v>
      </c>
      <c r="D3493" s="1">
        <v>0.54</v>
      </c>
      <c r="E3493" s="1" t="s">
        <v>113</v>
      </c>
      <c r="F3493" s="1" t="s">
        <v>113</v>
      </c>
      <c r="G3493" s="1" t="s">
        <v>113</v>
      </c>
      <c r="H3493" s="1" t="str">
        <f>VLOOKUP(F3493,Countries!$A$1:$B$161,2,0)</f>
        <v>United States of America</v>
      </c>
    </row>
    <row r="3494" spans="1:8" x14ac:dyDescent="0.3">
      <c r="A3494" s="3">
        <v>46250.465231481481</v>
      </c>
      <c r="B3494" s="1">
        <v>6.37</v>
      </c>
      <c r="C3494" s="1">
        <v>5.51</v>
      </c>
      <c r="D3494" s="1">
        <v>0.54</v>
      </c>
      <c r="E3494" s="1" t="s">
        <v>113</v>
      </c>
      <c r="F3494" s="1" t="s">
        <v>113</v>
      </c>
      <c r="G3494" s="1" t="s">
        <v>113</v>
      </c>
      <c r="H3494" s="1" t="str">
        <f>VLOOKUP(F3494,Countries!$A$1:$B$161,2,0)</f>
        <v>United States of America</v>
      </c>
    </row>
    <row r="3495" spans="1:8" x14ac:dyDescent="0.3">
      <c r="A3495" s="3">
        <v>46250.459965277783</v>
      </c>
      <c r="B3495" s="1">
        <v>6.37</v>
      </c>
      <c r="C3495" s="1">
        <v>5.51</v>
      </c>
      <c r="D3495" s="1">
        <v>0.54</v>
      </c>
      <c r="E3495" s="1" t="s">
        <v>113</v>
      </c>
      <c r="F3495" s="1" t="s">
        <v>113</v>
      </c>
      <c r="G3495" s="1" t="s">
        <v>113</v>
      </c>
      <c r="H3495" s="1" t="str">
        <f>VLOOKUP(F3495,Countries!$A$1:$B$161,2,0)</f>
        <v>United States of America</v>
      </c>
    </row>
    <row r="3496" spans="1:8" x14ac:dyDescent="0.3">
      <c r="A3496" s="3">
        <v>46250.436840277784</v>
      </c>
      <c r="B3496" s="1">
        <v>42.54</v>
      </c>
      <c r="C3496" s="1">
        <v>36.770000000000003</v>
      </c>
      <c r="D3496" s="1">
        <v>2.19</v>
      </c>
      <c r="E3496" s="1" t="s">
        <v>113</v>
      </c>
      <c r="F3496" s="1" t="s">
        <v>113</v>
      </c>
      <c r="G3496" s="1" t="s">
        <v>113</v>
      </c>
      <c r="H3496" s="1" t="str">
        <f>VLOOKUP(F3496,Countries!$A$1:$B$161,2,0)</f>
        <v>United States of America</v>
      </c>
    </row>
    <row r="3497" spans="1:8" x14ac:dyDescent="0.3">
      <c r="A3497" s="3">
        <v>46250.434699074067</v>
      </c>
      <c r="B3497" s="1">
        <v>10.51</v>
      </c>
      <c r="C3497" s="1">
        <v>9.08</v>
      </c>
      <c r="D3497" s="1">
        <v>0.73</v>
      </c>
      <c r="E3497" s="1" t="s">
        <v>143</v>
      </c>
      <c r="F3497" s="1" t="s">
        <v>143</v>
      </c>
      <c r="G3497" s="1" t="s">
        <v>143</v>
      </c>
      <c r="H3497" s="1" t="str">
        <f>VLOOKUP(F3497,Countries!$A$1:$B$161,2,0)</f>
        <v>United Arab Emirates</v>
      </c>
    </row>
    <row r="3498" spans="1:8" x14ac:dyDescent="0.3">
      <c r="A3498" s="3">
        <v>46250.431527777779</v>
      </c>
      <c r="B3498" s="1">
        <v>23.65</v>
      </c>
      <c r="C3498" s="1">
        <v>20.440000000000001</v>
      </c>
      <c r="D3498" s="1">
        <v>1.32</v>
      </c>
      <c r="E3498" s="1" t="s">
        <v>113</v>
      </c>
      <c r="F3498" s="1" t="s">
        <v>113</v>
      </c>
      <c r="G3498" s="1" t="s">
        <v>113</v>
      </c>
      <c r="H3498" s="1" t="str">
        <f>VLOOKUP(F3498,Countries!$A$1:$B$161,2,0)</f>
        <v>United States of America</v>
      </c>
    </row>
    <row r="3499" spans="1:8" x14ac:dyDescent="0.3">
      <c r="A3499" s="3">
        <v>46250.424953703703</v>
      </c>
      <c r="B3499" s="1">
        <v>23.65</v>
      </c>
      <c r="C3499" s="1">
        <v>20.440000000000001</v>
      </c>
      <c r="D3499" s="1">
        <v>1.32</v>
      </c>
      <c r="E3499" s="1" t="s">
        <v>113</v>
      </c>
      <c r="F3499" s="1" t="s">
        <v>113</v>
      </c>
      <c r="G3499" s="1" t="s">
        <v>113</v>
      </c>
      <c r="H3499" s="1" t="str">
        <f>VLOOKUP(F3499,Countries!$A$1:$B$161,2,0)</f>
        <v>United States of America</v>
      </c>
    </row>
    <row r="3500" spans="1:8" x14ac:dyDescent="0.3">
      <c r="A3500" s="3">
        <v>46250.423854166656</v>
      </c>
      <c r="B3500" s="1">
        <v>14.77</v>
      </c>
      <c r="C3500" s="1">
        <v>12.77</v>
      </c>
      <c r="D3500" s="1">
        <v>0.93</v>
      </c>
      <c r="E3500" s="1" t="s">
        <v>113</v>
      </c>
      <c r="F3500" s="1" t="s">
        <v>113</v>
      </c>
      <c r="G3500" s="1" t="s">
        <v>113</v>
      </c>
      <c r="H3500" s="1" t="str">
        <f>VLOOKUP(F3500,Countries!$A$1:$B$161,2,0)</f>
        <v>United States of America</v>
      </c>
    </row>
    <row r="3501" spans="1:8" x14ac:dyDescent="0.3">
      <c r="A3501" s="3">
        <v>46250.423506944448</v>
      </c>
      <c r="B3501" s="1">
        <v>20.7</v>
      </c>
      <c r="C3501" s="1">
        <v>17.89</v>
      </c>
      <c r="D3501" s="1">
        <v>1.19</v>
      </c>
      <c r="E3501" s="1" t="s">
        <v>113</v>
      </c>
      <c r="F3501" s="1" t="s">
        <v>113</v>
      </c>
      <c r="G3501" s="1" t="s">
        <v>113</v>
      </c>
      <c r="H3501" s="1" t="str">
        <f>VLOOKUP(F3501,Countries!$A$1:$B$161,2,0)</f>
        <v>United States of America</v>
      </c>
    </row>
    <row r="3502" spans="1:8" x14ac:dyDescent="0.3">
      <c r="A3502" s="3">
        <v>46250.423101851848</v>
      </c>
      <c r="B3502" s="1">
        <v>3.69</v>
      </c>
      <c r="C3502" s="1">
        <v>3.19</v>
      </c>
      <c r="D3502" s="1">
        <v>0.36</v>
      </c>
      <c r="E3502" s="1" t="s">
        <v>159</v>
      </c>
      <c r="F3502" s="1" t="s">
        <v>159</v>
      </c>
      <c r="G3502" s="1" t="s">
        <v>159</v>
      </c>
      <c r="H3502" s="1" t="str">
        <f>VLOOKUP(F3502,Countries!$A$1:$B$161,2,0)</f>
        <v>Romania</v>
      </c>
    </row>
    <row r="3503" spans="1:8" x14ac:dyDescent="0.3">
      <c r="A3503" s="3">
        <v>46250.418136574073</v>
      </c>
      <c r="B3503" s="1">
        <v>29.57</v>
      </c>
      <c r="C3503" s="1">
        <v>25.56</v>
      </c>
      <c r="D3503" s="1">
        <v>1.59</v>
      </c>
      <c r="E3503" s="1" t="s">
        <v>113</v>
      </c>
      <c r="F3503" s="1" t="s">
        <v>113</v>
      </c>
      <c r="G3503" s="1" t="s">
        <v>113</v>
      </c>
      <c r="H3503" s="1" t="str">
        <f>VLOOKUP(F3503,Countries!$A$1:$B$161,2,0)</f>
        <v>United States of America</v>
      </c>
    </row>
    <row r="3504" spans="1:8" x14ac:dyDescent="0.3">
      <c r="A3504" s="3">
        <v>46250.413159722222</v>
      </c>
      <c r="B3504" s="1">
        <v>6.37</v>
      </c>
      <c r="C3504" s="1">
        <v>5.51</v>
      </c>
      <c r="D3504" s="1">
        <v>0.54</v>
      </c>
      <c r="E3504" s="1" t="s">
        <v>113</v>
      </c>
      <c r="F3504" s="1" t="s">
        <v>113</v>
      </c>
      <c r="G3504" s="1" t="s">
        <v>113</v>
      </c>
      <c r="H3504" s="1" t="str">
        <f>VLOOKUP(F3504,Countries!$A$1:$B$161,2,0)</f>
        <v>United States of America</v>
      </c>
    </row>
    <row r="3505" spans="1:8" x14ac:dyDescent="0.3">
      <c r="A3505" s="3">
        <v>46250.409039351849</v>
      </c>
      <c r="B3505" s="1">
        <v>6.37</v>
      </c>
      <c r="C3505" s="1">
        <v>5.51</v>
      </c>
      <c r="D3505" s="1">
        <v>0.54</v>
      </c>
      <c r="E3505" s="1" t="s">
        <v>113</v>
      </c>
      <c r="F3505" s="1" t="s">
        <v>113</v>
      </c>
      <c r="G3505" s="1" t="s">
        <v>113</v>
      </c>
      <c r="H3505" s="1" t="str">
        <f>VLOOKUP(F3505,Countries!$A$1:$B$161,2,0)</f>
        <v>United States of America</v>
      </c>
    </row>
    <row r="3506" spans="1:8" x14ac:dyDescent="0.3">
      <c r="A3506" s="3">
        <v>46250.40421296296</v>
      </c>
      <c r="B3506" s="1">
        <v>6.37</v>
      </c>
      <c r="C3506" s="1">
        <v>5.51</v>
      </c>
      <c r="D3506" s="1">
        <v>0.54</v>
      </c>
      <c r="E3506" s="1" t="s">
        <v>113</v>
      </c>
      <c r="F3506" s="1" t="s">
        <v>113</v>
      </c>
      <c r="G3506" s="1" t="s">
        <v>113</v>
      </c>
      <c r="H3506" s="1" t="str">
        <f>VLOOKUP(F3506,Countries!$A$1:$B$161,2,0)</f>
        <v>United States of America</v>
      </c>
    </row>
    <row r="3507" spans="1:8" x14ac:dyDescent="0.3">
      <c r="A3507" s="3">
        <v>46250.376666666663</v>
      </c>
      <c r="B3507" s="1">
        <v>3.18</v>
      </c>
      <c r="C3507" s="1">
        <v>2.75</v>
      </c>
      <c r="D3507" s="1">
        <v>0.4</v>
      </c>
      <c r="E3507" s="1" t="s">
        <v>113</v>
      </c>
      <c r="F3507" s="1" t="s">
        <v>113</v>
      </c>
      <c r="G3507" s="1" t="s">
        <v>113</v>
      </c>
      <c r="H3507" s="1" t="str">
        <f>VLOOKUP(F3507,Countries!$A$1:$B$161,2,0)</f>
        <v>United States of America</v>
      </c>
    </row>
    <row r="3508" spans="1:8" x14ac:dyDescent="0.3">
      <c r="A3508" s="3">
        <v>46250.371134259258</v>
      </c>
      <c r="B3508" s="1">
        <v>6.37</v>
      </c>
      <c r="C3508" s="1">
        <v>5.51</v>
      </c>
      <c r="D3508" s="1">
        <v>0.54</v>
      </c>
      <c r="E3508" s="1" t="s">
        <v>113</v>
      </c>
      <c r="F3508" s="1" t="s">
        <v>113</v>
      </c>
      <c r="G3508" s="1" t="s">
        <v>113</v>
      </c>
      <c r="H3508" s="1" t="str">
        <f>VLOOKUP(F3508,Countries!$A$1:$B$161,2,0)</f>
        <v>United States of America</v>
      </c>
    </row>
    <row r="3509" spans="1:8" x14ac:dyDescent="0.3">
      <c r="A3509" s="3">
        <v>46250.36037037037</v>
      </c>
      <c r="B3509" s="1">
        <v>6.65</v>
      </c>
      <c r="C3509" s="1">
        <v>5.75</v>
      </c>
      <c r="D3509" s="1">
        <v>0.56000000000000005</v>
      </c>
      <c r="E3509" s="1" t="s">
        <v>130</v>
      </c>
      <c r="F3509" s="1" t="s">
        <v>130</v>
      </c>
      <c r="G3509" s="1" t="s">
        <v>130</v>
      </c>
      <c r="H3509" s="1" t="str">
        <f>VLOOKUP(F3509,Countries!$A$1:$B$161,2,0)</f>
        <v>Australia</v>
      </c>
    </row>
    <row r="3510" spans="1:8" x14ac:dyDescent="0.3">
      <c r="A3510" s="3">
        <v>46250.357673611114</v>
      </c>
      <c r="B3510" s="1">
        <v>14.77</v>
      </c>
      <c r="C3510" s="1">
        <v>12.77</v>
      </c>
      <c r="D3510" s="1">
        <v>0.93</v>
      </c>
      <c r="E3510" s="1" t="s">
        <v>113</v>
      </c>
      <c r="F3510" s="1" t="s">
        <v>113</v>
      </c>
      <c r="G3510" s="1" t="s">
        <v>113</v>
      </c>
      <c r="H3510" s="1" t="str">
        <f>VLOOKUP(F3510,Countries!$A$1:$B$161,2,0)</f>
        <v>United States of America</v>
      </c>
    </row>
    <row r="3511" spans="1:8" x14ac:dyDescent="0.3">
      <c r="A3511" s="3">
        <v>46250.349687499998</v>
      </c>
      <c r="B3511" s="1">
        <v>5.99</v>
      </c>
      <c r="C3511" s="1">
        <v>5.18</v>
      </c>
      <c r="D3511" s="1">
        <v>0.52</v>
      </c>
      <c r="E3511" s="1" t="s">
        <v>113</v>
      </c>
      <c r="F3511" s="1" t="s">
        <v>113</v>
      </c>
      <c r="G3511" s="1" t="s">
        <v>113</v>
      </c>
      <c r="H3511" s="1" t="str">
        <f>VLOOKUP(F3511,Countries!$A$1:$B$161,2,0)</f>
        <v>United States of America</v>
      </c>
    </row>
    <row r="3512" spans="1:8" x14ac:dyDescent="0.3">
      <c r="A3512" s="3">
        <v>46250.34584490741</v>
      </c>
      <c r="B3512" s="1">
        <v>61.65</v>
      </c>
      <c r="C3512" s="1">
        <v>53.29</v>
      </c>
      <c r="D3512" s="1">
        <v>3.05</v>
      </c>
      <c r="E3512" s="1" t="s">
        <v>130</v>
      </c>
      <c r="F3512" s="1" t="s">
        <v>130</v>
      </c>
      <c r="G3512" s="1" t="s">
        <v>130</v>
      </c>
      <c r="H3512" s="1" t="str">
        <f>VLOOKUP(F3512,Countries!$A$1:$B$161,2,0)</f>
        <v>Australia</v>
      </c>
    </row>
    <row r="3513" spans="1:8" x14ac:dyDescent="0.3">
      <c r="A3513" s="3">
        <v>46250.345011574071</v>
      </c>
      <c r="B3513" s="1">
        <v>14.78</v>
      </c>
      <c r="C3513" s="1">
        <v>12.77</v>
      </c>
      <c r="D3513" s="1">
        <v>0.93</v>
      </c>
      <c r="E3513" s="1" t="s">
        <v>113</v>
      </c>
      <c r="F3513" s="1" t="s">
        <v>113</v>
      </c>
      <c r="G3513" s="1" t="s">
        <v>113</v>
      </c>
      <c r="H3513" s="1" t="str">
        <f>VLOOKUP(F3513,Countries!$A$1:$B$161,2,0)</f>
        <v>United States of America</v>
      </c>
    </row>
    <row r="3514" spans="1:8" x14ac:dyDescent="0.3">
      <c r="A3514" s="3">
        <v>46250.344409722216</v>
      </c>
      <c r="B3514" s="1">
        <v>14.78</v>
      </c>
      <c r="C3514" s="1">
        <v>12.77</v>
      </c>
      <c r="D3514" s="1">
        <v>0.93</v>
      </c>
      <c r="E3514" s="1" t="s">
        <v>113</v>
      </c>
      <c r="F3514" s="1" t="s">
        <v>113</v>
      </c>
      <c r="G3514" s="1" t="s">
        <v>113</v>
      </c>
      <c r="H3514" s="1" t="str">
        <f>VLOOKUP(F3514,Countries!$A$1:$B$161,2,0)</f>
        <v>United States of America</v>
      </c>
    </row>
    <row r="3515" spans="1:8" x14ac:dyDescent="0.3">
      <c r="A3515" s="3">
        <v>46250.33935185185</v>
      </c>
      <c r="B3515" s="1">
        <v>22.18</v>
      </c>
      <c r="C3515" s="1">
        <v>19.170000000000002</v>
      </c>
      <c r="D3515" s="1">
        <v>1.25</v>
      </c>
      <c r="E3515" s="1" t="s">
        <v>113</v>
      </c>
      <c r="F3515" s="1" t="s">
        <v>113</v>
      </c>
      <c r="G3515" s="1" t="s">
        <v>113</v>
      </c>
      <c r="H3515" s="1" t="str">
        <f>VLOOKUP(F3515,Countries!$A$1:$B$161,2,0)</f>
        <v>United States of America</v>
      </c>
    </row>
    <row r="3516" spans="1:8" x14ac:dyDescent="0.3">
      <c r="A3516" s="3">
        <v>46250.339305555557</v>
      </c>
      <c r="B3516" s="1">
        <v>59.03</v>
      </c>
      <c r="C3516" s="1">
        <v>51.02</v>
      </c>
      <c r="D3516" s="1">
        <v>2.93</v>
      </c>
      <c r="E3516" s="1" t="s">
        <v>113</v>
      </c>
      <c r="F3516" s="1" t="s">
        <v>113</v>
      </c>
      <c r="G3516" s="1" t="s">
        <v>113</v>
      </c>
      <c r="H3516" s="1" t="str">
        <f>VLOOKUP(F3516,Countries!$A$1:$B$161,2,0)</f>
        <v>United States of America</v>
      </c>
    </row>
    <row r="3517" spans="1:8" x14ac:dyDescent="0.3">
      <c r="A3517" s="3">
        <v>46250.33834490741</v>
      </c>
      <c r="B3517" s="1">
        <v>6.37</v>
      </c>
      <c r="C3517" s="1">
        <v>5.51</v>
      </c>
      <c r="D3517" s="1">
        <v>0.54</v>
      </c>
      <c r="E3517" s="1" t="s">
        <v>113</v>
      </c>
      <c r="F3517" s="1" t="s">
        <v>113</v>
      </c>
      <c r="G3517" s="1" t="s">
        <v>113</v>
      </c>
      <c r="H3517" s="1" t="str">
        <f>VLOOKUP(F3517,Countries!$A$1:$B$161,2,0)</f>
        <v>United States of America</v>
      </c>
    </row>
    <row r="3518" spans="1:8" x14ac:dyDescent="0.3">
      <c r="A3518" s="3">
        <v>46250.331087962957</v>
      </c>
      <c r="B3518" s="1">
        <v>6.37</v>
      </c>
      <c r="C3518" s="1">
        <v>5.51</v>
      </c>
      <c r="D3518" s="1">
        <v>0.54</v>
      </c>
      <c r="E3518" s="1" t="s">
        <v>113</v>
      </c>
      <c r="F3518" s="1" t="s">
        <v>113</v>
      </c>
      <c r="G3518" s="1" t="s">
        <v>113</v>
      </c>
      <c r="H3518" s="1" t="str">
        <f>VLOOKUP(F3518,Countries!$A$1:$B$161,2,0)</f>
        <v>United States of America</v>
      </c>
    </row>
    <row r="3519" spans="1:8" x14ac:dyDescent="0.3">
      <c r="A3519" s="3">
        <v>46250.328680555547</v>
      </c>
      <c r="B3519" s="1">
        <v>17.010000000000002</v>
      </c>
      <c r="C3519" s="1">
        <v>14.7</v>
      </c>
      <c r="D3519" s="1">
        <v>1.02</v>
      </c>
      <c r="E3519" s="1" t="s">
        <v>113</v>
      </c>
      <c r="F3519" s="1" t="s">
        <v>113</v>
      </c>
      <c r="G3519" s="1" t="s">
        <v>113</v>
      </c>
      <c r="H3519" s="1" t="str">
        <f>VLOOKUP(F3519,Countries!$A$1:$B$161,2,0)</f>
        <v>United States of America</v>
      </c>
    </row>
    <row r="3520" spans="1:8" x14ac:dyDescent="0.3">
      <c r="A3520" s="3">
        <v>46250.326770833337</v>
      </c>
      <c r="B3520" s="1">
        <v>61.65</v>
      </c>
      <c r="C3520" s="1">
        <v>53.29</v>
      </c>
      <c r="D3520" s="1">
        <v>3.05</v>
      </c>
      <c r="E3520" s="1" t="s">
        <v>130</v>
      </c>
      <c r="F3520" s="1" t="s">
        <v>130</v>
      </c>
      <c r="G3520" s="1" t="s">
        <v>130</v>
      </c>
      <c r="H3520" s="1" t="str">
        <f>VLOOKUP(F3520,Countries!$A$1:$B$161,2,0)</f>
        <v>Australia</v>
      </c>
    </row>
    <row r="3521" spans="1:8" x14ac:dyDescent="0.3">
      <c r="A3521" s="3">
        <v>46250.323483796303</v>
      </c>
      <c r="B3521" s="1">
        <v>28.09</v>
      </c>
      <c r="C3521" s="1">
        <v>24.28</v>
      </c>
      <c r="D3521" s="1">
        <v>1.53</v>
      </c>
      <c r="E3521" s="1" t="s">
        <v>113</v>
      </c>
      <c r="F3521" s="1" t="s">
        <v>113</v>
      </c>
      <c r="G3521" s="1" t="s">
        <v>113</v>
      </c>
      <c r="H3521" s="1" t="str">
        <f>VLOOKUP(F3521,Countries!$A$1:$B$161,2,0)</f>
        <v>United States of America</v>
      </c>
    </row>
    <row r="3522" spans="1:8" x14ac:dyDescent="0.3">
      <c r="A3522" s="3">
        <v>46250.319699074083</v>
      </c>
      <c r="B3522" s="1">
        <v>61.65</v>
      </c>
      <c r="C3522" s="1">
        <v>53.29</v>
      </c>
      <c r="D3522" s="1">
        <v>3.05</v>
      </c>
      <c r="E3522" s="1" t="s">
        <v>130</v>
      </c>
      <c r="F3522" s="1" t="s">
        <v>130</v>
      </c>
      <c r="G3522" s="1" t="s">
        <v>130</v>
      </c>
      <c r="H3522" s="1" t="str">
        <f>VLOOKUP(F3522,Countries!$A$1:$B$161,2,0)</f>
        <v>Australia</v>
      </c>
    </row>
    <row r="3523" spans="1:8" x14ac:dyDescent="0.3">
      <c r="A3523" s="3">
        <v>46250.310567129629</v>
      </c>
      <c r="B3523" s="1">
        <v>6.8</v>
      </c>
      <c r="C3523" s="1">
        <v>5.88</v>
      </c>
      <c r="D3523" s="1">
        <v>0.56000000000000005</v>
      </c>
      <c r="E3523" s="1" t="s">
        <v>114</v>
      </c>
      <c r="F3523" s="1" t="s">
        <v>114</v>
      </c>
      <c r="G3523" s="1" t="s">
        <v>114</v>
      </c>
      <c r="H3523" s="1" t="str">
        <f>VLOOKUP(F3523,Countries!$A$1:$B$161,2,0)</f>
        <v>Philippines</v>
      </c>
    </row>
    <row r="3524" spans="1:8" x14ac:dyDescent="0.3">
      <c r="A3524" s="3">
        <v>46250.309606481482</v>
      </c>
      <c r="B3524" s="1">
        <v>10.62</v>
      </c>
      <c r="C3524" s="1">
        <v>9.18</v>
      </c>
      <c r="D3524" s="1">
        <v>0.73</v>
      </c>
      <c r="E3524" s="1" t="s">
        <v>113</v>
      </c>
      <c r="F3524" s="1" t="s">
        <v>113</v>
      </c>
      <c r="G3524" s="1" t="s">
        <v>113</v>
      </c>
      <c r="H3524" s="1" t="str">
        <f>VLOOKUP(F3524,Countries!$A$1:$B$161,2,0)</f>
        <v>United States of America</v>
      </c>
    </row>
    <row r="3525" spans="1:8" x14ac:dyDescent="0.3">
      <c r="A3525" s="3">
        <v>46250.307118055563</v>
      </c>
      <c r="B3525" s="1">
        <v>6.37</v>
      </c>
      <c r="C3525" s="1">
        <v>5.51</v>
      </c>
      <c r="D3525" s="1">
        <v>0.54</v>
      </c>
      <c r="E3525" s="1" t="s">
        <v>113</v>
      </c>
      <c r="F3525" s="1" t="s">
        <v>113</v>
      </c>
      <c r="G3525" s="1" t="s">
        <v>113</v>
      </c>
      <c r="H3525" s="1" t="str">
        <f>VLOOKUP(F3525,Countries!$A$1:$B$161,2,0)</f>
        <v>United States of America</v>
      </c>
    </row>
    <row r="3526" spans="1:8" x14ac:dyDescent="0.3">
      <c r="A3526" s="3">
        <v>46250.302499999998</v>
      </c>
      <c r="B3526" s="1">
        <v>6.37</v>
      </c>
      <c r="C3526" s="1">
        <v>5.51</v>
      </c>
      <c r="D3526" s="1">
        <v>0.54</v>
      </c>
      <c r="E3526" s="1" t="s">
        <v>113</v>
      </c>
      <c r="F3526" s="1" t="s">
        <v>113</v>
      </c>
      <c r="G3526" s="1" t="s">
        <v>113</v>
      </c>
      <c r="H3526" s="1" t="str">
        <f>VLOOKUP(F3526,Countries!$A$1:$B$161,2,0)</f>
        <v>United States of America</v>
      </c>
    </row>
    <row r="3527" spans="1:8" x14ac:dyDescent="0.3">
      <c r="A3527" s="3">
        <v>46250.295914351853</v>
      </c>
      <c r="B3527" s="1">
        <v>29.57</v>
      </c>
      <c r="C3527" s="1">
        <v>25.56</v>
      </c>
      <c r="D3527" s="1">
        <v>1.59</v>
      </c>
      <c r="E3527" s="1" t="s">
        <v>113</v>
      </c>
      <c r="F3527" s="1" t="s">
        <v>113</v>
      </c>
      <c r="G3527" s="1" t="s">
        <v>113</v>
      </c>
      <c r="H3527" s="1" t="str">
        <f>VLOOKUP(F3527,Countries!$A$1:$B$161,2,0)</f>
        <v>United States of America</v>
      </c>
    </row>
    <row r="3528" spans="1:8" x14ac:dyDescent="0.3">
      <c r="A3528" s="3">
        <v>46250.294039351851</v>
      </c>
      <c r="B3528" s="1">
        <v>6.8</v>
      </c>
      <c r="C3528" s="1">
        <v>5.88</v>
      </c>
      <c r="D3528" s="1">
        <v>0.56000000000000005</v>
      </c>
      <c r="E3528" s="1" t="s">
        <v>114</v>
      </c>
      <c r="F3528" s="1" t="s">
        <v>114</v>
      </c>
      <c r="G3528" s="1" t="s">
        <v>114</v>
      </c>
      <c r="H3528" s="1" t="str">
        <f>VLOOKUP(F3528,Countries!$A$1:$B$161,2,0)</f>
        <v>Philippines</v>
      </c>
    </row>
    <row r="3529" spans="1:8" x14ac:dyDescent="0.3">
      <c r="A3529" s="3">
        <v>46250.292233796303</v>
      </c>
      <c r="B3529" s="1">
        <v>6.37</v>
      </c>
      <c r="C3529" s="1">
        <v>5.51</v>
      </c>
      <c r="D3529" s="1">
        <v>0.54</v>
      </c>
      <c r="E3529" s="1" t="s">
        <v>113</v>
      </c>
      <c r="F3529" s="1" t="s">
        <v>113</v>
      </c>
      <c r="G3529" s="1" t="s">
        <v>113</v>
      </c>
      <c r="H3529" s="1" t="str">
        <f>VLOOKUP(F3529,Countries!$A$1:$B$161,2,0)</f>
        <v>United States of America</v>
      </c>
    </row>
    <row r="3530" spans="1:8" x14ac:dyDescent="0.3">
      <c r="A3530" s="3">
        <v>46250.270578703698</v>
      </c>
      <c r="B3530" s="1">
        <v>14.77</v>
      </c>
      <c r="C3530" s="1">
        <v>12.77</v>
      </c>
      <c r="D3530" s="1">
        <v>0.93</v>
      </c>
      <c r="E3530" s="1" t="s">
        <v>113</v>
      </c>
      <c r="F3530" s="1" t="s">
        <v>113</v>
      </c>
      <c r="G3530" s="1" t="s">
        <v>113</v>
      </c>
      <c r="H3530" s="1" t="str">
        <f>VLOOKUP(F3530,Countries!$A$1:$B$161,2,0)</f>
        <v>United States of America</v>
      </c>
    </row>
    <row r="3531" spans="1:8" x14ac:dyDescent="0.3">
      <c r="A3531" s="3">
        <v>46250.270150462973</v>
      </c>
      <c r="B3531" s="1">
        <v>26.61</v>
      </c>
      <c r="C3531" s="1">
        <v>23</v>
      </c>
      <c r="D3531" s="1">
        <v>1.46</v>
      </c>
      <c r="E3531" s="1" t="s">
        <v>113</v>
      </c>
      <c r="F3531" s="1" t="s">
        <v>113</v>
      </c>
      <c r="G3531" s="1" t="s">
        <v>113</v>
      </c>
      <c r="H3531" s="1" t="str">
        <f>VLOOKUP(F3531,Countries!$A$1:$B$161,2,0)</f>
        <v>United States of America</v>
      </c>
    </row>
    <row r="3532" spans="1:8" x14ac:dyDescent="0.3">
      <c r="A3532" s="3">
        <v>46250.265300925923</v>
      </c>
      <c r="B3532" s="1">
        <v>6.37</v>
      </c>
      <c r="C3532" s="1">
        <v>5.51</v>
      </c>
      <c r="D3532" s="1">
        <v>0.54</v>
      </c>
      <c r="E3532" s="1" t="s">
        <v>113</v>
      </c>
      <c r="F3532" s="1" t="s">
        <v>113</v>
      </c>
      <c r="G3532" s="1" t="s">
        <v>113</v>
      </c>
      <c r="H3532" s="1" t="str">
        <f>VLOOKUP(F3532,Countries!$A$1:$B$161,2,0)</f>
        <v>United States of America</v>
      </c>
    </row>
    <row r="3533" spans="1:8" x14ac:dyDescent="0.3">
      <c r="A3533" s="3">
        <v>46250.261608796303</v>
      </c>
      <c r="B3533" s="1">
        <v>14.77</v>
      </c>
      <c r="C3533" s="1">
        <v>12.77</v>
      </c>
      <c r="D3533" s="1">
        <v>0.93</v>
      </c>
      <c r="E3533" s="1" t="s">
        <v>113</v>
      </c>
      <c r="F3533" s="1" t="s">
        <v>113</v>
      </c>
      <c r="G3533" s="1" t="s">
        <v>113</v>
      </c>
      <c r="H3533" s="1" t="str">
        <f>VLOOKUP(F3533,Countries!$A$1:$B$161,2,0)</f>
        <v>United States of America</v>
      </c>
    </row>
    <row r="3534" spans="1:8" x14ac:dyDescent="0.3">
      <c r="A3534" s="3">
        <v>46250.261111111111</v>
      </c>
      <c r="B3534" s="1">
        <v>22.18</v>
      </c>
      <c r="C3534" s="1">
        <v>19.170000000000002</v>
      </c>
      <c r="D3534" s="1">
        <v>1.25</v>
      </c>
      <c r="E3534" s="1" t="s">
        <v>113</v>
      </c>
      <c r="F3534" s="1" t="s">
        <v>113</v>
      </c>
      <c r="G3534" s="1" t="s">
        <v>113</v>
      </c>
      <c r="H3534" s="1" t="str">
        <f>VLOOKUP(F3534,Countries!$A$1:$B$161,2,0)</f>
        <v>United States of America</v>
      </c>
    </row>
    <row r="3535" spans="1:8" x14ac:dyDescent="0.3">
      <c r="A3535" s="3">
        <v>46250.259571759263</v>
      </c>
      <c r="B3535" s="1">
        <v>14.77</v>
      </c>
      <c r="C3535" s="1">
        <v>12.77</v>
      </c>
      <c r="D3535" s="1">
        <v>0.93</v>
      </c>
      <c r="E3535" s="1" t="s">
        <v>113</v>
      </c>
      <c r="F3535" s="1" t="s">
        <v>113</v>
      </c>
      <c r="G3535" s="1" t="s">
        <v>113</v>
      </c>
      <c r="H3535" s="1" t="str">
        <f>VLOOKUP(F3535,Countries!$A$1:$B$161,2,0)</f>
        <v>United States of America</v>
      </c>
    </row>
    <row r="3536" spans="1:8" x14ac:dyDescent="0.3">
      <c r="A3536" s="3">
        <v>46250.251932870371</v>
      </c>
      <c r="B3536" s="1">
        <v>2.11</v>
      </c>
      <c r="C3536" s="1">
        <v>1.82</v>
      </c>
      <c r="D3536" s="1">
        <v>0.35</v>
      </c>
      <c r="E3536" s="1" t="s">
        <v>113</v>
      </c>
      <c r="F3536" s="1" t="s">
        <v>113</v>
      </c>
      <c r="G3536" s="1" t="s">
        <v>113</v>
      </c>
      <c r="H3536" s="1" t="str">
        <f>VLOOKUP(F3536,Countries!$A$1:$B$161,2,0)</f>
        <v>United States of America</v>
      </c>
    </row>
    <row r="3537" spans="1:8" x14ac:dyDescent="0.3">
      <c r="A3537" s="3">
        <v>46250.242222222223</v>
      </c>
      <c r="B3537" s="1">
        <v>6.37</v>
      </c>
      <c r="C3537" s="1">
        <v>5.51</v>
      </c>
      <c r="D3537" s="1">
        <v>0.54</v>
      </c>
      <c r="E3537" s="1" t="s">
        <v>113</v>
      </c>
      <c r="F3537" s="1" t="s">
        <v>113</v>
      </c>
      <c r="G3537" s="1" t="s">
        <v>113</v>
      </c>
      <c r="H3537" s="1" t="str">
        <f>VLOOKUP(F3537,Countries!$A$1:$B$161,2,0)</f>
        <v>United States of America</v>
      </c>
    </row>
    <row r="3538" spans="1:8" x14ac:dyDescent="0.3">
      <c r="A3538" s="3">
        <v>46250.242175925923</v>
      </c>
      <c r="B3538" s="1">
        <v>10.62</v>
      </c>
      <c r="C3538" s="1">
        <v>9.18</v>
      </c>
      <c r="D3538" s="1">
        <v>0.73</v>
      </c>
      <c r="E3538" s="1" t="s">
        <v>113</v>
      </c>
      <c r="F3538" s="1" t="s">
        <v>113</v>
      </c>
      <c r="G3538" s="1" t="s">
        <v>113</v>
      </c>
      <c r="H3538" s="1" t="str">
        <f>VLOOKUP(F3538,Countries!$A$1:$B$161,2,0)</f>
        <v>United States of America</v>
      </c>
    </row>
    <row r="3539" spans="1:8" x14ac:dyDescent="0.3">
      <c r="A3539" s="3">
        <v>46250.233182870368</v>
      </c>
      <c r="B3539" s="1">
        <v>7.48</v>
      </c>
      <c r="C3539" s="1">
        <v>6.47</v>
      </c>
      <c r="D3539" s="1">
        <v>0.54</v>
      </c>
      <c r="E3539" s="1" t="s">
        <v>119</v>
      </c>
      <c r="F3539" s="1" t="s">
        <v>119</v>
      </c>
      <c r="G3539" s="1" t="s">
        <v>119</v>
      </c>
      <c r="H3539" s="1" t="str">
        <f>VLOOKUP(F3539,Countries!$A$1:$B$161,2,0)</f>
        <v>Great Britain (United Kingdom)</v>
      </c>
    </row>
    <row r="3540" spans="1:8" x14ac:dyDescent="0.3">
      <c r="A3540" s="3">
        <v>46250.232905092591</v>
      </c>
      <c r="B3540" s="1">
        <v>6.37</v>
      </c>
      <c r="C3540" s="1">
        <v>5.51</v>
      </c>
      <c r="D3540" s="1">
        <v>0.54</v>
      </c>
      <c r="E3540" s="1" t="s">
        <v>113</v>
      </c>
      <c r="F3540" s="1" t="s">
        <v>113</v>
      </c>
      <c r="G3540" s="1" t="s">
        <v>113</v>
      </c>
      <c r="H3540" s="1" t="str">
        <f>VLOOKUP(F3540,Countries!$A$1:$B$161,2,0)</f>
        <v>United States of America</v>
      </c>
    </row>
    <row r="3541" spans="1:8" x14ac:dyDescent="0.3">
      <c r="A3541" s="3">
        <v>46250.230428240742</v>
      </c>
      <c r="B3541" s="1">
        <v>14.77</v>
      </c>
      <c r="C3541" s="1">
        <v>12.77</v>
      </c>
      <c r="D3541" s="1">
        <v>0.93</v>
      </c>
      <c r="E3541" s="1" t="s">
        <v>113</v>
      </c>
      <c r="F3541" s="1" t="s">
        <v>113</v>
      </c>
      <c r="G3541" s="1" t="s">
        <v>113</v>
      </c>
      <c r="H3541" s="1" t="str">
        <f>VLOOKUP(F3541,Countries!$A$1:$B$161,2,0)</f>
        <v>United States of America</v>
      </c>
    </row>
    <row r="3542" spans="1:8" x14ac:dyDescent="0.3">
      <c r="A3542" s="3">
        <v>46250.227986111109</v>
      </c>
      <c r="B3542" s="1">
        <v>6.37</v>
      </c>
      <c r="C3542" s="1">
        <v>5.51</v>
      </c>
      <c r="D3542" s="1">
        <v>0.54</v>
      </c>
      <c r="E3542" s="1" t="s">
        <v>113</v>
      </c>
      <c r="F3542" s="1" t="s">
        <v>113</v>
      </c>
      <c r="G3542" s="1" t="s">
        <v>113</v>
      </c>
      <c r="H3542" s="1" t="str">
        <f>VLOOKUP(F3542,Countries!$A$1:$B$161,2,0)</f>
        <v>United States of America</v>
      </c>
    </row>
    <row r="3543" spans="1:8" x14ac:dyDescent="0.3">
      <c r="A3543" s="3">
        <v>46250.219305555547</v>
      </c>
      <c r="B3543" s="1">
        <v>15.43</v>
      </c>
      <c r="C3543" s="1">
        <v>13.34</v>
      </c>
      <c r="D3543" s="1">
        <v>0.95</v>
      </c>
      <c r="E3543" s="1" t="s">
        <v>130</v>
      </c>
      <c r="F3543" s="1" t="s">
        <v>130</v>
      </c>
      <c r="G3543" s="1" t="s">
        <v>130</v>
      </c>
      <c r="H3543" s="1" t="str">
        <f>VLOOKUP(F3543,Countries!$A$1:$B$161,2,0)</f>
        <v>Australia</v>
      </c>
    </row>
    <row r="3544" spans="1:8" x14ac:dyDescent="0.3">
      <c r="A3544" s="3">
        <v>46250.218182870369</v>
      </c>
      <c r="B3544" s="1">
        <v>69.5</v>
      </c>
      <c r="C3544" s="1">
        <v>60.07</v>
      </c>
      <c r="D3544" s="1">
        <v>3.4</v>
      </c>
      <c r="E3544" s="1" t="s">
        <v>130</v>
      </c>
      <c r="F3544" s="1" t="s">
        <v>130</v>
      </c>
      <c r="G3544" s="1" t="s">
        <v>130</v>
      </c>
      <c r="H3544" s="1" t="str">
        <f>VLOOKUP(F3544,Countries!$A$1:$B$161,2,0)</f>
        <v>Australia</v>
      </c>
    </row>
    <row r="3545" spans="1:8" x14ac:dyDescent="0.3">
      <c r="A3545" s="3">
        <v>46250.217604166668</v>
      </c>
      <c r="B3545" s="1">
        <v>6.37</v>
      </c>
      <c r="C3545" s="1">
        <v>5.51</v>
      </c>
      <c r="D3545" s="1">
        <v>0.54</v>
      </c>
      <c r="E3545" s="1" t="s">
        <v>113</v>
      </c>
      <c r="F3545" s="1" t="s">
        <v>113</v>
      </c>
      <c r="G3545" s="1" t="s">
        <v>113</v>
      </c>
      <c r="H3545" s="1" t="str">
        <f>VLOOKUP(F3545,Countries!$A$1:$B$161,2,0)</f>
        <v>United States of America</v>
      </c>
    </row>
    <row r="3546" spans="1:8" x14ac:dyDescent="0.3">
      <c r="A3546" s="3">
        <v>46250.194085648152</v>
      </c>
      <c r="B3546" s="1">
        <v>6.37</v>
      </c>
      <c r="C3546" s="1">
        <v>5.51</v>
      </c>
      <c r="D3546" s="1">
        <v>0.54</v>
      </c>
      <c r="E3546" s="1" t="s">
        <v>113</v>
      </c>
      <c r="F3546" s="1" t="s">
        <v>113</v>
      </c>
      <c r="G3546" s="1" t="s">
        <v>113</v>
      </c>
      <c r="H3546" s="1" t="str">
        <f>VLOOKUP(F3546,Countries!$A$1:$B$161,2,0)</f>
        <v>United States of America</v>
      </c>
    </row>
    <row r="3547" spans="1:8" x14ac:dyDescent="0.3">
      <c r="A3547" s="3">
        <v>46250.192187499997</v>
      </c>
      <c r="B3547" s="1">
        <v>42.54</v>
      </c>
      <c r="C3547" s="1">
        <v>36.770000000000003</v>
      </c>
      <c r="D3547" s="1">
        <v>2.19</v>
      </c>
      <c r="E3547" s="1" t="s">
        <v>113</v>
      </c>
      <c r="F3547" s="1" t="s">
        <v>113</v>
      </c>
      <c r="G3547" s="1" t="s">
        <v>113</v>
      </c>
      <c r="H3547" s="1" t="str">
        <f>VLOOKUP(F3547,Countries!$A$1:$B$161,2,0)</f>
        <v>United States of America</v>
      </c>
    </row>
    <row r="3548" spans="1:8" x14ac:dyDescent="0.3">
      <c r="A3548" s="3">
        <v>46250.185983796298</v>
      </c>
      <c r="B3548" s="1">
        <v>58.41</v>
      </c>
      <c r="C3548" s="1">
        <v>50.49</v>
      </c>
      <c r="D3548" s="1">
        <v>2.9</v>
      </c>
      <c r="E3548" s="1" t="s">
        <v>132</v>
      </c>
      <c r="F3548" s="1" t="s">
        <v>132</v>
      </c>
      <c r="G3548" s="1" t="s">
        <v>132</v>
      </c>
      <c r="H3548" s="1" t="str">
        <f>VLOOKUP(F3548,Countries!$A$1:$B$161,2,0)</f>
        <v>Canada</v>
      </c>
    </row>
    <row r="3549" spans="1:8" x14ac:dyDescent="0.3">
      <c r="A3549" s="3">
        <v>46250.183587962973</v>
      </c>
      <c r="B3549" s="1">
        <v>6.37</v>
      </c>
      <c r="C3549" s="1">
        <v>5.51</v>
      </c>
      <c r="D3549" s="1">
        <v>0.54</v>
      </c>
      <c r="E3549" s="1" t="s">
        <v>113</v>
      </c>
      <c r="F3549" s="1" t="s">
        <v>113</v>
      </c>
      <c r="G3549" s="1" t="s">
        <v>113</v>
      </c>
      <c r="H3549" s="1" t="str">
        <f>VLOOKUP(F3549,Countries!$A$1:$B$161,2,0)</f>
        <v>United States of America</v>
      </c>
    </row>
    <row r="3550" spans="1:8" x14ac:dyDescent="0.3">
      <c r="A3550" s="3">
        <v>46250.181446759263</v>
      </c>
      <c r="B3550" s="1">
        <v>6.37</v>
      </c>
      <c r="C3550" s="1">
        <v>5.51</v>
      </c>
      <c r="D3550" s="1">
        <v>0.54</v>
      </c>
      <c r="E3550" s="1" t="s">
        <v>113</v>
      </c>
      <c r="F3550" s="1" t="s">
        <v>113</v>
      </c>
      <c r="G3550" s="1" t="s">
        <v>113</v>
      </c>
      <c r="H3550" s="1" t="str">
        <f>VLOOKUP(F3550,Countries!$A$1:$B$161,2,0)</f>
        <v>United States of America</v>
      </c>
    </row>
    <row r="3551" spans="1:8" x14ac:dyDescent="0.3">
      <c r="A3551" s="3">
        <v>46250.180763888893</v>
      </c>
      <c r="B3551" s="1">
        <v>36.96</v>
      </c>
      <c r="C3551" s="1">
        <v>31.95</v>
      </c>
      <c r="D3551" s="1">
        <v>1.93</v>
      </c>
      <c r="E3551" s="1" t="s">
        <v>113</v>
      </c>
      <c r="F3551" s="1" t="s">
        <v>113</v>
      </c>
      <c r="G3551" s="1" t="s">
        <v>113</v>
      </c>
      <c r="H3551" s="1" t="str">
        <f>VLOOKUP(F3551,Countries!$A$1:$B$161,2,0)</f>
        <v>United States of America</v>
      </c>
    </row>
    <row r="3552" spans="1:8" x14ac:dyDescent="0.3">
      <c r="A3552" s="3">
        <v>46250.180300925917</v>
      </c>
      <c r="B3552" s="1">
        <v>10.62</v>
      </c>
      <c r="C3552" s="1">
        <v>9.18</v>
      </c>
      <c r="D3552" s="1">
        <v>0.73</v>
      </c>
      <c r="E3552" s="1" t="s">
        <v>113</v>
      </c>
      <c r="F3552" s="1" t="s">
        <v>113</v>
      </c>
      <c r="G3552" s="1" t="s">
        <v>113</v>
      </c>
      <c r="H3552" s="1" t="str">
        <f>VLOOKUP(F3552,Countries!$A$1:$B$161,2,0)</f>
        <v>United States of America</v>
      </c>
    </row>
    <row r="3553" spans="1:8" x14ac:dyDescent="0.3">
      <c r="A3553" s="3">
        <v>46250.178136574083</v>
      </c>
      <c r="B3553" s="1">
        <v>6.37</v>
      </c>
      <c r="C3553" s="1">
        <v>5.51</v>
      </c>
      <c r="D3553" s="1">
        <v>0.54</v>
      </c>
      <c r="E3553" s="1" t="s">
        <v>113</v>
      </c>
      <c r="F3553" s="1" t="s">
        <v>113</v>
      </c>
      <c r="G3553" s="1" t="s">
        <v>113</v>
      </c>
      <c r="H3553" s="1" t="str">
        <f>VLOOKUP(F3553,Countries!$A$1:$B$161,2,0)</f>
        <v>United States of America</v>
      </c>
    </row>
    <row r="3554" spans="1:8" x14ac:dyDescent="0.3">
      <c r="A3554" s="3">
        <v>46250.134895833333</v>
      </c>
      <c r="B3554" s="1">
        <v>2.11</v>
      </c>
      <c r="C3554" s="1">
        <v>1.82</v>
      </c>
      <c r="D3554" s="1">
        <v>0.35</v>
      </c>
      <c r="E3554" s="1" t="s">
        <v>113</v>
      </c>
      <c r="F3554" s="1" t="s">
        <v>113</v>
      </c>
      <c r="G3554" s="1" t="s">
        <v>113</v>
      </c>
      <c r="H3554" s="1" t="str">
        <f>VLOOKUP(F3554,Countries!$A$1:$B$161,2,0)</f>
        <v>United States of America</v>
      </c>
    </row>
    <row r="3555" spans="1:8" x14ac:dyDescent="0.3">
      <c r="A3555" s="3">
        <v>46250.11383101852</v>
      </c>
      <c r="B3555" s="1">
        <v>6.37</v>
      </c>
      <c r="C3555" s="1">
        <v>5.51</v>
      </c>
      <c r="D3555" s="1">
        <v>0.54</v>
      </c>
      <c r="E3555" s="1" t="s">
        <v>113</v>
      </c>
      <c r="F3555" s="1" t="s">
        <v>113</v>
      </c>
      <c r="G3555" s="1" t="s">
        <v>113</v>
      </c>
      <c r="H3555" s="1" t="str">
        <f>VLOOKUP(F3555,Countries!$A$1:$B$161,2,0)</f>
        <v>United States of America</v>
      </c>
    </row>
    <row r="3556" spans="1:8" x14ac:dyDescent="0.3">
      <c r="A3556" s="3">
        <v>46250.107731481483</v>
      </c>
      <c r="B3556" s="1">
        <v>6.37</v>
      </c>
      <c r="C3556" s="1">
        <v>5.51</v>
      </c>
      <c r="D3556" s="1">
        <v>0.54</v>
      </c>
      <c r="E3556" s="1" t="s">
        <v>113</v>
      </c>
      <c r="F3556" s="1" t="s">
        <v>113</v>
      </c>
      <c r="G3556" s="1" t="s">
        <v>113</v>
      </c>
      <c r="H3556" s="1" t="str">
        <f>VLOOKUP(F3556,Countries!$A$1:$B$161,2,0)</f>
        <v>United States of America</v>
      </c>
    </row>
    <row r="3557" spans="1:8" x14ac:dyDescent="0.3">
      <c r="A3557" s="3">
        <v>46250.097048611111</v>
      </c>
      <c r="B3557" s="1">
        <v>6.37</v>
      </c>
      <c r="C3557" s="1">
        <v>5.51</v>
      </c>
      <c r="D3557" s="1">
        <v>0.54</v>
      </c>
      <c r="E3557" s="1" t="s">
        <v>113</v>
      </c>
      <c r="F3557" s="1" t="s">
        <v>113</v>
      </c>
      <c r="G3557" s="1" t="s">
        <v>113</v>
      </c>
      <c r="H3557" s="1" t="str">
        <f>VLOOKUP(F3557,Countries!$A$1:$B$161,2,0)</f>
        <v>United States of America</v>
      </c>
    </row>
    <row r="3558" spans="1:8" x14ac:dyDescent="0.3">
      <c r="A3558" s="3">
        <v>46250.094976851848</v>
      </c>
      <c r="B3558" s="1">
        <v>17.010000000000002</v>
      </c>
      <c r="C3558" s="1">
        <v>14.7</v>
      </c>
      <c r="D3558" s="1">
        <v>1.02</v>
      </c>
      <c r="E3558" s="1" t="s">
        <v>113</v>
      </c>
      <c r="F3558" s="1" t="s">
        <v>113</v>
      </c>
      <c r="G3558" s="1" t="s">
        <v>113</v>
      </c>
      <c r="H3558" s="1" t="str">
        <f>VLOOKUP(F3558,Countries!$A$1:$B$161,2,0)</f>
        <v>United States of America</v>
      </c>
    </row>
    <row r="3559" spans="1:8" x14ac:dyDescent="0.3">
      <c r="A3559" s="3">
        <v>46250.091087962966</v>
      </c>
      <c r="B3559" s="1">
        <v>14.77</v>
      </c>
      <c r="C3559" s="1">
        <v>12.77</v>
      </c>
      <c r="D3559" s="1">
        <v>0.93</v>
      </c>
      <c r="E3559" s="1" t="s">
        <v>113</v>
      </c>
      <c r="F3559" s="1" t="s">
        <v>113</v>
      </c>
      <c r="G3559" s="1" t="s">
        <v>113</v>
      </c>
      <c r="H3559" s="1" t="str">
        <f>VLOOKUP(F3559,Countries!$A$1:$B$161,2,0)</f>
        <v>United States of America</v>
      </c>
    </row>
    <row r="3560" spans="1:8" x14ac:dyDescent="0.3">
      <c r="A3560" s="3">
        <v>46250.085196759261</v>
      </c>
      <c r="B3560" s="1">
        <v>17.010000000000002</v>
      </c>
      <c r="C3560" s="1">
        <v>14.7</v>
      </c>
      <c r="D3560" s="1">
        <v>1.02</v>
      </c>
      <c r="E3560" s="1" t="s">
        <v>113</v>
      </c>
      <c r="F3560" s="1" t="s">
        <v>113</v>
      </c>
      <c r="G3560" s="1" t="s">
        <v>113</v>
      </c>
      <c r="H3560" s="1" t="str">
        <f>VLOOKUP(F3560,Countries!$A$1:$B$161,2,0)</f>
        <v>United States of America</v>
      </c>
    </row>
    <row r="3561" spans="1:8" x14ac:dyDescent="0.3">
      <c r="A3561" s="3">
        <v>46250.077280092592</v>
      </c>
      <c r="B3561" s="1">
        <v>6.37</v>
      </c>
      <c r="C3561" s="1">
        <v>5.51</v>
      </c>
      <c r="D3561" s="1">
        <v>0.54</v>
      </c>
      <c r="E3561" s="1" t="s">
        <v>113</v>
      </c>
      <c r="F3561" s="1" t="s">
        <v>113</v>
      </c>
      <c r="G3561" s="1" t="s">
        <v>113</v>
      </c>
      <c r="H3561" s="1" t="str">
        <f>VLOOKUP(F3561,Countries!$A$1:$B$161,2,0)</f>
        <v>United States of America</v>
      </c>
    </row>
    <row r="3562" spans="1:8" x14ac:dyDescent="0.3">
      <c r="A3562" s="3">
        <v>46250.073993055557</v>
      </c>
      <c r="B3562" s="1">
        <v>6.37</v>
      </c>
      <c r="C3562" s="1">
        <v>5.51</v>
      </c>
      <c r="D3562" s="1">
        <v>0.54</v>
      </c>
      <c r="E3562" s="1" t="s">
        <v>113</v>
      </c>
      <c r="F3562" s="1" t="s">
        <v>113</v>
      </c>
      <c r="G3562" s="1" t="s">
        <v>113</v>
      </c>
      <c r="H3562" s="1" t="str">
        <f>VLOOKUP(F3562,Countries!$A$1:$B$161,2,0)</f>
        <v>United States of America</v>
      </c>
    </row>
    <row r="3563" spans="1:8" x14ac:dyDescent="0.3">
      <c r="A3563" s="3">
        <v>46250.067002314812</v>
      </c>
      <c r="B3563" s="1">
        <v>3.18</v>
      </c>
      <c r="C3563" s="1">
        <v>2.75</v>
      </c>
      <c r="D3563" s="1">
        <v>0.4</v>
      </c>
      <c r="E3563" s="1" t="s">
        <v>113</v>
      </c>
      <c r="F3563" s="1" t="s">
        <v>113</v>
      </c>
      <c r="G3563" s="1" t="s">
        <v>113</v>
      </c>
      <c r="H3563" s="1" t="str">
        <f>VLOOKUP(F3563,Countries!$A$1:$B$161,2,0)</f>
        <v>United States of America</v>
      </c>
    </row>
    <row r="3564" spans="1:8" x14ac:dyDescent="0.3">
      <c r="A3564" s="3">
        <v>46250.053055555552</v>
      </c>
      <c r="B3564" s="1">
        <v>6.37</v>
      </c>
      <c r="C3564" s="1">
        <v>5.51</v>
      </c>
      <c r="D3564" s="1">
        <v>0.54</v>
      </c>
      <c r="E3564" s="1" t="s">
        <v>113</v>
      </c>
      <c r="F3564" s="1" t="s">
        <v>113</v>
      </c>
      <c r="G3564" s="1" t="s">
        <v>113</v>
      </c>
      <c r="H3564" s="1" t="str">
        <f>VLOOKUP(F3564,Countries!$A$1:$B$161,2,0)</f>
        <v>United States of America</v>
      </c>
    </row>
    <row r="3565" spans="1:8" x14ac:dyDescent="0.3">
      <c r="A3565" s="3">
        <v>46250.052314814813</v>
      </c>
      <c r="B3565" s="1">
        <v>12.97</v>
      </c>
      <c r="C3565" s="1">
        <v>11.21</v>
      </c>
      <c r="D3565" s="1">
        <v>0.64</v>
      </c>
      <c r="E3565" s="1" t="s">
        <v>112</v>
      </c>
      <c r="F3565" s="1" t="s">
        <v>112</v>
      </c>
      <c r="G3565" s="1" t="s">
        <v>112</v>
      </c>
      <c r="H3565" s="1" t="str">
        <f>VLOOKUP(F3565,Countries!$A$1:$B$161,2,0)</f>
        <v>Ireland</v>
      </c>
    </row>
    <row r="3566" spans="1:8" x14ac:dyDescent="0.3">
      <c r="A3566" s="3">
        <v>46250.046377314808</v>
      </c>
      <c r="B3566" s="1">
        <v>12.97</v>
      </c>
      <c r="C3566" s="1">
        <v>11.21</v>
      </c>
      <c r="D3566" s="1">
        <v>0.64</v>
      </c>
      <c r="E3566" s="1" t="s">
        <v>112</v>
      </c>
      <c r="F3566" s="1" t="s">
        <v>112</v>
      </c>
      <c r="G3566" s="1" t="s">
        <v>112</v>
      </c>
      <c r="H3566" s="1" t="str">
        <f>VLOOKUP(F3566,Countries!$A$1:$B$161,2,0)</f>
        <v>Ireland</v>
      </c>
    </row>
    <row r="3567" spans="1:8" x14ac:dyDescent="0.3">
      <c r="A3567" s="3">
        <v>46250.045162037037</v>
      </c>
      <c r="B3567" s="1">
        <v>26.59</v>
      </c>
      <c r="C3567" s="1">
        <v>22.98</v>
      </c>
      <c r="D3567" s="1">
        <v>1.46</v>
      </c>
      <c r="E3567" s="1" t="s">
        <v>113</v>
      </c>
      <c r="F3567" s="1" t="s">
        <v>113</v>
      </c>
      <c r="G3567" s="1" t="s">
        <v>113</v>
      </c>
      <c r="H3567" s="1" t="str">
        <f>VLOOKUP(F3567,Countries!$A$1:$B$161,2,0)</f>
        <v>United States of America</v>
      </c>
    </row>
    <row r="3568" spans="1:8" x14ac:dyDescent="0.3">
      <c r="A3568" s="3">
        <v>46250.041226851848</v>
      </c>
      <c r="B3568" s="1">
        <v>12.97</v>
      </c>
      <c r="C3568" s="1">
        <v>11.21</v>
      </c>
      <c r="D3568" s="1">
        <v>0.64</v>
      </c>
      <c r="E3568" s="1" t="s">
        <v>112</v>
      </c>
      <c r="F3568" s="1" t="s">
        <v>112</v>
      </c>
      <c r="G3568" s="1" t="s">
        <v>112</v>
      </c>
      <c r="H3568" s="1" t="str">
        <f>VLOOKUP(F3568,Countries!$A$1:$B$161,2,0)</f>
        <v>Ireland</v>
      </c>
    </row>
    <row r="3569" spans="1:8" x14ac:dyDescent="0.3">
      <c r="A3569" s="3">
        <v>46250.039803240739</v>
      </c>
      <c r="B3569" s="1">
        <v>7.39</v>
      </c>
      <c r="C3569" s="1">
        <v>6.39</v>
      </c>
      <c r="D3569" s="1">
        <v>0.48</v>
      </c>
      <c r="E3569" s="1" t="s">
        <v>159</v>
      </c>
      <c r="F3569" s="1" t="s">
        <v>159</v>
      </c>
      <c r="G3569" s="1" t="s">
        <v>159</v>
      </c>
      <c r="H3569" s="1" t="str">
        <f>VLOOKUP(F3569,Countries!$A$1:$B$161,2,0)</f>
        <v>Romania</v>
      </c>
    </row>
    <row r="3570" spans="1:8" x14ac:dyDescent="0.3">
      <c r="A3570" s="3">
        <v>46250.038773148153</v>
      </c>
      <c r="B3570" s="1">
        <v>6.37</v>
      </c>
      <c r="C3570" s="1">
        <v>5.51</v>
      </c>
      <c r="D3570" s="1">
        <v>0.54</v>
      </c>
      <c r="E3570" s="1" t="s">
        <v>113</v>
      </c>
      <c r="F3570" s="1" t="s">
        <v>113</v>
      </c>
      <c r="G3570" s="1" t="s">
        <v>113</v>
      </c>
      <c r="H3570" s="1" t="str">
        <f>VLOOKUP(F3570,Countries!$A$1:$B$161,2,0)</f>
        <v>United States of America</v>
      </c>
    </row>
    <row r="3571" spans="1:8" x14ac:dyDescent="0.3">
      <c r="A3571" s="3">
        <v>46250.036863425928</v>
      </c>
      <c r="B3571" s="1">
        <v>6.37</v>
      </c>
      <c r="C3571" s="1">
        <v>5.51</v>
      </c>
      <c r="D3571" s="1">
        <v>0.54</v>
      </c>
      <c r="E3571" s="1" t="s">
        <v>113</v>
      </c>
      <c r="F3571" s="1" t="s">
        <v>113</v>
      </c>
      <c r="G3571" s="1" t="s">
        <v>113</v>
      </c>
      <c r="H3571" s="1" t="str">
        <f>VLOOKUP(F3571,Countries!$A$1:$B$161,2,0)</f>
        <v>United States of America</v>
      </c>
    </row>
    <row r="3572" spans="1:8" x14ac:dyDescent="0.3">
      <c r="A3572" s="3">
        <v>46250.030891203707</v>
      </c>
      <c r="B3572" s="1">
        <v>2.99</v>
      </c>
      <c r="C3572" s="1">
        <v>2.58</v>
      </c>
      <c r="D3572" s="1">
        <v>0.38</v>
      </c>
      <c r="E3572" s="1"/>
      <c r="F3572" s="1" t="s">
        <v>113</v>
      </c>
      <c r="G3572" s="1" t="s">
        <v>113</v>
      </c>
      <c r="H3572" s="1" t="str">
        <f>VLOOKUP(F3572,Countries!$A$1:$B$161,2,0)</f>
        <v>United States of America</v>
      </c>
    </row>
    <row r="3573" spans="1:8" x14ac:dyDescent="0.3">
      <c r="A3573" s="3">
        <v>46250.023136574076</v>
      </c>
      <c r="B3573" s="1">
        <v>7.48</v>
      </c>
      <c r="C3573" s="1">
        <v>6.47</v>
      </c>
      <c r="D3573" s="1">
        <v>0.48</v>
      </c>
      <c r="E3573" s="1" t="s">
        <v>123</v>
      </c>
      <c r="F3573" s="1" t="s">
        <v>123</v>
      </c>
      <c r="G3573" s="1" t="s">
        <v>123</v>
      </c>
      <c r="H3573" s="1" t="str">
        <f>VLOOKUP(F3573,Countries!$A$1:$B$161,2,0)</f>
        <v>France</v>
      </c>
    </row>
    <row r="3574" spans="1:8" x14ac:dyDescent="0.3">
      <c r="A3574" s="3">
        <v>46250.0156712963</v>
      </c>
      <c r="B3574" s="1">
        <v>3.18</v>
      </c>
      <c r="C3574" s="1">
        <v>2.75</v>
      </c>
      <c r="D3574" s="1">
        <v>0.4</v>
      </c>
      <c r="E3574" s="1" t="s">
        <v>113</v>
      </c>
      <c r="F3574" s="1" t="s">
        <v>113</v>
      </c>
      <c r="G3574" s="1" t="s">
        <v>113</v>
      </c>
      <c r="H3574" s="1" t="str">
        <f>VLOOKUP(F3574,Countries!$A$1:$B$161,2,0)</f>
        <v>United States of America</v>
      </c>
    </row>
    <row r="3575" spans="1:8" x14ac:dyDescent="0.3">
      <c r="A3575" s="3">
        <v>46250.014386574083</v>
      </c>
      <c r="B3575" s="1">
        <v>3.14</v>
      </c>
      <c r="C3575" s="1">
        <v>2.71</v>
      </c>
      <c r="D3575" s="1">
        <v>0.39</v>
      </c>
      <c r="E3575" s="1" t="s">
        <v>143</v>
      </c>
      <c r="F3575" s="1" t="s">
        <v>143</v>
      </c>
      <c r="G3575" s="1" t="s">
        <v>143</v>
      </c>
      <c r="H3575" s="1" t="str">
        <f>VLOOKUP(F3575,Countries!$A$1:$B$161,2,0)</f>
        <v>United Arab Emirates</v>
      </c>
    </row>
    <row r="3576" spans="1:8" x14ac:dyDescent="0.3">
      <c r="A3576" s="3">
        <v>46250.012175925927</v>
      </c>
      <c r="B3576" s="1">
        <v>3.99</v>
      </c>
      <c r="C3576" s="1">
        <v>3.45</v>
      </c>
      <c r="D3576" s="1">
        <v>0.37</v>
      </c>
      <c r="E3576" s="1" t="s">
        <v>137</v>
      </c>
      <c r="F3576" s="1" t="s">
        <v>137</v>
      </c>
      <c r="G3576" s="1" t="s">
        <v>137</v>
      </c>
      <c r="H3576" s="1" t="str">
        <f>VLOOKUP(F3576,Countries!$A$1:$B$161,2,0)</f>
        <v>Poland</v>
      </c>
    </row>
    <row r="3577" spans="1:8" x14ac:dyDescent="0.3">
      <c r="A3577" s="3">
        <v>46249.988796296297</v>
      </c>
      <c r="B3577" s="1">
        <v>1.99</v>
      </c>
      <c r="C3577" s="1">
        <v>1.72</v>
      </c>
      <c r="D3577" s="1">
        <v>0.31</v>
      </c>
      <c r="E3577" s="1" t="s">
        <v>151</v>
      </c>
      <c r="F3577" s="1" t="s">
        <v>151</v>
      </c>
      <c r="G3577" s="1" t="s">
        <v>151</v>
      </c>
      <c r="H3577" s="1" t="str">
        <f>VLOOKUP(F3577,Countries!$A$1:$B$161,2,0)</f>
        <v>Netherlands (Holland)</v>
      </c>
    </row>
    <row r="3578" spans="1:8" x14ac:dyDescent="0.3">
      <c r="A3578" s="3">
        <v>46249.981296296297</v>
      </c>
      <c r="B3578" s="1">
        <v>5.99</v>
      </c>
      <c r="C3578" s="1">
        <v>5.18</v>
      </c>
      <c r="D3578" s="1">
        <v>0.52</v>
      </c>
      <c r="E3578" s="1"/>
      <c r="F3578" s="1" t="s">
        <v>113</v>
      </c>
      <c r="G3578" s="1" t="s">
        <v>113</v>
      </c>
      <c r="H3578" s="1" t="str">
        <f>VLOOKUP(F3578,Countries!$A$1:$B$161,2,0)</f>
        <v>United States of America</v>
      </c>
    </row>
    <row r="3579" spans="1:8" x14ac:dyDescent="0.3">
      <c r="A3579" s="3">
        <v>46249.972129629627</v>
      </c>
      <c r="B3579" s="1">
        <v>2.99</v>
      </c>
      <c r="C3579" s="1">
        <v>2.58</v>
      </c>
      <c r="D3579" s="1">
        <v>0.38</v>
      </c>
      <c r="E3579" s="1" t="s">
        <v>113</v>
      </c>
      <c r="F3579" s="1" t="s">
        <v>113</v>
      </c>
      <c r="G3579" s="1" t="s">
        <v>113</v>
      </c>
      <c r="H3579" s="1" t="str">
        <f>VLOOKUP(F3579,Countries!$A$1:$B$161,2,0)</f>
        <v>United States of America</v>
      </c>
    </row>
    <row r="3580" spans="1:8" x14ac:dyDescent="0.3">
      <c r="A3580" s="3">
        <v>46249.970682870371</v>
      </c>
      <c r="B3580" s="1">
        <v>6.58</v>
      </c>
      <c r="C3580" s="1">
        <v>5.69</v>
      </c>
      <c r="D3580" s="1">
        <v>0.54</v>
      </c>
      <c r="E3580" s="1" t="s">
        <v>167</v>
      </c>
      <c r="F3580" s="1" t="s">
        <v>152</v>
      </c>
      <c r="G3580" s="1" t="s">
        <v>152</v>
      </c>
      <c r="H3580" s="1" t="str">
        <f>VLOOKUP(F3580,Countries!$A$1:$B$161,2,0)</f>
        <v>Singapore</v>
      </c>
    </row>
    <row r="3581" spans="1:8" x14ac:dyDescent="0.3">
      <c r="A3581" s="3">
        <v>46249.967893518522</v>
      </c>
      <c r="B3581" s="1">
        <v>6.37</v>
      </c>
      <c r="C3581" s="1">
        <v>5.51</v>
      </c>
      <c r="D3581" s="1">
        <v>0.54</v>
      </c>
      <c r="E3581" s="1" t="s">
        <v>113</v>
      </c>
      <c r="F3581" s="1" t="s">
        <v>113</v>
      </c>
      <c r="G3581" s="1" t="s">
        <v>113</v>
      </c>
      <c r="H3581" s="1" t="str">
        <f>VLOOKUP(F3581,Countries!$A$1:$B$161,2,0)</f>
        <v>United States of America</v>
      </c>
    </row>
    <row r="3582" spans="1:8" x14ac:dyDescent="0.3">
      <c r="A3582" s="3">
        <v>46249.96429398148</v>
      </c>
      <c r="B3582" s="1">
        <v>6.3</v>
      </c>
      <c r="C3582" s="1">
        <v>5.45</v>
      </c>
      <c r="D3582" s="1">
        <v>0.54</v>
      </c>
      <c r="E3582" s="1" t="s">
        <v>132</v>
      </c>
      <c r="F3582" s="1" t="s">
        <v>132</v>
      </c>
      <c r="G3582" s="1" t="s">
        <v>132</v>
      </c>
      <c r="H3582" s="1" t="str">
        <f>VLOOKUP(F3582,Countries!$A$1:$B$161,2,0)</f>
        <v>Canada</v>
      </c>
    </row>
    <row r="3583" spans="1:8" x14ac:dyDescent="0.3">
      <c r="A3583" s="3">
        <v>46249.95989583333</v>
      </c>
      <c r="B3583" s="1">
        <v>6.58</v>
      </c>
      <c r="C3583" s="1">
        <v>5.69</v>
      </c>
      <c r="D3583" s="1">
        <v>0.54</v>
      </c>
      <c r="E3583" s="1" t="s">
        <v>152</v>
      </c>
      <c r="F3583" s="1" t="s">
        <v>152</v>
      </c>
      <c r="G3583" s="1" t="s">
        <v>152</v>
      </c>
      <c r="H3583" s="1" t="str">
        <f>VLOOKUP(F3583,Countries!$A$1:$B$161,2,0)</f>
        <v>Singapore</v>
      </c>
    </row>
    <row r="3584" spans="1:8" x14ac:dyDescent="0.3">
      <c r="A3584" s="3">
        <v>46249.954456018517</v>
      </c>
      <c r="B3584" s="1">
        <v>3.98</v>
      </c>
      <c r="C3584" s="1">
        <v>3.44</v>
      </c>
      <c r="D3584" s="1">
        <v>0.37</v>
      </c>
      <c r="E3584" s="1" t="s">
        <v>178</v>
      </c>
      <c r="F3584" s="1" t="s">
        <v>178</v>
      </c>
      <c r="G3584" s="1" t="s">
        <v>178</v>
      </c>
      <c r="H3584" s="1" t="str">
        <f>VLOOKUP(F3584,Countries!$A$1:$B$161,2,0)</f>
        <v>Sweden</v>
      </c>
    </row>
    <row r="3585" spans="1:8" x14ac:dyDescent="0.3">
      <c r="A3585" s="3">
        <v>46249.95380787037</v>
      </c>
      <c r="B3585" s="1">
        <v>2.11</v>
      </c>
      <c r="C3585" s="1">
        <v>1.82</v>
      </c>
      <c r="D3585" s="1">
        <v>0.35</v>
      </c>
      <c r="E3585" s="1" t="s">
        <v>113</v>
      </c>
      <c r="F3585" s="1" t="s">
        <v>113</v>
      </c>
      <c r="G3585" s="1" t="s">
        <v>113</v>
      </c>
      <c r="H3585" s="1" t="str">
        <f>VLOOKUP(F3585,Countries!$A$1:$B$161,2,0)</f>
        <v>United States of America</v>
      </c>
    </row>
    <row r="3586" spans="1:8" x14ac:dyDescent="0.3">
      <c r="A3586" s="3">
        <v>46249.950821759259</v>
      </c>
      <c r="B3586" s="1">
        <v>6.3</v>
      </c>
      <c r="C3586" s="1">
        <v>5.45</v>
      </c>
      <c r="D3586" s="1">
        <v>0.54</v>
      </c>
      <c r="E3586" s="1" t="s">
        <v>132</v>
      </c>
      <c r="F3586" s="1" t="s">
        <v>132</v>
      </c>
      <c r="G3586" s="1" t="s">
        <v>132</v>
      </c>
      <c r="H3586" s="1" t="str">
        <f>VLOOKUP(F3586,Countries!$A$1:$B$161,2,0)</f>
        <v>Canada</v>
      </c>
    </row>
    <row r="3587" spans="1:8" x14ac:dyDescent="0.3">
      <c r="A3587" s="3">
        <v>46249.95003472222</v>
      </c>
      <c r="B3587" s="1">
        <v>17.010000000000002</v>
      </c>
      <c r="C3587" s="1">
        <v>14.7</v>
      </c>
      <c r="D3587" s="1">
        <v>1.02</v>
      </c>
      <c r="E3587" s="1" t="s">
        <v>113</v>
      </c>
      <c r="F3587" s="1" t="s">
        <v>113</v>
      </c>
      <c r="G3587" s="1" t="s">
        <v>113</v>
      </c>
      <c r="H3587" s="1" t="str">
        <f>VLOOKUP(F3587,Countries!$A$1:$B$161,2,0)</f>
        <v>United States of America</v>
      </c>
    </row>
    <row r="3588" spans="1:8" x14ac:dyDescent="0.3">
      <c r="A3588" s="3">
        <v>46249.940104166657</v>
      </c>
      <c r="B3588" s="1">
        <v>42.54</v>
      </c>
      <c r="C3588" s="1">
        <v>36.770000000000003</v>
      </c>
      <c r="D3588" s="1">
        <v>2.19</v>
      </c>
      <c r="E3588" s="1" t="s">
        <v>113</v>
      </c>
      <c r="F3588" s="1" t="s">
        <v>113</v>
      </c>
      <c r="G3588" s="1" t="s">
        <v>113</v>
      </c>
      <c r="H3588" s="1" t="str">
        <f>VLOOKUP(F3588,Countries!$A$1:$B$161,2,0)</f>
        <v>United States of America</v>
      </c>
    </row>
    <row r="3589" spans="1:8" x14ac:dyDescent="0.3">
      <c r="A3589" s="3">
        <v>46249.937245370369</v>
      </c>
      <c r="B3589" s="1">
        <v>3.88</v>
      </c>
      <c r="C3589" s="1">
        <v>3.35</v>
      </c>
      <c r="D3589" s="1">
        <v>0.37</v>
      </c>
      <c r="E3589" s="1" t="s">
        <v>137</v>
      </c>
      <c r="F3589" s="1" t="s">
        <v>137</v>
      </c>
      <c r="G3589" s="1" t="s">
        <v>137</v>
      </c>
      <c r="H3589" s="1" t="str">
        <f>VLOOKUP(F3589,Countries!$A$1:$B$161,2,0)</f>
        <v>Poland</v>
      </c>
    </row>
    <row r="3590" spans="1:8" x14ac:dyDescent="0.3">
      <c r="A3590" s="3">
        <v>46249.931504629632</v>
      </c>
      <c r="B3590" s="1">
        <v>17.010000000000002</v>
      </c>
      <c r="C3590" s="1">
        <v>14.7</v>
      </c>
      <c r="D3590" s="1">
        <v>1.02</v>
      </c>
      <c r="E3590" s="1" t="s">
        <v>113</v>
      </c>
      <c r="F3590" s="1" t="s">
        <v>113</v>
      </c>
      <c r="G3590" s="1" t="s">
        <v>113</v>
      </c>
      <c r="H3590" s="1" t="str">
        <f>VLOOKUP(F3590,Countries!$A$1:$B$161,2,0)</f>
        <v>United States of America</v>
      </c>
    </row>
    <row r="3591" spans="1:8" x14ac:dyDescent="0.3">
      <c r="A3591" s="3">
        <v>46249.930879629632</v>
      </c>
      <c r="B3591" s="1">
        <v>3.18</v>
      </c>
      <c r="C3591" s="1">
        <v>2.75</v>
      </c>
      <c r="D3591" s="1">
        <v>0.4</v>
      </c>
      <c r="E3591" s="1" t="s">
        <v>113</v>
      </c>
      <c r="F3591" s="1" t="s">
        <v>113</v>
      </c>
      <c r="G3591" s="1" t="s">
        <v>113</v>
      </c>
      <c r="H3591" s="1" t="str">
        <f>VLOOKUP(F3591,Countries!$A$1:$B$161,2,0)</f>
        <v>United States of America</v>
      </c>
    </row>
    <row r="3592" spans="1:8" x14ac:dyDescent="0.3">
      <c r="A3592" s="3">
        <v>46249.926712962973</v>
      </c>
      <c r="B3592" s="1">
        <v>2.99</v>
      </c>
      <c r="C3592" s="1">
        <v>2.58</v>
      </c>
      <c r="D3592" s="1">
        <v>0.38</v>
      </c>
      <c r="E3592" s="1" t="s">
        <v>209</v>
      </c>
      <c r="F3592" s="1" t="s">
        <v>209</v>
      </c>
      <c r="G3592" s="1" t="s">
        <v>209</v>
      </c>
      <c r="H3592" s="1" t="str">
        <f>VLOOKUP(F3592,Countries!$A$1:$B$161,2,0)</f>
        <v>Bolivia</v>
      </c>
    </row>
    <row r="3593" spans="1:8" x14ac:dyDescent="0.3">
      <c r="A3593" s="3">
        <v>46249.913136574083</v>
      </c>
      <c r="B3593" s="1">
        <v>6.51</v>
      </c>
      <c r="C3593" s="1">
        <v>5.63</v>
      </c>
      <c r="D3593" s="1">
        <v>0.44</v>
      </c>
      <c r="E3593" s="1" t="s">
        <v>124</v>
      </c>
      <c r="F3593" s="1" t="s">
        <v>124</v>
      </c>
      <c r="G3593" s="1" t="s">
        <v>124</v>
      </c>
      <c r="H3593" s="1" t="str">
        <f>VLOOKUP(F3593,Countries!$A$1:$B$161,2,0)</f>
        <v>Italy</v>
      </c>
    </row>
    <row r="3594" spans="1:8" x14ac:dyDescent="0.3">
      <c r="A3594" s="3">
        <v>46249.898009259261</v>
      </c>
      <c r="B3594" s="1">
        <v>6.37</v>
      </c>
      <c r="C3594" s="1">
        <v>5.51</v>
      </c>
      <c r="D3594" s="1">
        <v>0.54</v>
      </c>
      <c r="E3594" s="1" t="s">
        <v>113</v>
      </c>
      <c r="F3594" s="1" t="s">
        <v>113</v>
      </c>
      <c r="G3594" s="1" t="s">
        <v>113</v>
      </c>
      <c r="H3594" s="1" t="str">
        <f>VLOOKUP(F3594,Countries!$A$1:$B$161,2,0)</f>
        <v>United States of America</v>
      </c>
    </row>
    <row r="3595" spans="1:8" x14ac:dyDescent="0.3">
      <c r="A3595" s="3">
        <v>46249.894456018519</v>
      </c>
      <c r="B3595" s="1">
        <v>6.37</v>
      </c>
      <c r="C3595" s="1">
        <v>5.51</v>
      </c>
      <c r="D3595" s="1">
        <v>0.54</v>
      </c>
      <c r="E3595" s="1" t="s">
        <v>113</v>
      </c>
      <c r="F3595" s="1" t="s">
        <v>113</v>
      </c>
      <c r="G3595" s="1" t="s">
        <v>113</v>
      </c>
      <c r="H3595" s="1" t="str">
        <f>VLOOKUP(F3595,Countries!$A$1:$B$161,2,0)</f>
        <v>United States of America</v>
      </c>
    </row>
    <row r="3596" spans="1:8" x14ac:dyDescent="0.3">
      <c r="A3596" s="3">
        <v>46249.885011574072</v>
      </c>
      <c r="B3596" s="1">
        <v>3.88</v>
      </c>
      <c r="C3596" s="1">
        <v>3.35</v>
      </c>
      <c r="D3596" s="1">
        <v>0.37</v>
      </c>
      <c r="E3596" s="1" t="s">
        <v>137</v>
      </c>
      <c r="F3596" s="1" t="s">
        <v>137</v>
      </c>
      <c r="G3596" s="1" t="s">
        <v>137</v>
      </c>
      <c r="H3596" s="1" t="str">
        <f>VLOOKUP(F3596,Countries!$A$1:$B$161,2,0)</f>
        <v>Poland</v>
      </c>
    </row>
    <row r="3597" spans="1:8" x14ac:dyDescent="0.3">
      <c r="A3597" s="3">
        <v>46249.878148148149</v>
      </c>
      <c r="B3597" s="1">
        <v>3.39</v>
      </c>
      <c r="C3597" s="1">
        <v>2.93</v>
      </c>
      <c r="D3597" s="1">
        <v>0.41</v>
      </c>
      <c r="E3597" s="1" t="s">
        <v>114</v>
      </c>
      <c r="F3597" s="1" t="s">
        <v>114</v>
      </c>
      <c r="G3597" s="1" t="s">
        <v>114</v>
      </c>
      <c r="H3597" s="1" t="str">
        <f>VLOOKUP(F3597,Countries!$A$1:$B$161,2,0)</f>
        <v>Philippines</v>
      </c>
    </row>
    <row r="3598" spans="1:8" x14ac:dyDescent="0.3">
      <c r="A3598" s="3">
        <v>46249.856412037043</v>
      </c>
      <c r="B3598" s="1">
        <v>6.65</v>
      </c>
      <c r="C3598" s="1">
        <v>5.75</v>
      </c>
      <c r="D3598" s="1">
        <v>0.56000000000000005</v>
      </c>
      <c r="E3598" s="1" t="s">
        <v>121</v>
      </c>
      <c r="F3598" s="1" t="s">
        <v>121</v>
      </c>
      <c r="G3598" s="1" t="s">
        <v>121</v>
      </c>
      <c r="H3598" s="1" t="str">
        <f>VLOOKUP(F3598,Countries!$A$1:$B$161,2,0)</f>
        <v>Japan</v>
      </c>
    </row>
    <row r="3599" spans="1:8" x14ac:dyDescent="0.3">
      <c r="A3599" s="3">
        <v>46249.850474537037</v>
      </c>
      <c r="B3599" s="1">
        <v>6.3</v>
      </c>
      <c r="C3599" s="1">
        <v>5.45</v>
      </c>
      <c r="D3599" s="1">
        <v>0.54</v>
      </c>
      <c r="E3599" s="1" t="s">
        <v>143</v>
      </c>
      <c r="F3599" s="1" t="s">
        <v>143</v>
      </c>
      <c r="G3599" s="1" t="s">
        <v>143</v>
      </c>
      <c r="H3599" s="1" t="str">
        <f>VLOOKUP(F3599,Countries!$A$1:$B$161,2,0)</f>
        <v>United Arab Emirates</v>
      </c>
    </row>
    <row r="3600" spans="1:8" x14ac:dyDescent="0.3">
      <c r="A3600" s="3">
        <v>46249.850034722222</v>
      </c>
      <c r="B3600" s="1">
        <v>17.36</v>
      </c>
      <c r="C3600" s="1">
        <v>15</v>
      </c>
      <c r="D3600" s="1">
        <v>0.93</v>
      </c>
      <c r="E3600" s="1" t="s">
        <v>119</v>
      </c>
      <c r="F3600" s="1" t="s">
        <v>119</v>
      </c>
      <c r="G3600" s="1" t="s">
        <v>119</v>
      </c>
      <c r="H3600" s="1" t="str">
        <f>VLOOKUP(F3600,Countries!$A$1:$B$161,2,0)</f>
        <v>Great Britain (United Kingdom)</v>
      </c>
    </row>
    <row r="3601" spans="1:8" x14ac:dyDescent="0.3">
      <c r="A3601" s="3">
        <v>46249.84034722222</v>
      </c>
      <c r="B3601" s="1">
        <v>13.89</v>
      </c>
      <c r="C3601" s="1">
        <v>12.01</v>
      </c>
      <c r="D3601" s="1">
        <v>0.88</v>
      </c>
      <c r="E3601" s="1" t="s">
        <v>135</v>
      </c>
      <c r="F3601" s="1" t="s">
        <v>135</v>
      </c>
      <c r="G3601" s="1" t="s">
        <v>135</v>
      </c>
      <c r="H3601" s="1" t="str">
        <f>VLOOKUP(F3601,Countries!$A$1:$B$161,2,0)</f>
        <v>Kuwait</v>
      </c>
    </row>
    <row r="3602" spans="1:8" x14ac:dyDescent="0.3">
      <c r="A3602" s="3">
        <v>46249.836840277778</v>
      </c>
      <c r="B3602" s="1">
        <v>20.85</v>
      </c>
      <c r="C3602" s="1">
        <v>18.02</v>
      </c>
      <c r="D3602" s="1">
        <v>1.2</v>
      </c>
      <c r="E3602" s="1" t="s">
        <v>135</v>
      </c>
      <c r="F3602" s="1" t="s">
        <v>135</v>
      </c>
      <c r="G3602" s="1" t="s">
        <v>135</v>
      </c>
      <c r="H3602" s="1" t="str">
        <f>VLOOKUP(F3602,Countries!$A$1:$B$161,2,0)</f>
        <v>Kuwait</v>
      </c>
    </row>
    <row r="3603" spans="1:8" x14ac:dyDescent="0.3">
      <c r="A3603" s="3">
        <v>46249.83630787037</v>
      </c>
      <c r="B3603" s="1">
        <v>17.010000000000002</v>
      </c>
      <c r="C3603" s="1">
        <v>14.7</v>
      </c>
      <c r="D3603" s="1">
        <v>1.02</v>
      </c>
      <c r="E3603" s="1" t="s">
        <v>113</v>
      </c>
      <c r="F3603" s="1" t="s">
        <v>113</v>
      </c>
      <c r="G3603" s="1" t="s">
        <v>113</v>
      </c>
      <c r="H3603" s="1" t="str">
        <f>VLOOKUP(F3603,Countries!$A$1:$B$161,2,0)</f>
        <v>United States of America</v>
      </c>
    </row>
    <row r="3604" spans="1:8" x14ac:dyDescent="0.3">
      <c r="A3604" s="3">
        <v>46249.835532407407</v>
      </c>
      <c r="B3604" s="1">
        <v>2.99</v>
      </c>
      <c r="C3604" s="1">
        <v>2.58</v>
      </c>
      <c r="D3604" s="1">
        <v>0.34</v>
      </c>
      <c r="E3604" s="1" t="s">
        <v>120</v>
      </c>
      <c r="F3604" s="1" t="s">
        <v>120</v>
      </c>
      <c r="G3604" s="1" t="s">
        <v>120</v>
      </c>
      <c r="H3604" s="1" t="str">
        <f>VLOOKUP(F3604,Countries!$A$1:$B$161,2,0)</f>
        <v>Czech Republic</v>
      </c>
    </row>
    <row r="3605" spans="1:8" x14ac:dyDescent="0.3">
      <c r="A3605" s="3">
        <v>46249.83394675926</v>
      </c>
      <c r="B3605" s="1">
        <v>6.65</v>
      </c>
      <c r="C3605" s="1">
        <v>5.75</v>
      </c>
      <c r="D3605" s="1">
        <v>0.56000000000000005</v>
      </c>
      <c r="E3605" s="1" t="s">
        <v>121</v>
      </c>
      <c r="F3605" s="1" t="s">
        <v>121</v>
      </c>
      <c r="G3605" s="1" t="s">
        <v>121</v>
      </c>
      <c r="H3605" s="1" t="str">
        <f>VLOOKUP(F3605,Countries!$A$1:$B$161,2,0)</f>
        <v>Japan</v>
      </c>
    </row>
    <row r="3606" spans="1:8" x14ac:dyDescent="0.3">
      <c r="A3606" s="3">
        <v>46249.833287037043</v>
      </c>
      <c r="B3606" s="1">
        <v>17.36</v>
      </c>
      <c r="C3606" s="1">
        <v>15</v>
      </c>
      <c r="D3606" s="1">
        <v>0.93</v>
      </c>
      <c r="E3606" s="1" t="s">
        <v>119</v>
      </c>
      <c r="F3606" s="1" t="s">
        <v>119</v>
      </c>
      <c r="G3606" s="1" t="s">
        <v>119</v>
      </c>
      <c r="H3606" s="1" t="str">
        <f>VLOOKUP(F3606,Countries!$A$1:$B$161,2,0)</f>
        <v>Great Britain (United Kingdom)</v>
      </c>
    </row>
    <row r="3607" spans="1:8" x14ac:dyDescent="0.3">
      <c r="A3607" s="3">
        <v>46249.832881944443</v>
      </c>
      <c r="B3607" s="1">
        <v>7.58</v>
      </c>
      <c r="C3607" s="1">
        <v>6.55</v>
      </c>
      <c r="D3607" s="1">
        <v>0.48</v>
      </c>
      <c r="E3607" s="1" t="s">
        <v>116</v>
      </c>
      <c r="F3607" s="1" t="s">
        <v>116</v>
      </c>
      <c r="G3607" s="1" t="s">
        <v>116</v>
      </c>
      <c r="H3607" s="1" t="str">
        <f>VLOOKUP(F3607,Countries!$A$1:$B$161,2,0)</f>
        <v>Spain</v>
      </c>
    </row>
    <row r="3608" spans="1:8" x14ac:dyDescent="0.3">
      <c r="A3608" s="3">
        <v>46249.830925925933</v>
      </c>
      <c r="B3608" s="1">
        <v>3.83</v>
      </c>
      <c r="C3608" s="1">
        <v>3.31</v>
      </c>
      <c r="D3608" s="1">
        <v>0.37</v>
      </c>
      <c r="E3608" s="1" t="s">
        <v>124</v>
      </c>
      <c r="F3608" s="1" t="s">
        <v>124</v>
      </c>
      <c r="G3608" s="1" t="s">
        <v>124</v>
      </c>
      <c r="H3608" s="1" t="str">
        <f>VLOOKUP(F3608,Countries!$A$1:$B$161,2,0)</f>
        <v>Italy</v>
      </c>
    </row>
    <row r="3609" spans="1:8" x14ac:dyDescent="0.3">
      <c r="A3609" s="3">
        <v>46249.827789351853</v>
      </c>
      <c r="B3609" s="1">
        <v>7.04</v>
      </c>
      <c r="C3609" s="1">
        <v>6.08</v>
      </c>
      <c r="D3609" s="1">
        <v>0.56999999999999995</v>
      </c>
      <c r="E3609" s="1" t="s">
        <v>163</v>
      </c>
      <c r="F3609" s="1" t="s">
        <v>163</v>
      </c>
      <c r="G3609" s="1" t="s">
        <v>163</v>
      </c>
      <c r="H3609" s="1" t="str">
        <f>VLOOKUP(F3609,Countries!$A$1:$B$161,2,0)</f>
        <v>Saudi Arabia</v>
      </c>
    </row>
    <row r="3610" spans="1:8" x14ac:dyDescent="0.3">
      <c r="A3610" s="3">
        <v>46249.827326388891</v>
      </c>
      <c r="B3610" s="1">
        <v>6.65</v>
      </c>
      <c r="C3610" s="1">
        <v>5.75</v>
      </c>
      <c r="D3610" s="1">
        <v>0.56000000000000005</v>
      </c>
      <c r="E3610" s="1" t="s">
        <v>130</v>
      </c>
      <c r="F3610" s="1" t="s">
        <v>130</v>
      </c>
      <c r="G3610" s="1" t="s">
        <v>130</v>
      </c>
      <c r="H3610" s="1" t="str">
        <f>VLOOKUP(F3610,Countries!$A$1:$B$161,2,0)</f>
        <v>Australia</v>
      </c>
    </row>
    <row r="3611" spans="1:8" x14ac:dyDescent="0.3">
      <c r="A3611" s="3">
        <v>46249.822685185187</v>
      </c>
      <c r="B3611" s="1">
        <v>6.37</v>
      </c>
      <c r="C3611" s="1">
        <v>5.51</v>
      </c>
      <c r="D3611" s="1">
        <v>0.54</v>
      </c>
      <c r="E3611" s="1" t="s">
        <v>113</v>
      </c>
      <c r="F3611" s="1" t="s">
        <v>113</v>
      </c>
      <c r="G3611" s="1" t="s">
        <v>113</v>
      </c>
      <c r="H3611" s="1" t="str">
        <f>VLOOKUP(F3611,Countries!$A$1:$B$161,2,0)</f>
        <v>United States of America</v>
      </c>
    </row>
    <row r="3612" spans="1:8" x14ac:dyDescent="0.3">
      <c r="A3612" s="3">
        <v>46249.820405092592</v>
      </c>
      <c r="B3612" s="1">
        <v>20.239999999999998</v>
      </c>
      <c r="C3612" s="1">
        <v>17.489999999999998</v>
      </c>
      <c r="D3612" s="1">
        <v>1.17</v>
      </c>
      <c r="E3612" s="1" t="s">
        <v>135</v>
      </c>
      <c r="F3612" s="1" t="s">
        <v>135</v>
      </c>
      <c r="G3612" s="1" t="s">
        <v>135</v>
      </c>
      <c r="H3612" s="1" t="str">
        <f>VLOOKUP(F3612,Countries!$A$1:$B$161,2,0)</f>
        <v>Kuwait</v>
      </c>
    </row>
    <row r="3613" spans="1:8" x14ac:dyDescent="0.3">
      <c r="A3613" s="3">
        <v>46249.818668981483</v>
      </c>
      <c r="B3613" s="1">
        <v>1.99</v>
      </c>
      <c r="C3613" s="1">
        <v>1.72</v>
      </c>
      <c r="D3613" s="1">
        <v>0.34</v>
      </c>
      <c r="E3613" s="1" t="s">
        <v>113</v>
      </c>
      <c r="F3613" s="1" t="s">
        <v>113</v>
      </c>
      <c r="G3613" s="1" t="s">
        <v>113</v>
      </c>
      <c r="H3613" s="1" t="str">
        <f>VLOOKUP(F3613,Countries!$A$1:$B$161,2,0)</f>
        <v>United States of America</v>
      </c>
    </row>
    <row r="3614" spans="1:8" x14ac:dyDescent="0.3">
      <c r="A3614" s="3">
        <v>46249.800763888888</v>
      </c>
      <c r="B3614" s="1">
        <v>6.37</v>
      </c>
      <c r="C3614" s="1">
        <v>5.51</v>
      </c>
      <c r="D3614" s="1">
        <v>0.54</v>
      </c>
      <c r="E3614" s="1" t="s">
        <v>113</v>
      </c>
      <c r="F3614" s="1" t="s">
        <v>113</v>
      </c>
      <c r="G3614" s="1" t="s">
        <v>113</v>
      </c>
      <c r="H3614" s="1" t="str">
        <f>VLOOKUP(F3614,Countries!$A$1:$B$161,2,0)</f>
        <v>United States of America</v>
      </c>
    </row>
    <row r="3615" spans="1:8" x14ac:dyDescent="0.3">
      <c r="A3615" s="3">
        <v>46249.798020833332</v>
      </c>
      <c r="B3615" s="1">
        <v>7.04</v>
      </c>
      <c r="C3615" s="1">
        <v>6.08</v>
      </c>
      <c r="D3615" s="1">
        <v>0.56999999999999995</v>
      </c>
      <c r="E3615" s="1" t="s">
        <v>160</v>
      </c>
      <c r="F3615" s="1" t="s">
        <v>160</v>
      </c>
      <c r="G3615" s="1" t="s">
        <v>160</v>
      </c>
      <c r="H3615" s="1" t="str">
        <f>VLOOKUP(F3615,Countries!$A$1:$B$161,2,0)</f>
        <v>New Zealand</v>
      </c>
    </row>
    <row r="3616" spans="1:8" x14ac:dyDescent="0.3">
      <c r="A3616" s="3">
        <v>46249.785069444442</v>
      </c>
      <c r="B3616" s="1">
        <v>5.99</v>
      </c>
      <c r="C3616" s="1">
        <v>5.18</v>
      </c>
      <c r="D3616" s="1">
        <v>0.52</v>
      </c>
      <c r="E3616" s="1" t="s">
        <v>198</v>
      </c>
      <c r="F3616" s="1" t="s">
        <v>198</v>
      </c>
      <c r="G3616" s="1" t="s">
        <v>198</v>
      </c>
      <c r="H3616" s="1" t="str">
        <f>VLOOKUP(F3616,Countries!$A$1:$B$161,2,0)</f>
        <v>Taiwan</v>
      </c>
    </row>
    <row r="3617" spans="1:8" x14ac:dyDescent="0.3">
      <c r="A3617" s="3">
        <v>46249.78025462963</v>
      </c>
      <c r="B3617" s="1">
        <v>6.37</v>
      </c>
      <c r="C3617" s="1">
        <v>5.51</v>
      </c>
      <c r="D3617" s="1">
        <v>0.54</v>
      </c>
      <c r="E3617" s="1" t="s">
        <v>113</v>
      </c>
      <c r="F3617" s="1" t="s">
        <v>113</v>
      </c>
      <c r="G3617" s="1" t="s">
        <v>113</v>
      </c>
      <c r="H3617" s="1" t="str">
        <f>VLOOKUP(F3617,Countries!$A$1:$B$161,2,0)</f>
        <v>United States of America</v>
      </c>
    </row>
    <row r="3618" spans="1:8" x14ac:dyDescent="0.3">
      <c r="A3618" s="3">
        <v>46249.764270833337</v>
      </c>
      <c r="B3618" s="1">
        <v>3.32</v>
      </c>
      <c r="C3618" s="1">
        <v>2.87</v>
      </c>
      <c r="D3618" s="1">
        <v>0.4</v>
      </c>
      <c r="E3618" s="1" t="s">
        <v>121</v>
      </c>
      <c r="F3618" s="1" t="s">
        <v>121</v>
      </c>
      <c r="G3618" s="1" t="s">
        <v>121</v>
      </c>
      <c r="H3618" s="1" t="str">
        <f>VLOOKUP(F3618,Countries!$A$1:$B$161,2,0)</f>
        <v>Japan</v>
      </c>
    </row>
    <row r="3619" spans="1:8" x14ac:dyDescent="0.3">
      <c r="A3619" s="3">
        <v>46249.760000000002</v>
      </c>
      <c r="B3619" s="1">
        <v>6.58</v>
      </c>
      <c r="C3619" s="1">
        <v>5.69</v>
      </c>
      <c r="D3619" s="1">
        <v>0.54</v>
      </c>
      <c r="E3619" s="1" t="s">
        <v>152</v>
      </c>
      <c r="F3619" s="1" t="s">
        <v>152</v>
      </c>
      <c r="G3619" s="1" t="s">
        <v>152</v>
      </c>
      <c r="H3619" s="1" t="str">
        <f>VLOOKUP(F3619,Countries!$A$1:$B$161,2,0)</f>
        <v>Singapore</v>
      </c>
    </row>
    <row r="3620" spans="1:8" x14ac:dyDescent="0.3">
      <c r="A3620" s="3">
        <v>46249.756157407413</v>
      </c>
      <c r="B3620" s="1">
        <v>1.99</v>
      </c>
      <c r="C3620" s="1">
        <v>1.72</v>
      </c>
      <c r="D3620" s="1">
        <v>0.34</v>
      </c>
      <c r="E3620" s="1" t="s">
        <v>156</v>
      </c>
      <c r="F3620" s="1" t="s">
        <v>156</v>
      </c>
      <c r="G3620" s="1" t="s">
        <v>156</v>
      </c>
      <c r="H3620" s="1" t="str">
        <f>VLOOKUP(F3620,Countries!$A$1:$B$161,2,0)</f>
        <v>Cote d'Ivoire</v>
      </c>
    </row>
    <row r="3621" spans="1:8" x14ac:dyDescent="0.3">
      <c r="A3621" s="3">
        <v>46249.750219907408</v>
      </c>
      <c r="B3621" s="1">
        <v>2.99</v>
      </c>
      <c r="C3621" s="1">
        <v>2.58</v>
      </c>
      <c r="D3621" s="1">
        <v>0.38</v>
      </c>
      <c r="E3621" s="1" t="s">
        <v>157</v>
      </c>
      <c r="F3621" s="1" t="s">
        <v>157</v>
      </c>
      <c r="G3621" s="1" t="s">
        <v>157</v>
      </c>
      <c r="H3621" s="1" t="str">
        <f>VLOOKUP(F3621,Countries!$A$1:$B$161,2,0)</f>
        <v>Costa Rica</v>
      </c>
    </row>
    <row r="3622" spans="1:8" x14ac:dyDescent="0.3">
      <c r="A3622" s="3">
        <v>46249.745300925933</v>
      </c>
      <c r="B3622" s="1">
        <v>3.39</v>
      </c>
      <c r="C3622" s="1">
        <v>2.93</v>
      </c>
      <c r="D3622" s="1">
        <v>0.41</v>
      </c>
      <c r="E3622" s="1" t="s">
        <v>114</v>
      </c>
      <c r="F3622" s="1" t="s">
        <v>114</v>
      </c>
      <c r="G3622" s="1" t="s">
        <v>114</v>
      </c>
      <c r="H3622" s="1" t="str">
        <f>VLOOKUP(F3622,Countries!$A$1:$B$161,2,0)</f>
        <v>Philippines</v>
      </c>
    </row>
    <row r="3623" spans="1:8" x14ac:dyDescent="0.3">
      <c r="A3623" s="3">
        <v>46249.743923611109</v>
      </c>
      <c r="B3623" s="1">
        <v>7.48</v>
      </c>
      <c r="C3623" s="1">
        <v>6.47</v>
      </c>
      <c r="D3623" s="1">
        <v>0.48</v>
      </c>
      <c r="E3623" s="1" t="s">
        <v>123</v>
      </c>
      <c r="F3623" s="1" t="s">
        <v>123</v>
      </c>
      <c r="G3623" s="1" t="s">
        <v>123</v>
      </c>
      <c r="H3623" s="1" t="str">
        <f>VLOOKUP(F3623,Countries!$A$1:$B$161,2,0)</f>
        <v>France</v>
      </c>
    </row>
    <row r="3624" spans="1:8" x14ac:dyDescent="0.3">
      <c r="A3624" s="3">
        <v>46249.743750000001</v>
      </c>
      <c r="B3624" s="1">
        <v>6.37</v>
      </c>
      <c r="C3624" s="1">
        <v>5.51</v>
      </c>
      <c r="D3624" s="1">
        <v>0.54</v>
      </c>
      <c r="E3624" s="1" t="s">
        <v>113</v>
      </c>
      <c r="F3624" s="1" t="s">
        <v>113</v>
      </c>
      <c r="G3624" s="1" t="s">
        <v>113</v>
      </c>
      <c r="H3624" s="1" t="str">
        <f>VLOOKUP(F3624,Countries!$A$1:$B$161,2,0)</f>
        <v>United States of America</v>
      </c>
    </row>
    <row r="3625" spans="1:8" x14ac:dyDescent="0.3">
      <c r="A3625" s="3">
        <v>46249.743518518517</v>
      </c>
      <c r="B3625" s="1">
        <v>6.65</v>
      </c>
      <c r="C3625" s="1">
        <v>5.75</v>
      </c>
      <c r="D3625" s="1">
        <v>0.56000000000000005</v>
      </c>
      <c r="E3625" s="1" t="s">
        <v>130</v>
      </c>
      <c r="F3625" s="1" t="s">
        <v>130</v>
      </c>
      <c r="G3625" s="1" t="s">
        <v>130</v>
      </c>
      <c r="H3625" s="1" t="str">
        <f>VLOOKUP(F3625,Countries!$A$1:$B$161,2,0)</f>
        <v>Australia</v>
      </c>
    </row>
    <row r="3626" spans="1:8" x14ac:dyDescent="0.3">
      <c r="A3626" s="3">
        <v>46249.741168981483</v>
      </c>
      <c r="B3626" s="1">
        <v>6.37</v>
      </c>
      <c r="C3626" s="1">
        <v>5.51</v>
      </c>
      <c r="D3626" s="1">
        <v>0.54</v>
      </c>
      <c r="E3626" s="1" t="s">
        <v>113</v>
      </c>
      <c r="F3626" s="1" t="s">
        <v>113</v>
      </c>
      <c r="G3626" s="1" t="s">
        <v>113</v>
      </c>
      <c r="H3626" s="1" t="str">
        <f>VLOOKUP(F3626,Countries!$A$1:$B$161,2,0)</f>
        <v>United States of America</v>
      </c>
    </row>
    <row r="3627" spans="1:8" x14ac:dyDescent="0.3">
      <c r="A3627" s="3">
        <v>46249.738541666673</v>
      </c>
      <c r="B3627" s="1">
        <v>6.37</v>
      </c>
      <c r="C3627" s="1">
        <v>5.51</v>
      </c>
      <c r="D3627" s="1">
        <v>0.54</v>
      </c>
      <c r="E3627" s="1" t="s">
        <v>113</v>
      </c>
      <c r="F3627" s="1" t="s">
        <v>113</v>
      </c>
      <c r="G3627" s="1" t="s">
        <v>113</v>
      </c>
      <c r="H3627" s="1" t="str">
        <f>VLOOKUP(F3627,Countries!$A$1:$B$161,2,0)</f>
        <v>United States of America</v>
      </c>
    </row>
    <row r="3628" spans="1:8" x14ac:dyDescent="0.3">
      <c r="A3628" s="3">
        <v>46249.732395833344</v>
      </c>
      <c r="B3628" s="1">
        <v>6.37</v>
      </c>
      <c r="C3628" s="1">
        <v>5.51</v>
      </c>
      <c r="D3628" s="1">
        <v>0.54</v>
      </c>
      <c r="E3628" s="1" t="s">
        <v>113</v>
      </c>
      <c r="F3628" s="1" t="s">
        <v>113</v>
      </c>
      <c r="G3628" s="1" t="s">
        <v>113</v>
      </c>
      <c r="H3628" s="1" t="str">
        <f>VLOOKUP(F3628,Countries!$A$1:$B$161,2,0)</f>
        <v>United States of America</v>
      </c>
    </row>
    <row r="3629" spans="1:8" x14ac:dyDescent="0.3">
      <c r="A3629" s="3">
        <v>46249.723900462966</v>
      </c>
      <c r="B3629" s="1">
        <v>17.010000000000002</v>
      </c>
      <c r="C3629" s="1">
        <v>14.7</v>
      </c>
      <c r="D3629" s="1">
        <v>1.02</v>
      </c>
      <c r="E3629" s="1" t="s">
        <v>113</v>
      </c>
      <c r="F3629" s="1" t="s">
        <v>113</v>
      </c>
      <c r="G3629" s="1" t="s">
        <v>113</v>
      </c>
      <c r="H3629" s="1" t="str">
        <f>VLOOKUP(F3629,Countries!$A$1:$B$161,2,0)</f>
        <v>United States of America</v>
      </c>
    </row>
    <row r="3630" spans="1:8" x14ac:dyDescent="0.3">
      <c r="A3630" s="3">
        <v>46249.714641203696</v>
      </c>
      <c r="B3630" s="1">
        <v>6.37</v>
      </c>
      <c r="C3630" s="1">
        <v>5.51</v>
      </c>
      <c r="D3630" s="1">
        <v>0.54</v>
      </c>
      <c r="E3630" s="1" t="s">
        <v>113</v>
      </c>
      <c r="F3630" s="1" t="s">
        <v>113</v>
      </c>
      <c r="G3630" s="1" t="s">
        <v>113</v>
      </c>
      <c r="H3630" s="1" t="str">
        <f>VLOOKUP(F3630,Countries!$A$1:$B$161,2,0)</f>
        <v>United States of America</v>
      </c>
    </row>
    <row r="3631" spans="1:8" x14ac:dyDescent="0.3">
      <c r="A3631" s="3">
        <v>46249.699502314812</v>
      </c>
      <c r="B3631" s="1">
        <v>6.37</v>
      </c>
      <c r="C3631" s="1">
        <v>5.51</v>
      </c>
      <c r="D3631" s="1">
        <v>0.54</v>
      </c>
      <c r="E3631" s="1" t="s">
        <v>113</v>
      </c>
      <c r="F3631" s="1" t="s">
        <v>113</v>
      </c>
      <c r="G3631" s="1" t="s">
        <v>113</v>
      </c>
      <c r="H3631" s="1" t="str">
        <f>VLOOKUP(F3631,Countries!$A$1:$B$161,2,0)</f>
        <v>United States of America</v>
      </c>
    </row>
    <row r="3632" spans="1:8" x14ac:dyDescent="0.3">
      <c r="A3632" s="3">
        <v>46249.689155092587</v>
      </c>
      <c r="B3632" s="1">
        <v>6.37</v>
      </c>
      <c r="C3632" s="1">
        <v>5.51</v>
      </c>
      <c r="D3632" s="1">
        <v>0.54</v>
      </c>
      <c r="E3632" s="1" t="s">
        <v>113</v>
      </c>
      <c r="F3632" s="1" t="s">
        <v>113</v>
      </c>
      <c r="G3632" s="1" t="s">
        <v>113</v>
      </c>
      <c r="H3632" s="1" t="str">
        <f>VLOOKUP(F3632,Countries!$A$1:$B$161,2,0)</f>
        <v>United States of America</v>
      </c>
    </row>
    <row r="3633" spans="1:8" x14ac:dyDescent="0.3">
      <c r="A3633" s="3">
        <v>46249.662210648137</v>
      </c>
      <c r="B3633" s="1">
        <v>6.37</v>
      </c>
      <c r="C3633" s="1">
        <v>5.51</v>
      </c>
      <c r="D3633" s="1">
        <v>0.54</v>
      </c>
      <c r="E3633" s="1" t="s">
        <v>113</v>
      </c>
      <c r="F3633" s="1" t="s">
        <v>113</v>
      </c>
      <c r="G3633" s="1" t="s">
        <v>113</v>
      </c>
      <c r="H3633" s="1" t="str">
        <f>VLOOKUP(F3633,Countries!$A$1:$B$161,2,0)</f>
        <v>United States of America</v>
      </c>
    </row>
    <row r="3634" spans="1:8" x14ac:dyDescent="0.3">
      <c r="A3634" s="3">
        <v>46249.659733796303</v>
      </c>
      <c r="B3634" s="1">
        <v>35.18</v>
      </c>
      <c r="C3634" s="1">
        <v>30.41</v>
      </c>
      <c r="D3634" s="1">
        <v>1.32</v>
      </c>
      <c r="E3634" s="1" t="s">
        <v>113</v>
      </c>
      <c r="F3634" s="1" t="s">
        <v>113</v>
      </c>
      <c r="G3634" s="1" t="s">
        <v>113</v>
      </c>
      <c r="H3634" s="1" t="str">
        <f>VLOOKUP(F3634,Countries!$A$1:$B$161,2,0)</f>
        <v>United States of America</v>
      </c>
    </row>
    <row r="3635" spans="1:8" x14ac:dyDescent="0.3">
      <c r="A3635" s="3">
        <v>46249.651585648149</v>
      </c>
      <c r="B3635" s="1">
        <v>6.37</v>
      </c>
      <c r="C3635" s="1">
        <v>5.51</v>
      </c>
      <c r="D3635" s="1">
        <v>0.54</v>
      </c>
      <c r="E3635" s="1" t="s">
        <v>113</v>
      </c>
      <c r="F3635" s="1" t="s">
        <v>113</v>
      </c>
      <c r="G3635" s="1" t="s">
        <v>113</v>
      </c>
      <c r="H3635" s="1" t="str">
        <f>VLOOKUP(F3635,Countries!$A$1:$B$161,2,0)</f>
        <v>United States of America</v>
      </c>
    </row>
    <row r="3636" spans="1:8" x14ac:dyDescent="0.3">
      <c r="A3636" s="3">
        <v>46249.650405092587</v>
      </c>
      <c r="B3636" s="1">
        <v>61.65</v>
      </c>
      <c r="C3636" s="1">
        <v>53.29</v>
      </c>
      <c r="D3636" s="1">
        <v>3.05</v>
      </c>
      <c r="E3636" s="1" t="s">
        <v>130</v>
      </c>
      <c r="F3636" s="1" t="s">
        <v>130</v>
      </c>
      <c r="G3636" s="1" t="s">
        <v>130</v>
      </c>
      <c r="H3636" s="1" t="str">
        <f>VLOOKUP(F3636,Countries!$A$1:$B$161,2,0)</f>
        <v>Australia</v>
      </c>
    </row>
    <row r="3637" spans="1:8" x14ac:dyDescent="0.3">
      <c r="A3637" s="3">
        <v>46249.64739583333</v>
      </c>
      <c r="B3637" s="1">
        <v>6.37</v>
      </c>
      <c r="C3637" s="1">
        <v>5.51</v>
      </c>
      <c r="D3637" s="1">
        <v>0.54</v>
      </c>
      <c r="E3637" s="1" t="s">
        <v>113</v>
      </c>
      <c r="F3637" s="1" t="s">
        <v>113</v>
      </c>
      <c r="G3637" s="1" t="s">
        <v>113</v>
      </c>
      <c r="H3637" s="1" t="str">
        <f>VLOOKUP(F3637,Countries!$A$1:$B$161,2,0)</f>
        <v>United States of America</v>
      </c>
    </row>
    <row r="3638" spans="1:8" x14ac:dyDescent="0.3">
      <c r="A3638" s="3">
        <v>46249.646585648137</v>
      </c>
      <c r="B3638" s="1">
        <v>59.03</v>
      </c>
      <c r="C3638" s="1">
        <v>51.02</v>
      </c>
      <c r="D3638" s="1">
        <v>2.93</v>
      </c>
      <c r="E3638" s="1" t="s">
        <v>113</v>
      </c>
      <c r="F3638" s="1" t="s">
        <v>113</v>
      </c>
      <c r="G3638" s="1" t="s">
        <v>113</v>
      </c>
      <c r="H3638" s="1" t="str">
        <f>VLOOKUP(F3638,Countries!$A$1:$B$161,2,0)</f>
        <v>United States of America</v>
      </c>
    </row>
    <row r="3639" spans="1:8" x14ac:dyDescent="0.3">
      <c r="A3639" s="3">
        <v>46249.633611111109</v>
      </c>
      <c r="B3639" s="1">
        <v>6.3</v>
      </c>
      <c r="C3639" s="1">
        <v>5.45</v>
      </c>
      <c r="D3639" s="1">
        <v>0.54</v>
      </c>
      <c r="E3639" s="1" t="s">
        <v>132</v>
      </c>
      <c r="F3639" s="1" t="s">
        <v>132</v>
      </c>
      <c r="G3639" s="1" t="s">
        <v>132</v>
      </c>
      <c r="H3639" s="1" t="str">
        <f>VLOOKUP(F3639,Countries!$A$1:$B$161,2,0)</f>
        <v>Canada</v>
      </c>
    </row>
    <row r="3640" spans="1:8" x14ac:dyDescent="0.3">
      <c r="A3640" s="3">
        <v>46249.632685185177</v>
      </c>
      <c r="B3640" s="1">
        <v>1.05</v>
      </c>
      <c r="C3640" s="1">
        <v>0.91</v>
      </c>
      <c r="D3640" s="1">
        <v>0.3</v>
      </c>
      <c r="E3640" s="1" t="s">
        <v>113</v>
      </c>
      <c r="F3640" s="1" t="s">
        <v>113</v>
      </c>
      <c r="G3640" s="1" t="s">
        <v>113</v>
      </c>
      <c r="H3640" s="1" t="str">
        <f>VLOOKUP(F3640,Countries!$A$1:$B$161,2,0)</f>
        <v>United States of America</v>
      </c>
    </row>
    <row r="3641" spans="1:8" x14ac:dyDescent="0.3">
      <c r="A3641" s="3">
        <v>46249.632164351853</v>
      </c>
      <c r="B3641" s="1">
        <v>1.05</v>
      </c>
      <c r="C3641" s="1">
        <v>0.91</v>
      </c>
      <c r="D3641" s="1">
        <v>0.3</v>
      </c>
      <c r="E3641" s="1" t="s">
        <v>113</v>
      </c>
      <c r="F3641" s="1" t="s">
        <v>113</v>
      </c>
      <c r="G3641" s="1" t="s">
        <v>113</v>
      </c>
      <c r="H3641" s="1" t="str">
        <f>VLOOKUP(F3641,Countries!$A$1:$B$161,2,0)</f>
        <v>United States of America</v>
      </c>
    </row>
    <row r="3642" spans="1:8" x14ac:dyDescent="0.3">
      <c r="A3642" s="3">
        <v>46249.602662037039</v>
      </c>
      <c r="B3642" s="1">
        <v>14.77</v>
      </c>
      <c r="C3642" s="1">
        <v>12.77</v>
      </c>
      <c r="D3642" s="1">
        <v>0.93</v>
      </c>
      <c r="E3642" s="1" t="s">
        <v>113</v>
      </c>
      <c r="F3642" s="1" t="s">
        <v>113</v>
      </c>
      <c r="G3642" s="1" t="s">
        <v>113</v>
      </c>
      <c r="H3642" s="1" t="str">
        <f>VLOOKUP(F3642,Countries!$A$1:$B$161,2,0)</f>
        <v>United States of America</v>
      </c>
    </row>
    <row r="3643" spans="1:8" x14ac:dyDescent="0.3">
      <c r="A3643" s="3">
        <v>46249.598113425927</v>
      </c>
      <c r="B3643" s="1">
        <v>14.77</v>
      </c>
      <c r="C3643" s="1">
        <v>12.77</v>
      </c>
      <c r="D3643" s="1">
        <v>0.93</v>
      </c>
      <c r="E3643" s="1" t="s">
        <v>113</v>
      </c>
      <c r="F3643" s="1" t="s">
        <v>113</v>
      </c>
      <c r="G3643" s="1" t="s">
        <v>113</v>
      </c>
      <c r="H3643" s="1" t="str">
        <f>VLOOKUP(F3643,Countries!$A$1:$B$161,2,0)</f>
        <v>United States of America</v>
      </c>
    </row>
    <row r="3644" spans="1:8" x14ac:dyDescent="0.3">
      <c r="A3644" s="3">
        <v>46249.597881944443</v>
      </c>
      <c r="B3644" s="1">
        <v>6.37</v>
      </c>
      <c r="C3644" s="1">
        <v>5.51</v>
      </c>
      <c r="D3644" s="1">
        <v>0.54</v>
      </c>
      <c r="E3644" s="1" t="s">
        <v>113</v>
      </c>
      <c r="F3644" s="1" t="s">
        <v>113</v>
      </c>
      <c r="G3644" s="1" t="s">
        <v>113</v>
      </c>
      <c r="H3644" s="1" t="str">
        <f>VLOOKUP(F3644,Countries!$A$1:$B$161,2,0)</f>
        <v>United States of America</v>
      </c>
    </row>
    <row r="3645" spans="1:8" x14ac:dyDescent="0.3">
      <c r="A3645" s="3">
        <v>46249.591631944437</v>
      </c>
      <c r="B3645" s="1">
        <v>17.010000000000002</v>
      </c>
      <c r="C3645" s="1">
        <v>14.7</v>
      </c>
      <c r="D3645" s="1">
        <v>1.02</v>
      </c>
      <c r="E3645" s="1" t="s">
        <v>113</v>
      </c>
      <c r="F3645" s="1" t="s">
        <v>113</v>
      </c>
      <c r="G3645" s="1" t="s">
        <v>113</v>
      </c>
      <c r="H3645" s="1" t="str">
        <f>VLOOKUP(F3645,Countries!$A$1:$B$161,2,0)</f>
        <v>United States of America</v>
      </c>
    </row>
    <row r="3646" spans="1:8" x14ac:dyDescent="0.3">
      <c r="A3646" s="3">
        <v>46249.574942129628</v>
      </c>
      <c r="B3646" s="1">
        <v>1.99</v>
      </c>
      <c r="C3646" s="1">
        <v>1.72</v>
      </c>
      <c r="D3646" s="1">
        <v>0.34</v>
      </c>
      <c r="E3646" s="1" t="s">
        <v>210</v>
      </c>
      <c r="F3646" s="1" t="s">
        <v>210</v>
      </c>
      <c r="G3646" s="1" t="s">
        <v>210</v>
      </c>
      <c r="H3646" s="1" t="str">
        <f>VLOOKUP(F3646,Countries!$A$1:$B$161,2,0)</f>
        <v>Nicaragua</v>
      </c>
    </row>
    <row r="3647" spans="1:8" x14ac:dyDescent="0.3">
      <c r="A3647" s="3">
        <v>46249.572812500002</v>
      </c>
      <c r="B3647" s="1">
        <v>59.03</v>
      </c>
      <c r="C3647" s="1">
        <v>51.02</v>
      </c>
      <c r="D3647" s="1">
        <v>2.93</v>
      </c>
      <c r="E3647" s="1" t="s">
        <v>113</v>
      </c>
      <c r="F3647" s="1" t="s">
        <v>113</v>
      </c>
      <c r="G3647" s="1" t="s">
        <v>113</v>
      </c>
      <c r="H3647" s="1" t="str">
        <f>VLOOKUP(F3647,Countries!$A$1:$B$161,2,0)</f>
        <v>United States of America</v>
      </c>
    </row>
    <row r="3648" spans="1:8" x14ac:dyDescent="0.3">
      <c r="A3648" s="3">
        <v>46249.5702662037</v>
      </c>
      <c r="B3648" s="1">
        <v>11.35</v>
      </c>
      <c r="C3648" s="1">
        <v>9.81</v>
      </c>
      <c r="D3648" s="1">
        <v>0.77</v>
      </c>
      <c r="E3648" s="1" t="s">
        <v>114</v>
      </c>
      <c r="F3648" s="1" t="s">
        <v>114</v>
      </c>
      <c r="G3648" s="1" t="s">
        <v>114</v>
      </c>
      <c r="H3648" s="1" t="str">
        <f>VLOOKUP(F3648,Countries!$A$1:$B$161,2,0)</f>
        <v>Philippines</v>
      </c>
    </row>
    <row r="3649" spans="1:8" x14ac:dyDescent="0.3">
      <c r="A3649" s="3">
        <v>46249.569675925923</v>
      </c>
      <c r="B3649" s="1">
        <v>17.010000000000002</v>
      </c>
      <c r="C3649" s="1">
        <v>14.7</v>
      </c>
      <c r="D3649" s="1">
        <v>1.02</v>
      </c>
      <c r="E3649" s="1" t="s">
        <v>113</v>
      </c>
      <c r="F3649" s="1" t="s">
        <v>113</v>
      </c>
      <c r="G3649" s="1" t="s">
        <v>113</v>
      </c>
      <c r="H3649" s="1" t="str">
        <f>VLOOKUP(F3649,Countries!$A$1:$B$161,2,0)</f>
        <v>United States of America</v>
      </c>
    </row>
    <row r="3650" spans="1:8" x14ac:dyDescent="0.3">
      <c r="A3650" s="3">
        <v>46249.569166666668</v>
      </c>
      <c r="B3650" s="1">
        <v>5.99</v>
      </c>
      <c r="C3650" s="1">
        <v>5.18</v>
      </c>
      <c r="D3650" s="1">
        <v>0.52</v>
      </c>
      <c r="E3650" s="1" t="s">
        <v>135</v>
      </c>
      <c r="F3650" s="1" t="s">
        <v>135</v>
      </c>
      <c r="G3650" s="1" t="s">
        <v>135</v>
      </c>
      <c r="H3650" s="1" t="str">
        <f>VLOOKUP(F3650,Countries!$A$1:$B$161,2,0)</f>
        <v>Kuwait</v>
      </c>
    </row>
    <row r="3651" spans="1:8" x14ac:dyDescent="0.3">
      <c r="A3651" s="3">
        <v>46249.560763888891</v>
      </c>
      <c r="B3651" s="1">
        <v>7.39</v>
      </c>
      <c r="C3651" s="1">
        <v>6.39</v>
      </c>
      <c r="D3651" s="1">
        <v>0.48</v>
      </c>
      <c r="E3651" s="1" t="s">
        <v>147</v>
      </c>
      <c r="F3651" s="1" t="s">
        <v>147</v>
      </c>
      <c r="G3651" s="1" t="s">
        <v>147</v>
      </c>
      <c r="H3651" s="1" t="str">
        <f>VLOOKUP(F3651,Countries!$A$1:$B$161,2,0)</f>
        <v>Germany</v>
      </c>
    </row>
    <row r="3652" spans="1:8" x14ac:dyDescent="0.3">
      <c r="A3652" s="3">
        <v>46249.552499999998</v>
      </c>
      <c r="B3652" s="1">
        <v>6.37</v>
      </c>
      <c r="C3652" s="1">
        <v>5.51</v>
      </c>
      <c r="D3652" s="1">
        <v>0.54</v>
      </c>
      <c r="E3652" s="1" t="s">
        <v>113</v>
      </c>
      <c r="F3652" s="1" t="s">
        <v>113</v>
      </c>
      <c r="G3652" s="1" t="s">
        <v>113</v>
      </c>
      <c r="H3652" s="1" t="str">
        <f>VLOOKUP(F3652,Countries!$A$1:$B$161,2,0)</f>
        <v>United States of America</v>
      </c>
    </row>
    <row r="3653" spans="1:8" x14ac:dyDescent="0.3">
      <c r="A3653" s="3">
        <v>46249.545092592591</v>
      </c>
      <c r="B3653" s="1">
        <v>6.37</v>
      </c>
      <c r="C3653" s="1">
        <v>5.51</v>
      </c>
      <c r="D3653" s="1">
        <v>0.54</v>
      </c>
      <c r="E3653" s="1" t="s">
        <v>113</v>
      </c>
      <c r="F3653" s="1" t="s">
        <v>113</v>
      </c>
      <c r="G3653" s="1" t="s">
        <v>113</v>
      </c>
      <c r="H3653" s="1" t="str">
        <f>VLOOKUP(F3653,Countries!$A$1:$B$161,2,0)</f>
        <v>United States of America</v>
      </c>
    </row>
    <row r="3654" spans="1:8" x14ac:dyDescent="0.3">
      <c r="A3654" s="3">
        <v>46249.536724537043</v>
      </c>
      <c r="B3654" s="1">
        <v>2.99</v>
      </c>
      <c r="C3654" s="1">
        <v>2.58</v>
      </c>
      <c r="D3654" s="1">
        <v>0.38</v>
      </c>
      <c r="E3654" s="1" t="s">
        <v>150</v>
      </c>
      <c r="F3654" s="1" t="s">
        <v>150</v>
      </c>
      <c r="G3654" s="1" t="s">
        <v>150</v>
      </c>
      <c r="H3654" s="1" t="str">
        <f>VLOOKUP(F3654,Countries!$A$1:$B$161,2,0)</f>
        <v>El Salvador</v>
      </c>
    </row>
    <row r="3655" spans="1:8" x14ac:dyDescent="0.3">
      <c r="A3655" s="3">
        <v>46249.533495370371</v>
      </c>
      <c r="B3655" s="1">
        <v>7.48</v>
      </c>
      <c r="C3655" s="1">
        <v>6.47</v>
      </c>
      <c r="D3655" s="1">
        <v>0.54</v>
      </c>
      <c r="E3655" s="1" t="s">
        <v>119</v>
      </c>
      <c r="F3655" s="1" t="s">
        <v>119</v>
      </c>
      <c r="G3655" s="1" t="s">
        <v>119</v>
      </c>
      <c r="H3655" s="1" t="str">
        <f>VLOOKUP(F3655,Countries!$A$1:$B$161,2,0)</f>
        <v>Great Britain (United Kingdom)</v>
      </c>
    </row>
    <row r="3656" spans="1:8" x14ac:dyDescent="0.3">
      <c r="A3656" s="3">
        <v>46249.526770833327</v>
      </c>
      <c r="B3656" s="1">
        <v>4.99</v>
      </c>
      <c r="C3656" s="1">
        <v>4.3099999999999996</v>
      </c>
      <c r="D3656" s="1">
        <v>0.48</v>
      </c>
      <c r="E3656" s="1" t="s">
        <v>113</v>
      </c>
      <c r="F3656" s="1" t="s">
        <v>113</v>
      </c>
      <c r="G3656" s="1" t="s">
        <v>113</v>
      </c>
      <c r="H3656" s="1" t="str">
        <f>VLOOKUP(F3656,Countries!$A$1:$B$161,2,0)</f>
        <v>United States of America</v>
      </c>
    </row>
    <row r="3657" spans="1:8" x14ac:dyDescent="0.3">
      <c r="A3657" s="3">
        <v>46249.521215277768</v>
      </c>
      <c r="B3657" s="1">
        <v>27.8</v>
      </c>
      <c r="C3657" s="1">
        <v>24.03</v>
      </c>
      <c r="D3657" s="1">
        <v>1.51</v>
      </c>
      <c r="E3657" s="1" t="s">
        <v>130</v>
      </c>
      <c r="F3657" s="1" t="s">
        <v>130</v>
      </c>
      <c r="G3657" s="1" t="s">
        <v>130</v>
      </c>
      <c r="H3657" s="1" t="str">
        <f>VLOOKUP(F3657,Countries!$A$1:$B$161,2,0)</f>
        <v>Australia</v>
      </c>
    </row>
    <row r="3658" spans="1:8" x14ac:dyDescent="0.3">
      <c r="A3658" s="3">
        <v>46249.500960648147</v>
      </c>
      <c r="B3658" s="1">
        <v>7.48</v>
      </c>
      <c r="C3658" s="1">
        <v>6.47</v>
      </c>
      <c r="D3658" s="1">
        <v>0.54</v>
      </c>
      <c r="E3658" s="1" t="s">
        <v>119</v>
      </c>
      <c r="F3658" s="1" t="s">
        <v>119</v>
      </c>
      <c r="G3658" s="1" t="s">
        <v>119</v>
      </c>
      <c r="H3658" s="1" t="str">
        <f>VLOOKUP(F3658,Countries!$A$1:$B$161,2,0)</f>
        <v>Great Britain (United Kingdom)</v>
      </c>
    </row>
    <row r="3659" spans="1:8" x14ac:dyDescent="0.3">
      <c r="A3659" s="3">
        <v>46249.497118055559</v>
      </c>
      <c r="B3659" s="1">
        <v>2.11</v>
      </c>
      <c r="C3659" s="1">
        <v>1.82</v>
      </c>
      <c r="D3659" s="1">
        <v>0.35</v>
      </c>
      <c r="E3659" s="1" t="s">
        <v>113</v>
      </c>
      <c r="F3659" s="1" t="s">
        <v>113</v>
      </c>
      <c r="G3659" s="1" t="s">
        <v>113</v>
      </c>
      <c r="H3659" s="1" t="str">
        <f>VLOOKUP(F3659,Countries!$A$1:$B$161,2,0)</f>
        <v>United States of America</v>
      </c>
    </row>
    <row r="3660" spans="1:8" x14ac:dyDescent="0.3">
      <c r="A3660" s="3">
        <v>46249.494467592587</v>
      </c>
      <c r="B3660" s="1">
        <v>4.24</v>
      </c>
      <c r="C3660" s="1">
        <v>3.66</v>
      </c>
      <c r="D3660" s="1">
        <v>0.44</v>
      </c>
      <c r="E3660" s="1" t="s">
        <v>113</v>
      </c>
      <c r="F3660" s="1" t="s">
        <v>113</v>
      </c>
      <c r="G3660" s="1" t="s">
        <v>113</v>
      </c>
      <c r="H3660" s="1" t="str">
        <f>VLOOKUP(F3660,Countries!$A$1:$B$161,2,0)</f>
        <v>United States of America</v>
      </c>
    </row>
    <row r="3661" spans="1:8" x14ac:dyDescent="0.3">
      <c r="A3661" s="3">
        <v>46249.460439814808</v>
      </c>
      <c r="B3661" s="1">
        <v>7.99</v>
      </c>
      <c r="C3661" s="1">
        <v>6.91</v>
      </c>
      <c r="D3661" s="1">
        <v>0.61</v>
      </c>
      <c r="E3661" s="1" t="s">
        <v>113</v>
      </c>
      <c r="F3661" s="1" t="s">
        <v>113</v>
      </c>
      <c r="G3661" s="1" t="s">
        <v>113</v>
      </c>
      <c r="H3661" s="1" t="str">
        <f>VLOOKUP(F3661,Countries!$A$1:$B$161,2,0)</f>
        <v>United States of America</v>
      </c>
    </row>
    <row r="3662" spans="1:8" x14ac:dyDescent="0.3">
      <c r="A3662" s="3">
        <v>46249.457916666674</v>
      </c>
      <c r="B3662" s="1">
        <v>3.69</v>
      </c>
      <c r="C3662" s="1">
        <v>3.19</v>
      </c>
      <c r="D3662" s="1">
        <v>0.36</v>
      </c>
      <c r="E3662" s="1" t="s">
        <v>159</v>
      </c>
      <c r="F3662" s="1" t="s">
        <v>147</v>
      </c>
      <c r="G3662" s="1" t="s">
        <v>147</v>
      </c>
      <c r="H3662" s="1" t="str">
        <f>VLOOKUP(F3662,Countries!$A$1:$B$161,2,0)</f>
        <v>Germany</v>
      </c>
    </row>
    <row r="3663" spans="1:8" x14ac:dyDescent="0.3">
      <c r="A3663" s="3">
        <v>46249.445462962962</v>
      </c>
      <c r="B3663" s="1">
        <v>66.540000000000006</v>
      </c>
      <c r="C3663" s="1">
        <v>57.51</v>
      </c>
      <c r="D3663" s="1">
        <v>3.27</v>
      </c>
      <c r="E3663" s="1" t="s">
        <v>113</v>
      </c>
      <c r="F3663" s="1" t="s">
        <v>113</v>
      </c>
      <c r="G3663" s="1" t="s">
        <v>113</v>
      </c>
      <c r="H3663" s="1" t="str">
        <f>VLOOKUP(F3663,Countries!$A$1:$B$161,2,0)</f>
        <v>United States of America</v>
      </c>
    </row>
    <row r="3664" spans="1:8" x14ac:dyDescent="0.3">
      <c r="A3664" s="3">
        <v>46249.43854166667</v>
      </c>
      <c r="B3664" s="1">
        <v>2.21</v>
      </c>
      <c r="C3664" s="1">
        <v>1.91</v>
      </c>
      <c r="D3664" s="1">
        <v>0.35</v>
      </c>
      <c r="E3664" s="1" t="s">
        <v>121</v>
      </c>
      <c r="F3664" s="1" t="s">
        <v>121</v>
      </c>
      <c r="G3664" s="1" t="s">
        <v>121</v>
      </c>
      <c r="H3664" s="1" t="str">
        <f>VLOOKUP(F3664,Countries!$A$1:$B$161,2,0)</f>
        <v>Japan</v>
      </c>
    </row>
    <row r="3665" spans="1:8" x14ac:dyDescent="0.3">
      <c r="A3665" s="3">
        <v>46249.4377662037</v>
      </c>
      <c r="B3665" s="1">
        <v>11.1</v>
      </c>
      <c r="C3665" s="1">
        <v>9.59</v>
      </c>
      <c r="D3665" s="1">
        <v>0.75</v>
      </c>
      <c r="E3665" s="1" t="s">
        <v>121</v>
      </c>
      <c r="F3665" s="1" t="s">
        <v>121</v>
      </c>
      <c r="G3665" s="1" t="s">
        <v>121</v>
      </c>
      <c r="H3665" s="1" t="str">
        <f>VLOOKUP(F3665,Countries!$A$1:$B$161,2,0)</f>
        <v>Japan</v>
      </c>
    </row>
    <row r="3666" spans="1:8" x14ac:dyDescent="0.3">
      <c r="A3666" s="3">
        <v>46249.43546296296</v>
      </c>
      <c r="B3666" s="1">
        <v>6.37</v>
      </c>
      <c r="C3666" s="1">
        <v>5.51</v>
      </c>
      <c r="D3666" s="1">
        <v>0.54</v>
      </c>
      <c r="E3666" s="1" t="s">
        <v>113</v>
      </c>
      <c r="F3666" s="1" t="s">
        <v>113</v>
      </c>
      <c r="G3666" s="1" t="s">
        <v>113</v>
      </c>
      <c r="H3666" s="1" t="str">
        <f>VLOOKUP(F3666,Countries!$A$1:$B$161,2,0)</f>
        <v>United States of America</v>
      </c>
    </row>
    <row r="3667" spans="1:8" x14ac:dyDescent="0.3">
      <c r="A3667" s="3">
        <v>46249.43545138889</v>
      </c>
      <c r="B3667" s="1">
        <v>3.32</v>
      </c>
      <c r="C3667" s="1">
        <v>2.87</v>
      </c>
      <c r="D3667" s="1">
        <v>0.4</v>
      </c>
      <c r="E3667" s="1" t="s">
        <v>121</v>
      </c>
      <c r="F3667" s="1" t="s">
        <v>121</v>
      </c>
      <c r="G3667" s="1" t="s">
        <v>121</v>
      </c>
      <c r="H3667" s="1" t="str">
        <f>VLOOKUP(F3667,Countries!$A$1:$B$161,2,0)</f>
        <v>Japan</v>
      </c>
    </row>
    <row r="3668" spans="1:8" x14ac:dyDescent="0.3">
      <c r="A3668" s="3">
        <v>46249.424386574072</v>
      </c>
      <c r="B3668" s="1">
        <v>59.03</v>
      </c>
      <c r="C3668" s="1">
        <v>51.02</v>
      </c>
      <c r="D3668" s="1">
        <v>2.93</v>
      </c>
      <c r="E3668" s="1" t="s">
        <v>113</v>
      </c>
      <c r="F3668" s="1" t="s">
        <v>113</v>
      </c>
      <c r="G3668" s="1" t="s">
        <v>113</v>
      </c>
      <c r="H3668" s="1" t="str">
        <f>VLOOKUP(F3668,Countries!$A$1:$B$161,2,0)</f>
        <v>United States of America</v>
      </c>
    </row>
    <row r="3669" spans="1:8" x14ac:dyDescent="0.3">
      <c r="A3669" s="3">
        <v>46249.417511574073</v>
      </c>
      <c r="B3669" s="1">
        <v>51.75</v>
      </c>
      <c r="C3669" s="1">
        <v>44.73</v>
      </c>
      <c r="D3669" s="1">
        <v>2.59</v>
      </c>
      <c r="E3669" s="1" t="s">
        <v>113</v>
      </c>
      <c r="F3669" s="1" t="s">
        <v>113</v>
      </c>
      <c r="G3669" s="1" t="s">
        <v>113</v>
      </c>
      <c r="H3669" s="1" t="str">
        <f>VLOOKUP(F3669,Countries!$A$1:$B$161,2,0)</f>
        <v>United States of America</v>
      </c>
    </row>
    <row r="3670" spans="1:8" x14ac:dyDescent="0.3">
      <c r="A3670" s="3">
        <v>46249.415381944447</v>
      </c>
      <c r="B3670" s="1">
        <v>51.75</v>
      </c>
      <c r="C3670" s="1">
        <v>44.73</v>
      </c>
      <c r="D3670" s="1">
        <v>2.59</v>
      </c>
      <c r="E3670" s="1" t="s">
        <v>113</v>
      </c>
      <c r="F3670" s="1" t="s">
        <v>113</v>
      </c>
      <c r="G3670" s="1" t="s">
        <v>113</v>
      </c>
      <c r="H3670" s="1" t="str">
        <f>VLOOKUP(F3670,Countries!$A$1:$B$161,2,0)</f>
        <v>United States of America</v>
      </c>
    </row>
    <row r="3671" spans="1:8" x14ac:dyDescent="0.3">
      <c r="A3671" s="3">
        <v>46249.411053240743</v>
      </c>
      <c r="B3671" s="1">
        <v>6.37</v>
      </c>
      <c r="C3671" s="1">
        <v>5.51</v>
      </c>
      <c r="D3671" s="1">
        <v>0.54</v>
      </c>
      <c r="E3671" s="1" t="s">
        <v>113</v>
      </c>
      <c r="F3671" s="1" t="s">
        <v>113</v>
      </c>
      <c r="G3671" s="1" t="s">
        <v>113</v>
      </c>
      <c r="H3671" s="1" t="str">
        <f>VLOOKUP(F3671,Countries!$A$1:$B$161,2,0)</f>
        <v>United States of America</v>
      </c>
    </row>
    <row r="3672" spans="1:8" x14ac:dyDescent="0.3">
      <c r="A3672" s="3">
        <v>46249.408090277779</v>
      </c>
      <c r="B3672" s="1">
        <v>6.37</v>
      </c>
      <c r="C3672" s="1">
        <v>5.51</v>
      </c>
      <c r="D3672" s="1">
        <v>0.54</v>
      </c>
      <c r="E3672" s="1" t="s">
        <v>113</v>
      </c>
      <c r="F3672" s="1" t="s">
        <v>113</v>
      </c>
      <c r="G3672" s="1" t="s">
        <v>113</v>
      </c>
      <c r="H3672" s="1" t="str">
        <f>VLOOKUP(F3672,Countries!$A$1:$B$161,2,0)</f>
        <v>United States of America</v>
      </c>
    </row>
    <row r="3673" spans="1:8" x14ac:dyDescent="0.3">
      <c r="A3673" s="3">
        <v>46249.407592592594</v>
      </c>
      <c r="B3673" s="1">
        <v>6.37</v>
      </c>
      <c r="C3673" s="1">
        <v>5.51</v>
      </c>
      <c r="D3673" s="1">
        <v>0.54</v>
      </c>
      <c r="E3673" s="1" t="s">
        <v>113</v>
      </c>
      <c r="F3673" s="1" t="s">
        <v>113</v>
      </c>
      <c r="G3673" s="1" t="s">
        <v>113</v>
      </c>
      <c r="H3673" s="1" t="str">
        <f>VLOOKUP(F3673,Countries!$A$1:$B$161,2,0)</f>
        <v>United States of America</v>
      </c>
    </row>
    <row r="3674" spans="1:8" x14ac:dyDescent="0.3">
      <c r="A3674" s="3">
        <v>46249.404791666668</v>
      </c>
      <c r="B3674" s="1">
        <v>2.99</v>
      </c>
      <c r="C3674" s="1">
        <v>2.58</v>
      </c>
      <c r="D3674" s="1">
        <v>0.38</v>
      </c>
      <c r="E3674" s="1" t="s">
        <v>113</v>
      </c>
      <c r="F3674" s="1" t="s">
        <v>113</v>
      </c>
      <c r="G3674" s="1" t="s">
        <v>113</v>
      </c>
      <c r="H3674" s="1" t="str">
        <f>VLOOKUP(F3674,Countries!$A$1:$B$161,2,0)</f>
        <v>United States of America</v>
      </c>
    </row>
    <row r="3675" spans="1:8" x14ac:dyDescent="0.3">
      <c r="A3675" s="3">
        <v>46249.40115740741</v>
      </c>
      <c r="B3675" s="1">
        <v>59.03</v>
      </c>
      <c r="C3675" s="1">
        <v>51.02</v>
      </c>
      <c r="D3675" s="1">
        <v>2.93</v>
      </c>
      <c r="E3675" s="1" t="s">
        <v>113</v>
      </c>
      <c r="F3675" s="1" t="s">
        <v>113</v>
      </c>
      <c r="G3675" s="1" t="s">
        <v>113</v>
      </c>
      <c r="H3675" s="1" t="str">
        <f>VLOOKUP(F3675,Countries!$A$1:$B$161,2,0)</f>
        <v>United States of America</v>
      </c>
    </row>
    <row r="3676" spans="1:8" x14ac:dyDescent="0.3">
      <c r="A3676" s="3">
        <v>46249.397997685177</v>
      </c>
      <c r="B3676" s="1">
        <v>6.37</v>
      </c>
      <c r="C3676" s="1">
        <v>5.51</v>
      </c>
      <c r="D3676" s="1">
        <v>0.54</v>
      </c>
      <c r="E3676" s="1" t="s">
        <v>113</v>
      </c>
      <c r="F3676" s="1" t="s">
        <v>113</v>
      </c>
      <c r="G3676" s="1" t="s">
        <v>113</v>
      </c>
      <c r="H3676" s="1" t="str">
        <f>VLOOKUP(F3676,Countries!$A$1:$B$161,2,0)</f>
        <v>United States of America</v>
      </c>
    </row>
    <row r="3677" spans="1:8" x14ac:dyDescent="0.3">
      <c r="A3677" s="3">
        <v>46249.396365740737</v>
      </c>
      <c r="B3677" s="1">
        <v>100.38</v>
      </c>
      <c r="C3677" s="1">
        <v>86.76</v>
      </c>
      <c r="D3677" s="1">
        <v>4.8099999999999996</v>
      </c>
      <c r="E3677" s="1" t="s">
        <v>130</v>
      </c>
      <c r="F3677" s="1" t="s">
        <v>130</v>
      </c>
      <c r="G3677" s="1" t="s">
        <v>130</v>
      </c>
      <c r="H3677" s="1" t="str">
        <f>VLOOKUP(F3677,Countries!$A$1:$B$161,2,0)</f>
        <v>Australia</v>
      </c>
    </row>
    <row r="3678" spans="1:8" x14ac:dyDescent="0.3">
      <c r="A3678" s="3">
        <v>46249.384699074071</v>
      </c>
      <c r="B3678" s="1">
        <v>14.77</v>
      </c>
      <c r="C3678" s="1">
        <v>12.77</v>
      </c>
      <c r="D3678" s="1">
        <v>0.93</v>
      </c>
      <c r="E3678" s="1" t="s">
        <v>113</v>
      </c>
      <c r="F3678" s="1" t="s">
        <v>113</v>
      </c>
      <c r="G3678" s="1" t="s">
        <v>113</v>
      </c>
      <c r="H3678" s="1" t="str">
        <f>VLOOKUP(F3678,Countries!$A$1:$B$161,2,0)</f>
        <v>United States of America</v>
      </c>
    </row>
    <row r="3679" spans="1:8" x14ac:dyDescent="0.3">
      <c r="A3679" s="3">
        <v>46249.379386574074</v>
      </c>
      <c r="B3679" s="1">
        <v>7.39</v>
      </c>
      <c r="C3679" s="1">
        <v>6.39</v>
      </c>
      <c r="D3679" s="1">
        <v>0.48</v>
      </c>
      <c r="E3679" s="1" t="s">
        <v>147</v>
      </c>
      <c r="F3679" s="1" t="s">
        <v>147</v>
      </c>
      <c r="G3679" s="1" t="s">
        <v>147</v>
      </c>
      <c r="H3679" s="1" t="str">
        <f>VLOOKUP(F3679,Countries!$A$1:$B$161,2,0)</f>
        <v>Germany</v>
      </c>
    </row>
    <row r="3680" spans="1:8" x14ac:dyDescent="0.3">
      <c r="A3680" s="3">
        <v>46249.354201388887</v>
      </c>
      <c r="B3680" s="1">
        <v>4.24</v>
      </c>
      <c r="C3680" s="1">
        <v>3.66</v>
      </c>
      <c r="D3680" s="1">
        <v>0.44</v>
      </c>
      <c r="E3680" s="1" t="s">
        <v>113</v>
      </c>
      <c r="F3680" s="1" t="s">
        <v>113</v>
      </c>
      <c r="G3680" s="1" t="s">
        <v>113</v>
      </c>
      <c r="H3680" s="1" t="str">
        <f>VLOOKUP(F3680,Countries!$A$1:$B$161,2,0)</f>
        <v>United States of America</v>
      </c>
    </row>
    <row r="3681" spans="1:8" x14ac:dyDescent="0.3">
      <c r="A3681" s="3">
        <v>46249.351712962962</v>
      </c>
      <c r="B3681" s="1">
        <v>7.48</v>
      </c>
      <c r="C3681" s="1">
        <v>6.46</v>
      </c>
      <c r="D3681" s="1">
        <v>0.54</v>
      </c>
      <c r="E3681" s="1" t="s">
        <v>119</v>
      </c>
      <c r="F3681" s="1" t="s">
        <v>119</v>
      </c>
      <c r="G3681" s="1" t="s">
        <v>119</v>
      </c>
      <c r="H3681" s="1" t="str">
        <f>VLOOKUP(F3681,Countries!$A$1:$B$161,2,0)</f>
        <v>Great Britain (United Kingdom)</v>
      </c>
    </row>
    <row r="3682" spans="1:8" x14ac:dyDescent="0.3">
      <c r="A3682" s="3">
        <v>46249.346261574072</v>
      </c>
      <c r="B3682" s="1">
        <v>16.34</v>
      </c>
      <c r="C3682" s="1">
        <v>14.12</v>
      </c>
      <c r="D3682" s="1">
        <v>0.99</v>
      </c>
      <c r="E3682" s="1" t="s">
        <v>160</v>
      </c>
      <c r="F3682" s="1" t="s">
        <v>160</v>
      </c>
      <c r="G3682" s="1" t="s">
        <v>160</v>
      </c>
      <c r="H3682" s="1" t="str">
        <f>VLOOKUP(F3682,Countries!$A$1:$B$161,2,0)</f>
        <v>New Zealand</v>
      </c>
    </row>
    <row r="3683" spans="1:8" x14ac:dyDescent="0.3">
      <c r="A3683" s="3">
        <v>46249.341226851851</v>
      </c>
      <c r="B3683" s="1">
        <v>14.78</v>
      </c>
      <c r="C3683" s="1">
        <v>12.77</v>
      </c>
      <c r="D3683" s="1">
        <v>0.93</v>
      </c>
      <c r="E3683" s="1" t="s">
        <v>113</v>
      </c>
      <c r="F3683" s="1" t="s">
        <v>113</v>
      </c>
      <c r="G3683" s="1" t="s">
        <v>113</v>
      </c>
      <c r="H3683" s="1" t="str">
        <f>VLOOKUP(F3683,Countries!$A$1:$B$161,2,0)</f>
        <v>United States of America</v>
      </c>
    </row>
    <row r="3684" spans="1:8" x14ac:dyDescent="0.3">
      <c r="A3684" s="3">
        <v>46249.335972222223</v>
      </c>
      <c r="B3684" s="1">
        <v>2.99</v>
      </c>
      <c r="C3684" s="1">
        <v>2.58</v>
      </c>
      <c r="D3684" s="1">
        <v>0.38</v>
      </c>
      <c r="E3684" s="1" t="s">
        <v>211</v>
      </c>
      <c r="F3684" s="1" t="s">
        <v>185</v>
      </c>
      <c r="G3684" s="1" t="s">
        <v>185</v>
      </c>
      <c r="H3684" s="1" t="str">
        <f>VLOOKUP(F3684,Countries!$A$1:$B$161,2,0)</f>
        <v>Republic of Serbia</v>
      </c>
    </row>
    <row r="3685" spans="1:8" x14ac:dyDescent="0.3">
      <c r="A3685" s="3">
        <v>46249.333078703698</v>
      </c>
      <c r="B3685" s="1">
        <v>6.37</v>
      </c>
      <c r="C3685" s="1">
        <v>5.51</v>
      </c>
      <c r="D3685" s="1">
        <v>0.54</v>
      </c>
      <c r="E3685" s="1" t="s">
        <v>113</v>
      </c>
      <c r="F3685" s="1" t="s">
        <v>113</v>
      </c>
      <c r="G3685" s="1" t="s">
        <v>113</v>
      </c>
      <c r="H3685" s="1" t="str">
        <f>VLOOKUP(F3685,Countries!$A$1:$B$161,2,0)</f>
        <v>United States of America</v>
      </c>
    </row>
    <row r="3686" spans="1:8" x14ac:dyDescent="0.3">
      <c r="A3686" s="3">
        <v>46249.324594907397</v>
      </c>
      <c r="B3686" s="1">
        <v>6.37</v>
      </c>
      <c r="C3686" s="1">
        <v>5.51</v>
      </c>
      <c r="D3686" s="1">
        <v>0.54</v>
      </c>
      <c r="E3686" s="1" t="s">
        <v>113</v>
      </c>
      <c r="F3686" s="1" t="s">
        <v>113</v>
      </c>
      <c r="G3686" s="1" t="s">
        <v>113</v>
      </c>
      <c r="H3686" s="1" t="str">
        <f>VLOOKUP(F3686,Countries!$A$1:$B$161,2,0)</f>
        <v>United States of America</v>
      </c>
    </row>
    <row r="3687" spans="1:8" x14ac:dyDescent="0.3">
      <c r="A3687" s="3">
        <v>46249.318124999998</v>
      </c>
      <c r="B3687" s="1">
        <v>10.85</v>
      </c>
      <c r="C3687" s="1">
        <v>9.3800000000000008</v>
      </c>
      <c r="D3687" s="1">
        <v>0.74</v>
      </c>
      <c r="E3687" s="1" t="s">
        <v>115</v>
      </c>
      <c r="F3687" s="1" t="s">
        <v>115</v>
      </c>
      <c r="G3687" s="1" t="s">
        <v>115</v>
      </c>
      <c r="H3687" s="1" t="str">
        <f>VLOOKUP(F3687,Countries!$A$1:$B$161,2,0)</f>
        <v>Switzerland</v>
      </c>
    </row>
    <row r="3688" spans="1:8" x14ac:dyDescent="0.3">
      <c r="A3688" s="3">
        <v>46249.315960648149</v>
      </c>
      <c r="B3688" s="1">
        <v>1.99</v>
      </c>
      <c r="C3688" s="1">
        <v>1.72</v>
      </c>
      <c r="D3688" s="1">
        <v>0.34</v>
      </c>
      <c r="E3688" s="1" t="s">
        <v>164</v>
      </c>
      <c r="F3688" s="1" t="s">
        <v>164</v>
      </c>
      <c r="G3688" s="1" t="s">
        <v>164</v>
      </c>
      <c r="H3688" s="1" t="str">
        <f>VLOOKUP(F3688,Countries!$A$1:$B$161,2,0)</f>
        <v>Guyana</v>
      </c>
    </row>
    <row r="3689" spans="1:8" x14ac:dyDescent="0.3">
      <c r="A3689" s="3">
        <v>46249.308148148149</v>
      </c>
      <c r="B3689" s="1">
        <v>10.62</v>
      </c>
      <c r="C3689" s="1">
        <v>9.18</v>
      </c>
      <c r="D3689" s="1">
        <v>0.73</v>
      </c>
      <c r="E3689" s="1" t="s">
        <v>113</v>
      </c>
      <c r="F3689" s="1" t="s">
        <v>113</v>
      </c>
      <c r="G3689" s="1" t="s">
        <v>113</v>
      </c>
      <c r="H3689" s="1" t="str">
        <f>VLOOKUP(F3689,Countries!$A$1:$B$161,2,0)</f>
        <v>United States of America</v>
      </c>
    </row>
    <row r="3690" spans="1:8" x14ac:dyDescent="0.3">
      <c r="A3690" s="3">
        <v>46249.301655092589</v>
      </c>
      <c r="B3690" s="1">
        <v>1.99</v>
      </c>
      <c r="C3690" s="1">
        <v>1.72</v>
      </c>
      <c r="D3690" s="1">
        <v>0.31</v>
      </c>
      <c r="E3690" s="1" t="s">
        <v>212</v>
      </c>
      <c r="F3690" s="1" t="s">
        <v>123</v>
      </c>
      <c r="G3690" s="1" t="s">
        <v>123</v>
      </c>
      <c r="H3690" s="1" t="str">
        <f>VLOOKUP(F3690,Countries!$A$1:$B$161,2,0)</f>
        <v>France</v>
      </c>
    </row>
    <row r="3691" spans="1:8" x14ac:dyDescent="0.3">
      <c r="A3691" s="3">
        <v>46249.297349537039</v>
      </c>
      <c r="B3691" s="1">
        <v>51.75</v>
      </c>
      <c r="C3691" s="1">
        <v>44.73</v>
      </c>
      <c r="D3691" s="1">
        <v>2.59</v>
      </c>
      <c r="E3691" s="1" t="s">
        <v>113</v>
      </c>
      <c r="F3691" s="1" t="s">
        <v>113</v>
      </c>
      <c r="G3691" s="1" t="s">
        <v>113</v>
      </c>
      <c r="H3691" s="1" t="str">
        <f>VLOOKUP(F3691,Countries!$A$1:$B$161,2,0)</f>
        <v>United States of America</v>
      </c>
    </row>
    <row r="3692" spans="1:8" x14ac:dyDescent="0.3">
      <c r="A3692" s="3">
        <v>46249.285555555558</v>
      </c>
      <c r="B3692" s="1">
        <v>3.51</v>
      </c>
      <c r="C3692" s="1">
        <v>3.03</v>
      </c>
      <c r="D3692" s="1">
        <v>0.41</v>
      </c>
      <c r="E3692" s="1" t="s">
        <v>213</v>
      </c>
      <c r="F3692" s="1" t="s">
        <v>213</v>
      </c>
      <c r="G3692" s="1" t="s">
        <v>213</v>
      </c>
      <c r="H3692" s="1" t="str">
        <f>VLOOKUP(F3692,Countries!$A$1:$B$161,2,0)</f>
        <v>Kenya</v>
      </c>
    </row>
    <row r="3693" spans="1:8" x14ac:dyDescent="0.3">
      <c r="A3693" s="3">
        <v>46249.278761574067</v>
      </c>
      <c r="B3693" s="1">
        <v>6.37</v>
      </c>
      <c r="C3693" s="1">
        <v>5.51</v>
      </c>
      <c r="D3693" s="1">
        <v>0.54</v>
      </c>
      <c r="E3693" s="1" t="s">
        <v>113</v>
      </c>
      <c r="F3693" s="1" t="s">
        <v>113</v>
      </c>
      <c r="G3693" s="1" t="s">
        <v>113</v>
      </c>
      <c r="H3693" s="1" t="str">
        <f>VLOOKUP(F3693,Countries!$A$1:$B$161,2,0)</f>
        <v>United States of America</v>
      </c>
    </row>
    <row r="3694" spans="1:8" x14ac:dyDescent="0.3">
      <c r="A3694" s="3">
        <v>46249.272291666668</v>
      </c>
      <c r="B3694" s="1">
        <v>10.62</v>
      </c>
      <c r="C3694" s="1">
        <v>9.18</v>
      </c>
      <c r="D3694" s="1">
        <v>0.73</v>
      </c>
      <c r="E3694" s="1" t="s">
        <v>113</v>
      </c>
      <c r="F3694" s="1" t="s">
        <v>113</v>
      </c>
      <c r="G3694" s="1" t="s">
        <v>113</v>
      </c>
      <c r="H3694" s="1" t="str">
        <f>VLOOKUP(F3694,Countries!$A$1:$B$161,2,0)</f>
        <v>United States of America</v>
      </c>
    </row>
    <row r="3695" spans="1:8" x14ac:dyDescent="0.3">
      <c r="A3695" s="3">
        <v>46249.268842592603</v>
      </c>
      <c r="B3695" s="1">
        <v>6.37</v>
      </c>
      <c r="C3695" s="1">
        <v>5.51</v>
      </c>
      <c r="D3695" s="1">
        <v>0.54</v>
      </c>
      <c r="E3695" s="1" t="s">
        <v>113</v>
      </c>
      <c r="F3695" s="1" t="s">
        <v>113</v>
      </c>
      <c r="G3695" s="1" t="s">
        <v>113</v>
      </c>
      <c r="H3695" s="1" t="str">
        <f>VLOOKUP(F3695,Countries!$A$1:$B$161,2,0)</f>
        <v>United States of America</v>
      </c>
    </row>
    <row r="3696" spans="1:8" x14ac:dyDescent="0.3">
      <c r="A3696" s="3">
        <v>46249.26835648148</v>
      </c>
      <c r="B3696" s="1">
        <v>6.37</v>
      </c>
      <c r="C3696" s="1">
        <v>5.51</v>
      </c>
      <c r="D3696" s="1">
        <v>0.54</v>
      </c>
      <c r="E3696" s="1" t="s">
        <v>113</v>
      </c>
      <c r="F3696" s="1" t="s">
        <v>113</v>
      </c>
      <c r="G3696" s="1" t="s">
        <v>113</v>
      </c>
      <c r="H3696" s="1" t="str">
        <f>VLOOKUP(F3696,Countries!$A$1:$B$161,2,0)</f>
        <v>United States of America</v>
      </c>
    </row>
    <row r="3697" spans="1:8" x14ac:dyDescent="0.3">
      <c r="A3697" s="3">
        <v>46249.266064814823</v>
      </c>
      <c r="B3697" s="1">
        <v>6.37</v>
      </c>
      <c r="C3697" s="1">
        <v>5.51</v>
      </c>
      <c r="D3697" s="1">
        <v>0.54</v>
      </c>
      <c r="E3697" s="1" t="s">
        <v>113</v>
      </c>
      <c r="F3697" s="1" t="s">
        <v>113</v>
      </c>
      <c r="G3697" s="1" t="s">
        <v>113</v>
      </c>
      <c r="H3697" s="1" t="str">
        <f>VLOOKUP(F3697,Countries!$A$1:$B$161,2,0)</f>
        <v>United States of America</v>
      </c>
    </row>
    <row r="3698" spans="1:8" x14ac:dyDescent="0.3">
      <c r="A3698" s="3">
        <v>46249.263738425929</v>
      </c>
      <c r="B3698" s="1">
        <v>6.37</v>
      </c>
      <c r="C3698" s="1">
        <v>5.51</v>
      </c>
      <c r="D3698" s="1">
        <v>0.54</v>
      </c>
      <c r="E3698" s="1" t="s">
        <v>113</v>
      </c>
      <c r="F3698" s="1" t="s">
        <v>113</v>
      </c>
      <c r="G3698" s="1" t="s">
        <v>113</v>
      </c>
      <c r="H3698" s="1" t="str">
        <f>VLOOKUP(F3698,Countries!$A$1:$B$161,2,0)</f>
        <v>United States of America</v>
      </c>
    </row>
    <row r="3699" spans="1:8" x14ac:dyDescent="0.3">
      <c r="A3699" s="3">
        <v>46249.253576388888</v>
      </c>
      <c r="B3699" s="1">
        <v>2.48</v>
      </c>
      <c r="C3699" s="1">
        <v>2.14</v>
      </c>
      <c r="D3699" s="1">
        <v>0.32</v>
      </c>
      <c r="E3699" s="1" t="s">
        <v>212</v>
      </c>
      <c r="F3699" s="1" t="s">
        <v>123</v>
      </c>
      <c r="G3699" s="1" t="s">
        <v>123</v>
      </c>
      <c r="H3699" s="1" t="str">
        <f>VLOOKUP(F3699,Countries!$A$1:$B$161,2,0)</f>
        <v>France</v>
      </c>
    </row>
    <row r="3700" spans="1:8" x14ac:dyDescent="0.3">
      <c r="A3700" s="3">
        <v>46249.250879629632</v>
      </c>
      <c r="B3700" s="1">
        <v>10.62</v>
      </c>
      <c r="C3700" s="1">
        <v>9.18</v>
      </c>
      <c r="D3700" s="1">
        <v>0.73</v>
      </c>
      <c r="E3700" s="1" t="s">
        <v>113</v>
      </c>
      <c r="F3700" s="1" t="s">
        <v>113</v>
      </c>
      <c r="G3700" s="1" t="s">
        <v>113</v>
      </c>
      <c r="H3700" s="1" t="str">
        <f>VLOOKUP(F3700,Countries!$A$1:$B$161,2,0)</f>
        <v>United States of America</v>
      </c>
    </row>
    <row r="3701" spans="1:8" x14ac:dyDescent="0.3">
      <c r="A3701" s="3">
        <v>46249.235833333332</v>
      </c>
      <c r="B3701" s="1">
        <v>3.35</v>
      </c>
      <c r="C3701" s="1">
        <v>2.9</v>
      </c>
      <c r="D3701" s="1">
        <v>0.4</v>
      </c>
      <c r="E3701" s="1" t="s">
        <v>149</v>
      </c>
      <c r="F3701" s="1" t="s">
        <v>149</v>
      </c>
      <c r="G3701" s="1" t="s">
        <v>149</v>
      </c>
      <c r="H3701" s="1" t="str">
        <f>VLOOKUP(F3701,Countries!$A$1:$B$161,2,0)</f>
        <v>Indonesia</v>
      </c>
    </row>
    <row r="3702" spans="1:8" x14ac:dyDescent="0.3">
      <c r="A3702" s="3">
        <v>46249.234282407408</v>
      </c>
      <c r="B3702" s="1">
        <v>6.37</v>
      </c>
      <c r="C3702" s="1">
        <v>5.51</v>
      </c>
      <c r="D3702" s="1">
        <v>0.54</v>
      </c>
      <c r="E3702" s="1" t="s">
        <v>113</v>
      </c>
      <c r="F3702" s="1" t="s">
        <v>113</v>
      </c>
      <c r="G3702" s="1" t="s">
        <v>113</v>
      </c>
      <c r="H3702" s="1" t="str">
        <f>VLOOKUP(F3702,Countries!$A$1:$B$161,2,0)</f>
        <v>United States of America</v>
      </c>
    </row>
    <row r="3703" spans="1:8" x14ac:dyDescent="0.3">
      <c r="A3703" s="3">
        <v>46249.224131944437</v>
      </c>
      <c r="B3703" s="1">
        <v>2.11</v>
      </c>
      <c r="C3703" s="1">
        <v>1.82</v>
      </c>
      <c r="D3703" s="1">
        <v>0.35</v>
      </c>
      <c r="E3703" s="1" t="s">
        <v>113</v>
      </c>
      <c r="F3703" s="1" t="s">
        <v>113</v>
      </c>
      <c r="G3703" s="1" t="s">
        <v>113</v>
      </c>
      <c r="H3703" s="1" t="str">
        <f>VLOOKUP(F3703,Countries!$A$1:$B$161,2,0)</f>
        <v>United States of America</v>
      </c>
    </row>
    <row r="3704" spans="1:8" x14ac:dyDescent="0.3">
      <c r="A3704" s="3">
        <v>46249.214120370372</v>
      </c>
      <c r="B3704" s="1">
        <v>7.21</v>
      </c>
      <c r="C3704" s="1">
        <v>6.23</v>
      </c>
      <c r="D3704" s="1">
        <v>0.56999999999999995</v>
      </c>
      <c r="E3704" s="1" t="s">
        <v>165</v>
      </c>
      <c r="F3704" s="1" t="s">
        <v>165</v>
      </c>
      <c r="G3704" s="1" t="s">
        <v>165</v>
      </c>
      <c r="H3704" s="1" t="str">
        <f>VLOOKUP(F3704,Countries!$A$1:$B$161,2,0)</f>
        <v>Israel</v>
      </c>
    </row>
    <row r="3705" spans="1:8" x14ac:dyDescent="0.3">
      <c r="A3705" s="3">
        <v>46249.211886574078</v>
      </c>
      <c r="B3705" s="1">
        <v>26.59</v>
      </c>
      <c r="C3705" s="1">
        <v>22.98</v>
      </c>
      <c r="D3705" s="1">
        <v>1.46</v>
      </c>
      <c r="E3705" s="1" t="s">
        <v>113</v>
      </c>
      <c r="F3705" s="1" t="s">
        <v>113</v>
      </c>
      <c r="G3705" s="1" t="s">
        <v>113</v>
      </c>
      <c r="H3705" s="1" t="str">
        <f>VLOOKUP(F3705,Countries!$A$1:$B$161,2,0)</f>
        <v>United States of America</v>
      </c>
    </row>
    <row r="3706" spans="1:8" x14ac:dyDescent="0.3">
      <c r="A3706" s="3">
        <v>46249.20653935185</v>
      </c>
      <c r="B3706" s="1">
        <v>13.89</v>
      </c>
      <c r="C3706" s="1">
        <v>12.01</v>
      </c>
      <c r="D3706" s="1">
        <v>0.88</v>
      </c>
      <c r="E3706" s="1" t="s">
        <v>142</v>
      </c>
      <c r="F3706" s="1" t="s">
        <v>142</v>
      </c>
      <c r="G3706" s="1" t="s">
        <v>142</v>
      </c>
      <c r="H3706" s="1" t="str">
        <f>VLOOKUP(F3706,Countries!$A$1:$B$161,2,0)</f>
        <v>India</v>
      </c>
    </row>
    <row r="3707" spans="1:8" x14ac:dyDescent="0.3">
      <c r="A3707" s="3">
        <v>46249.198634259257</v>
      </c>
      <c r="B3707" s="1">
        <v>19.03</v>
      </c>
      <c r="C3707" s="1">
        <v>16.45</v>
      </c>
      <c r="D3707" s="1">
        <v>1.1100000000000001</v>
      </c>
      <c r="E3707" s="1" t="s">
        <v>181</v>
      </c>
      <c r="F3707" s="1" t="s">
        <v>181</v>
      </c>
      <c r="G3707" s="1" t="s">
        <v>181</v>
      </c>
      <c r="H3707" s="1" t="str">
        <f>VLOOKUP(F3707,Countries!$A$1:$B$161,2,0)</f>
        <v>Mexico</v>
      </c>
    </row>
    <row r="3708" spans="1:8" x14ac:dyDescent="0.3">
      <c r="A3708" s="3">
        <v>46249.198298611111</v>
      </c>
      <c r="B3708" s="1">
        <v>6.37</v>
      </c>
      <c r="C3708" s="1">
        <v>5.51</v>
      </c>
      <c r="D3708" s="1">
        <v>0.54</v>
      </c>
      <c r="E3708" s="1" t="s">
        <v>113</v>
      </c>
      <c r="F3708" s="1" t="s">
        <v>113</v>
      </c>
      <c r="G3708" s="1" t="s">
        <v>113</v>
      </c>
      <c r="H3708" s="1" t="str">
        <f>VLOOKUP(F3708,Countries!$A$1:$B$161,2,0)</f>
        <v>United States of America</v>
      </c>
    </row>
    <row r="3709" spans="1:8" x14ac:dyDescent="0.3">
      <c r="A3709" s="3">
        <v>46249.181388888886</v>
      </c>
      <c r="B3709" s="1">
        <v>17.010000000000002</v>
      </c>
      <c r="C3709" s="1">
        <v>14.7</v>
      </c>
      <c r="D3709" s="1">
        <v>1.02</v>
      </c>
      <c r="E3709" s="1" t="s">
        <v>113</v>
      </c>
      <c r="F3709" s="1" t="s">
        <v>113</v>
      </c>
      <c r="G3709" s="1" t="s">
        <v>113</v>
      </c>
      <c r="H3709" s="1" t="str">
        <f>VLOOKUP(F3709,Countries!$A$1:$B$161,2,0)</f>
        <v>United States of America</v>
      </c>
    </row>
    <row r="3710" spans="1:8" x14ac:dyDescent="0.3">
      <c r="A3710" s="3">
        <v>46249.172048611108</v>
      </c>
      <c r="B3710" s="1">
        <v>2.09</v>
      </c>
      <c r="C3710" s="1">
        <v>1.81</v>
      </c>
      <c r="D3710" s="1">
        <v>0.35</v>
      </c>
      <c r="E3710" s="1" t="s">
        <v>166</v>
      </c>
      <c r="F3710" s="1" t="s">
        <v>143</v>
      </c>
      <c r="G3710" s="1" t="s">
        <v>143</v>
      </c>
      <c r="H3710" s="1" t="str">
        <f>VLOOKUP(F3710,Countries!$A$1:$B$161,2,0)</f>
        <v>United Arab Emirates</v>
      </c>
    </row>
    <row r="3711" spans="1:8" x14ac:dyDescent="0.3">
      <c r="A3711" s="3">
        <v>46249.164814814823</v>
      </c>
      <c r="B3711" s="1">
        <v>7.48</v>
      </c>
      <c r="C3711" s="1">
        <v>6.47</v>
      </c>
      <c r="D3711" s="1">
        <v>0.48</v>
      </c>
      <c r="E3711" s="1" t="s">
        <v>123</v>
      </c>
      <c r="F3711" s="1" t="s">
        <v>123</v>
      </c>
      <c r="G3711" s="1" t="s">
        <v>123</v>
      </c>
      <c r="H3711" s="1" t="str">
        <f>VLOOKUP(F3711,Countries!$A$1:$B$161,2,0)</f>
        <v>France</v>
      </c>
    </row>
    <row r="3712" spans="1:8" x14ac:dyDescent="0.3">
      <c r="A3712" s="3">
        <v>46249.160092592603</v>
      </c>
      <c r="B3712" s="1">
        <v>85.09</v>
      </c>
      <c r="C3712" s="1">
        <v>73.55</v>
      </c>
      <c r="D3712" s="1">
        <v>4.1100000000000003</v>
      </c>
      <c r="E3712" s="1" t="s">
        <v>113</v>
      </c>
      <c r="F3712" s="1" t="s">
        <v>113</v>
      </c>
      <c r="G3712" s="1" t="s">
        <v>113</v>
      </c>
      <c r="H3712" s="1" t="str">
        <f>VLOOKUP(F3712,Countries!$A$1:$B$161,2,0)</f>
        <v>United States of America</v>
      </c>
    </row>
    <row r="3713" spans="1:8" x14ac:dyDescent="0.3">
      <c r="A3713" s="3">
        <v>46249.135497685187</v>
      </c>
      <c r="B3713" s="1">
        <v>10.62</v>
      </c>
      <c r="C3713" s="1">
        <v>9.18</v>
      </c>
      <c r="D3713" s="1">
        <v>0.73</v>
      </c>
      <c r="E3713" s="1" t="s">
        <v>113</v>
      </c>
      <c r="F3713" s="1" t="s">
        <v>113</v>
      </c>
      <c r="G3713" s="1" t="s">
        <v>113</v>
      </c>
      <c r="H3713" s="1" t="str">
        <f>VLOOKUP(F3713,Countries!$A$1:$B$161,2,0)</f>
        <v>United States of America</v>
      </c>
    </row>
    <row r="3714" spans="1:8" x14ac:dyDescent="0.3">
      <c r="A3714" s="3">
        <v>46249.134895833333</v>
      </c>
      <c r="B3714" s="1">
        <v>2.99</v>
      </c>
      <c r="C3714" s="1">
        <v>2.58</v>
      </c>
      <c r="D3714" s="1">
        <v>0.38</v>
      </c>
      <c r="E3714" s="1" t="s">
        <v>113</v>
      </c>
      <c r="F3714" s="1" t="s">
        <v>113</v>
      </c>
      <c r="G3714" s="1" t="s">
        <v>113</v>
      </c>
      <c r="H3714" s="1" t="str">
        <f>VLOOKUP(F3714,Countries!$A$1:$B$161,2,0)</f>
        <v>United States of America</v>
      </c>
    </row>
    <row r="3715" spans="1:8" x14ac:dyDescent="0.3">
      <c r="A3715" s="3">
        <v>46249.130243055559</v>
      </c>
      <c r="B3715" s="1">
        <v>10.62</v>
      </c>
      <c r="C3715" s="1">
        <v>9.18</v>
      </c>
      <c r="D3715" s="1">
        <v>0.73</v>
      </c>
      <c r="E3715" s="1" t="s">
        <v>113</v>
      </c>
      <c r="F3715" s="1" t="s">
        <v>113</v>
      </c>
      <c r="G3715" s="1" t="s">
        <v>113</v>
      </c>
      <c r="H3715" s="1" t="str">
        <f>VLOOKUP(F3715,Countries!$A$1:$B$161,2,0)</f>
        <v>United States of America</v>
      </c>
    </row>
    <row r="3716" spans="1:8" x14ac:dyDescent="0.3">
      <c r="A3716" s="3">
        <v>46249.126446759263</v>
      </c>
      <c r="B3716" s="1">
        <v>4.24</v>
      </c>
      <c r="C3716" s="1">
        <v>3.66</v>
      </c>
      <c r="D3716" s="1">
        <v>0.44</v>
      </c>
      <c r="E3716" s="1"/>
      <c r="F3716" s="1" t="s">
        <v>113</v>
      </c>
      <c r="G3716" s="1" t="s">
        <v>113</v>
      </c>
      <c r="H3716" s="1" t="str">
        <f>VLOOKUP(F3716,Countries!$A$1:$B$161,2,0)</f>
        <v>United States of America</v>
      </c>
    </row>
    <row r="3717" spans="1:8" x14ac:dyDescent="0.3">
      <c r="A3717" s="3">
        <v>46249.120081018518</v>
      </c>
      <c r="B3717" s="1">
        <v>6.65</v>
      </c>
      <c r="C3717" s="1">
        <v>5.75</v>
      </c>
      <c r="D3717" s="1">
        <v>0.56000000000000005</v>
      </c>
      <c r="E3717" s="1" t="s">
        <v>130</v>
      </c>
      <c r="F3717" s="1" t="s">
        <v>130</v>
      </c>
      <c r="G3717" s="1" t="s">
        <v>130</v>
      </c>
      <c r="H3717" s="1" t="str">
        <f>VLOOKUP(F3717,Countries!$A$1:$B$161,2,0)</f>
        <v>Australia</v>
      </c>
    </row>
    <row r="3718" spans="1:8" x14ac:dyDescent="0.3">
      <c r="A3718" s="3">
        <v>46249.119444444441</v>
      </c>
      <c r="B3718" s="1">
        <v>17.010000000000002</v>
      </c>
      <c r="C3718" s="1">
        <v>14.7</v>
      </c>
      <c r="D3718" s="1">
        <v>1.02</v>
      </c>
      <c r="E3718" s="1" t="s">
        <v>113</v>
      </c>
      <c r="F3718" s="1" t="s">
        <v>113</v>
      </c>
      <c r="G3718" s="1" t="s">
        <v>113</v>
      </c>
      <c r="H3718" s="1" t="str">
        <f>VLOOKUP(F3718,Countries!$A$1:$B$161,2,0)</f>
        <v>United States of America</v>
      </c>
    </row>
    <row r="3719" spans="1:8" x14ac:dyDescent="0.3">
      <c r="A3719" s="3">
        <v>46249.115173611113</v>
      </c>
      <c r="B3719" s="1">
        <v>5.99</v>
      </c>
      <c r="C3719" s="1">
        <v>5.18</v>
      </c>
      <c r="D3719" s="1">
        <v>0.52</v>
      </c>
      <c r="E3719" s="1" t="s">
        <v>129</v>
      </c>
      <c r="F3719" s="1" t="s">
        <v>129</v>
      </c>
      <c r="G3719" s="1" t="s">
        <v>129</v>
      </c>
      <c r="H3719" s="1" t="str">
        <f>VLOOKUP(F3719,Countries!$A$1:$B$161,2,0)</f>
        <v>Qatar</v>
      </c>
    </row>
    <row r="3720" spans="1:8" x14ac:dyDescent="0.3">
      <c r="A3720" s="3">
        <v>46249.101956018523</v>
      </c>
      <c r="B3720" s="1">
        <v>3.18</v>
      </c>
      <c r="C3720" s="1">
        <v>2.75</v>
      </c>
      <c r="D3720" s="1">
        <v>0.4</v>
      </c>
      <c r="E3720" s="1" t="s">
        <v>113</v>
      </c>
      <c r="F3720" s="1" t="s">
        <v>113</v>
      </c>
      <c r="G3720" s="1" t="s">
        <v>113</v>
      </c>
      <c r="H3720" s="1" t="str">
        <f>VLOOKUP(F3720,Countries!$A$1:$B$161,2,0)</f>
        <v>United States of America</v>
      </c>
    </row>
    <row r="3721" spans="1:8" x14ac:dyDescent="0.3">
      <c r="A3721" s="3">
        <v>46249.09957175926</v>
      </c>
      <c r="B3721" s="1">
        <v>3.73</v>
      </c>
      <c r="C3721" s="1">
        <v>3.22</v>
      </c>
      <c r="D3721" s="1">
        <v>0.39</v>
      </c>
      <c r="E3721" s="1" t="s">
        <v>119</v>
      </c>
      <c r="F3721" s="1" t="s">
        <v>119</v>
      </c>
      <c r="G3721" s="1" t="s">
        <v>119</v>
      </c>
      <c r="H3721" s="1" t="str">
        <f>VLOOKUP(F3721,Countries!$A$1:$B$161,2,0)</f>
        <v>Great Britain (United Kingdom)</v>
      </c>
    </row>
    <row r="3722" spans="1:8" x14ac:dyDescent="0.3">
      <c r="A3722" s="3">
        <v>46249.099236111113</v>
      </c>
      <c r="B3722" s="1">
        <v>2.11</v>
      </c>
      <c r="C3722" s="1">
        <v>1.82</v>
      </c>
      <c r="D3722" s="1">
        <v>0.35</v>
      </c>
      <c r="E3722" s="1" t="s">
        <v>113</v>
      </c>
      <c r="F3722" s="1" t="s">
        <v>113</v>
      </c>
      <c r="G3722" s="1" t="s">
        <v>113</v>
      </c>
      <c r="H3722" s="1" t="str">
        <f>VLOOKUP(F3722,Countries!$A$1:$B$161,2,0)</f>
        <v>United States of America</v>
      </c>
    </row>
    <row r="3723" spans="1:8" x14ac:dyDescent="0.3">
      <c r="A3723" s="3">
        <v>46249.095243055563</v>
      </c>
      <c r="B3723" s="1">
        <v>10.62</v>
      </c>
      <c r="C3723" s="1">
        <v>9.18</v>
      </c>
      <c r="D3723" s="1">
        <v>0.73</v>
      </c>
      <c r="E3723" s="1" t="s">
        <v>113</v>
      </c>
      <c r="F3723" s="1" t="s">
        <v>113</v>
      </c>
      <c r="G3723" s="1" t="s">
        <v>113</v>
      </c>
      <c r="H3723" s="1" t="str">
        <f>VLOOKUP(F3723,Countries!$A$1:$B$161,2,0)</f>
        <v>United States of America</v>
      </c>
    </row>
    <row r="3724" spans="1:8" x14ac:dyDescent="0.3">
      <c r="A3724" s="3">
        <v>46249.084872685176</v>
      </c>
      <c r="B3724" s="1">
        <v>3.18</v>
      </c>
      <c r="C3724" s="1">
        <v>2.75</v>
      </c>
      <c r="D3724" s="1">
        <v>0.4</v>
      </c>
      <c r="E3724" s="1" t="s">
        <v>113</v>
      </c>
      <c r="F3724" s="1" t="s">
        <v>113</v>
      </c>
      <c r="G3724" s="1" t="s">
        <v>113</v>
      </c>
      <c r="H3724" s="1" t="str">
        <f>VLOOKUP(F3724,Countries!$A$1:$B$161,2,0)</f>
        <v>United States of America</v>
      </c>
    </row>
    <row r="3725" spans="1:8" x14ac:dyDescent="0.3">
      <c r="A3725" s="3">
        <v>46249.082615740743</v>
      </c>
      <c r="B3725" s="1">
        <v>1.99</v>
      </c>
      <c r="C3725" s="1">
        <v>1.72</v>
      </c>
      <c r="D3725" s="1">
        <v>0.34</v>
      </c>
      <c r="E3725" s="1" t="s">
        <v>202</v>
      </c>
      <c r="F3725" s="1" t="s">
        <v>202</v>
      </c>
      <c r="G3725" s="1" t="s">
        <v>202</v>
      </c>
      <c r="H3725" s="1" t="str">
        <f>VLOOKUP(F3725,Countries!$A$1:$B$161,2,0)</f>
        <v>Lebanon</v>
      </c>
    </row>
    <row r="3726" spans="1:8" x14ac:dyDescent="0.3">
      <c r="A3726" s="3">
        <v>46249.072534722232</v>
      </c>
      <c r="B3726" s="1">
        <v>16.34</v>
      </c>
      <c r="C3726" s="1">
        <v>14.12</v>
      </c>
      <c r="D3726" s="1">
        <v>0.99</v>
      </c>
      <c r="E3726" s="1" t="s">
        <v>163</v>
      </c>
      <c r="F3726" s="1" t="s">
        <v>163</v>
      </c>
      <c r="G3726" s="1" t="s">
        <v>163</v>
      </c>
      <c r="H3726" s="1" t="str">
        <f>VLOOKUP(F3726,Countries!$A$1:$B$161,2,0)</f>
        <v>Saudi Arabia</v>
      </c>
    </row>
    <row r="3727" spans="1:8" x14ac:dyDescent="0.3">
      <c r="A3727" s="3">
        <v>46249.067928240736</v>
      </c>
      <c r="B3727" s="1">
        <v>10.62</v>
      </c>
      <c r="C3727" s="1">
        <v>9.18</v>
      </c>
      <c r="D3727" s="1">
        <v>0.73</v>
      </c>
      <c r="E3727" s="1" t="s">
        <v>113</v>
      </c>
      <c r="F3727" s="1" t="s">
        <v>113</v>
      </c>
      <c r="G3727" s="1" t="s">
        <v>113</v>
      </c>
      <c r="H3727" s="1" t="str">
        <f>VLOOKUP(F3727,Countries!$A$1:$B$161,2,0)</f>
        <v>United States of America</v>
      </c>
    </row>
    <row r="3728" spans="1:8" x14ac:dyDescent="0.3">
      <c r="A3728" s="3">
        <v>46249.06145833333</v>
      </c>
      <c r="B3728" s="1">
        <v>10.62</v>
      </c>
      <c r="C3728" s="1">
        <v>9.18</v>
      </c>
      <c r="D3728" s="1">
        <v>0.73</v>
      </c>
      <c r="E3728" s="1" t="s">
        <v>113</v>
      </c>
      <c r="F3728" s="1" t="s">
        <v>113</v>
      </c>
      <c r="G3728" s="1" t="s">
        <v>113</v>
      </c>
      <c r="H3728" s="1" t="str">
        <f>VLOOKUP(F3728,Countries!$A$1:$B$161,2,0)</f>
        <v>United States of America</v>
      </c>
    </row>
    <row r="3729" spans="1:8" x14ac:dyDescent="0.3">
      <c r="A3729" s="3">
        <v>46249.055925925917</v>
      </c>
      <c r="B3729" s="1">
        <v>12.33</v>
      </c>
      <c r="C3729" s="1">
        <v>10.66</v>
      </c>
      <c r="D3729" s="1">
        <v>0.81</v>
      </c>
      <c r="E3729" s="1" t="s">
        <v>163</v>
      </c>
      <c r="F3729" s="1" t="s">
        <v>163</v>
      </c>
      <c r="G3729" s="1" t="s">
        <v>163</v>
      </c>
      <c r="H3729" s="1" t="str">
        <f>VLOOKUP(F3729,Countries!$A$1:$B$161,2,0)</f>
        <v>Saudi Arabia</v>
      </c>
    </row>
    <row r="3730" spans="1:8" x14ac:dyDescent="0.3">
      <c r="A3730" s="3">
        <v>46249.054618055547</v>
      </c>
      <c r="B3730" s="1">
        <v>6.37</v>
      </c>
      <c r="C3730" s="1">
        <v>5.51</v>
      </c>
      <c r="D3730" s="1">
        <v>0.54</v>
      </c>
      <c r="E3730" s="1" t="s">
        <v>113</v>
      </c>
      <c r="F3730" s="1" t="s">
        <v>113</v>
      </c>
      <c r="G3730" s="1" t="s">
        <v>113</v>
      </c>
      <c r="H3730" s="1" t="str">
        <f>VLOOKUP(F3730,Countries!$A$1:$B$161,2,0)</f>
        <v>United States of America</v>
      </c>
    </row>
    <row r="3731" spans="1:8" x14ac:dyDescent="0.3">
      <c r="A3731" s="3">
        <v>46249.054456018523</v>
      </c>
      <c r="B3731" s="1">
        <v>14.62</v>
      </c>
      <c r="C3731" s="1">
        <v>12.64</v>
      </c>
      <c r="D3731" s="1">
        <v>0.91</v>
      </c>
      <c r="E3731" s="1" t="s">
        <v>132</v>
      </c>
      <c r="F3731" s="1" t="s">
        <v>132</v>
      </c>
      <c r="G3731" s="1" t="s">
        <v>132</v>
      </c>
      <c r="H3731" s="1" t="str">
        <f>VLOOKUP(F3731,Countries!$A$1:$B$161,2,0)</f>
        <v>Canada</v>
      </c>
    </row>
    <row r="3732" spans="1:8" x14ac:dyDescent="0.3">
      <c r="A3732" s="3">
        <v>46249.049444444441</v>
      </c>
      <c r="B3732" s="1">
        <v>6.37</v>
      </c>
      <c r="C3732" s="1">
        <v>5.51</v>
      </c>
      <c r="D3732" s="1">
        <v>0.54</v>
      </c>
      <c r="E3732" s="1" t="s">
        <v>113</v>
      </c>
      <c r="F3732" s="1" t="s">
        <v>113</v>
      </c>
      <c r="G3732" s="1" t="s">
        <v>113</v>
      </c>
      <c r="H3732" s="1" t="str">
        <f>VLOOKUP(F3732,Countries!$A$1:$B$161,2,0)</f>
        <v>United States of America</v>
      </c>
    </row>
    <row r="3733" spans="1:8" x14ac:dyDescent="0.3">
      <c r="A3733" s="3">
        <v>46249.042916666673</v>
      </c>
      <c r="B3733" s="1">
        <v>10.62</v>
      </c>
      <c r="C3733" s="1">
        <v>9.18</v>
      </c>
      <c r="D3733" s="1">
        <v>0.73</v>
      </c>
      <c r="E3733" s="1" t="s">
        <v>113</v>
      </c>
      <c r="F3733" s="1" t="s">
        <v>113</v>
      </c>
      <c r="G3733" s="1" t="s">
        <v>113</v>
      </c>
      <c r="H3733" s="1" t="str">
        <f>VLOOKUP(F3733,Countries!$A$1:$B$161,2,0)</f>
        <v>United States of America</v>
      </c>
    </row>
    <row r="3734" spans="1:8" x14ac:dyDescent="0.3">
      <c r="A3734" s="3">
        <v>46249.037974537037</v>
      </c>
      <c r="B3734" s="1">
        <v>7.67</v>
      </c>
      <c r="C3734" s="1">
        <v>6.63</v>
      </c>
      <c r="D3734" s="1">
        <v>0.48</v>
      </c>
      <c r="E3734" s="1" t="s">
        <v>203</v>
      </c>
      <c r="F3734" s="1" t="s">
        <v>203</v>
      </c>
      <c r="G3734" s="1" t="s">
        <v>203</v>
      </c>
      <c r="H3734" s="1" t="str">
        <f>VLOOKUP(F3734,Countries!$A$1:$B$161,2,0)</f>
        <v>Slovenia</v>
      </c>
    </row>
    <row r="3735" spans="1:8" x14ac:dyDescent="0.3">
      <c r="A3735" s="3">
        <v>46249.035150462973</v>
      </c>
      <c r="B3735" s="1">
        <v>3.39</v>
      </c>
      <c r="C3735" s="1">
        <v>2.93</v>
      </c>
      <c r="D3735" s="1">
        <v>0.41</v>
      </c>
      <c r="E3735" s="1" t="s">
        <v>114</v>
      </c>
      <c r="F3735" s="1" t="s">
        <v>114</v>
      </c>
      <c r="G3735" s="1" t="s">
        <v>114</v>
      </c>
      <c r="H3735" s="1" t="str">
        <f>VLOOKUP(F3735,Countries!$A$1:$B$161,2,0)</f>
        <v>Philippines</v>
      </c>
    </row>
    <row r="3736" spans="1:8" x14ac:dyDescent="0.3">
      <c r="A3736" s="3">
        <v>46249.031458333331</v>
      </c>
      <c r="B3736" s="1">
        <v>17.57</v>
      </c>
      <c r="C3736" s="1">
        <v>15.19</v>
      </c>
      <c r="D3736" s="1">
        <v>1.04</v>
      </c>
      <c r="E3736" s="1" t="s">
        <v>152</v>
      </c>
      <c r="F3736" s="1" t="s">
        <v>152</v>
      </c>
      <c r="G3736" s="1" t="s">
        <v>152</v>
      </c>
      <c r="H3736" s="1" t="str">
        <f>VLOOKUP(F3736,Countries!$A$1:$B$161,2,0)</f>
        <v>Singapore</v>
      </c>
    </row>
    <row r="3737" spans="1:8" x14ac:dyDescent="0.3">
      <c r="A3737" s="3">
        <v>46249.030636574083</v>
      </c>
      <c r="B3737" s="1">
        <v>10.62</v>
      </c>
      <c r="C3737" s="1">
        <v>9.18</v>
      </c>
      <c r="D3737" s="1">
        <v>0.73</v>
      </c>
      <c r="E3737" s="1" t="s">
        <v>113</v>
      </c>
      <c r="F3737" s="1" t="s">
        <v>113</v>
      </c>
      <c r="G3737" s="1" t="s">
        <v>113</v>
      </c>
      <c r="H3737" s="1" t="str">
        <f>VLOOKUP(F3737,Countries!$A$1:$B$161,2,0)</f>
        <v>United States of America</v>
      </c>
    </row>
    <row r="3738" spans="1:8" x14ac:dyDescent="0.3">
      <c r="A3738" s="3">
        <v>46249.028414351851</v>
      </c>
      <c r="B3738" s="1">
        <v>2.48</v>
      </c>
      <c r="C3738" s="1">
        <v>2.14</v>
      </c>
      <c r="D3738" s="1">
        <v>0.32</v>
      </c>
      <c r="E3738" s="1" t="s">
        <v>123</v>
      </c>
      <c r="F3738" s="1" t="s">
        <v>123</v>
      </c>
      <c r="G3738" s="1" t="s">
        <v>123</v>
      </c>
      <c r="H3738" s="1" t="str">
        <f>VLOOKUP(F3738,Countries!$A$1:$B$161,2,0)</f>
        <v>France</v>
      </c>
    </row>
    <row r="3739" spans="1:8" x14ac:dyDescent="0.3">
      <c r="A3739" s="3">
        <v>46249.025451388887</v>
      </c>
      <c r="B3739" s="1">
        <v>17.010000000000002</v>
      </c>
      <c r="C3739" s="1">
        <v>14.7</v>
      </c>
      <c r="D3739" s="1">
        <v>1.02</v>
      </c>
      <c r="E3739" s="1" t="s">
        <v>113</v>
      </c>
      <c r="F3739" s="1" t="s">
        <v>113</v>
      </c>
      <c r="G3739" s="1" t="s">
        <v>113</v>
      </c>
      <c r="H3739" s="1" t="str">
        <f>VLOOKUP(F3739,Countries!$A$1:$B$161,2,0)</f>
        <v>United States of America</v>
      </c>
    </row>
    <row r="3740" spans="1:8" x14ac:dyDescent="0.3">
      <c r="A3740" s="3">
        <v>46249.023888888893</v>
      </c>
      <c r="B3740" s="1">
        <v>3.39</v>
      </c>
      <c r="C3740" s="1">
        <v>2.93</v>
      </c>
      <c r="D3740" s="1">
        <v>0.41</v>
      </c>
      <c r="E3740" s="1" t="s">
        <v>114</v>
      </c>
      <c r="F3740" s="1" t="s">
        <v>114</v>
      </c>
      <c r="G3740" s="1" t="s">
        <v>114</v>
      </c>
      <c r="H3740" s="1" t="str">
        <f>VLOOKUP(F3740,Countries!$A$1:$B$161,2,0)</f>
        <v>Philippines</v>
      </c>
    </row>
    <row r="3741" spans="1:8" x14ac:dyDescent="0.3">
      <c r="A3741" s="3">
        <v>46249.02202546296</v>
      </c>
      <c r="B3741" s="1">
        <v>58.41</v>
      </c>
      <c r="C3741" s="1">
        <v>50.49</v>
      </c>
      <c r="D3741" s="1">
        <v>2.9</v>
      </c>
      <c r="E3741" s="1" t="s">
        <v>132</v>
      </c>
      <c r="F3741" s="1" t="s">
        <v>132</v>
      </c>
      <c r="G3741" s="1" t="s">
        <v>132</v>
      </c>
      <c r="H3741" s="1" t="str">
        <f>VLOOKUP(F3741,Countries!$A$1:$B$161,2,0)</f>
        <v>Canada</v>
      </c>
    </row>
    <row r="3742" spans="1:8" x14ac:dyDescent="0.3">
      <c r="A3742" s="3">
        <v>46249.020833333343</v>
      </c>
      <c r="B3742" s="1">
        <v>58.41</v>
      </c>
      <c r="C3742" s="1">
        <v>50.49</v>
      </c>
      <c r="D3742" s="1">
        <v>2.9</v>
      </c>
      <c r="E3742" s="1" t="s">
        <v>132</v>
      </c>
      <c r="F3742" s="1" t="s">
        <v>132</v>
      </c>
      <c r="G3742" s="1" t="s">
        <v>132</v>
      </c>
      <c r="H3742" s="1" t="str">
        <f>VLOOKUP(F3742,Countries!$A$1:$B$161,2,0)</f>
        <v>Canada</v>
      </c>
    </row>
    <row r="3743" spans="1:8" x14ac:dyDescent="0.3">
      <c r="A3743" s="3">
        <v>46249.012962962966</v>
      </c>
      <c r="B3743" s="1">
        <v>5.99</v>
      </c>
      <c r="C3743" s="1">
        <v>5.18</v>
      </c>
      <c r="D3743" s="1">
        <v>0.52</v>
      </c>
      <c r="E3743" s="1" t="s">
        <v>143</v>
      </c>
      <c r="F3743" s="1" t="s">
        <v>143</v>
      </c>
      <c r="G3743" s="1" t="s">
        <v>143</v>
      </c>
      <c r="H3743" s="1" t="str">
        <f>VLOOKUP(F3743,Countries!$A$1:$B$161,2,0)</f>
        <v>United Arab Emirates</v>
      </c>
    </row>
    <row r="3744" spans="1:8" x14ac:dyDescent="0.3">
      <c r="A3744" s="3">
        <v>46249.011840277781</v>
      </c>
      <c r="B3744" s="1">
        <v>2.11</v>
      </c>
      <c r="C3744" s="1">
        <v>1.82</v>
      </c>
      <c r="D3744" s="1">
        <v>0.35</v>
      </c>
      <c r="E3744" s="1" t="s">
        <v>113</v>
      </c>
      <c r="F3744" s="1" t="s">
        <v>113</v>
      </c>
      <c r="G3744" s="1" t="s">
        <v>113</v>
      </c>
      <c r="H3744" s="1" t="str">
        <f>VLOOKUP(F3744,Countries!$A$1:$B$161,2,0)</f>
        <v>United States of America</v>
      </c>
    </row>
    <row r="3745" spans="1:8" x14ac:dyDescent="0.3">
      <c r="A3745" s="3">
        <v>46249.008796296293</v>
      </c>
      <c r="B3745" s="1">
        <v>6.37</v>
      </c>
      <c r="C3745" s="1">
        <v>5.51</v>
      </c>
      <c r="D3745" s="1">
        <v>0.54</v>
      </c>
      <c r="E3745" s="1" t="s">
        <v>113</v>
      </c>
      <c r="F3745" s="1" t="s">
        <v>113</v>
      </c>
      <c r="G3745" s="1" t="s">
        <v>113</v>
      </c>
      <c r="H3745" s="1" t="str">
        <f>VLOOKUP(F3745,Countries!$A$1:$B$161,2,0)</f>
        <v>United States of America</v>
      </c>
    </row>
    <row r="3746" spans="1:8" x14ac:dyDescent="0.3">
      <c r="A3746" s="3">
        <v>46249.008599537039</v>
      </c>
      <c r="B3746" s="1">
        <v>6.37</v>
      </c>
      <c r="C3746" s="1">
        <v>5.51</v>
      </c>
      <c r="D3746" s="1">
        <v>0.54</v>
      </c>
      <c r="E3746" s="1" t="s">
        <v>113</v>
      </c>
      <c r="F3746" s="1" t="s">
        <v>113</v>
      </c>
      <c r="G3746" s="1" t="s">
        <v>113</v>
      </c>
      <c r="H3746" s="1" t="str">
        <f>VLOOKUP(F3746,Countries!$A$1:$B$161,2,0)</f>
        <v>United States of America</v>
      </c>
    </row>
    <row r="3747" spans="1:8" x14ac:dyDescent="0.3">
      <c r="A3747" s="3">
        <v>46249.004502314812</v>
      </c>
      <c r="B3747" s="1">
        <v>2.99</v>
      </c>
      <c r="C3747" s="1">
        <v>2.58</v>
      </c>
      <c r="D3747" s="1">
        <v>0.38</v>
      </c>
      <c r="E3747" s="1" t="s">
        <v>149</v>
      </c>
      <c r="F3747" s="1" t="s">
        <v>149</v>
      </c>
      <c r="G3747" s="1" t="s">
        <v>149</v>
      </c>
      <c r="H3747" s="1" t="str">
        <f>VLOOKUP(F3747,Countries!$A$1:$B$161,2,0)</f>
        <v>Indonesia</v>
      </c>
    </row>
    <row r="3748" spans="1:8" x14ac:dyDescent="0.3">
      <c r="A3748" s="3">
        <v>46248.997210648151</v>
      </c>
      <c r="B3748" s="1">
        <v>14.77</v>
      </c>
      <c r="C3748" s="1">
        <v>12.77</v>
      </c>
      <c r="D3748" s="1">
        <v>0.93</v>
      </c>
      <c r="E3748" s="1" t="s">
        <v>113</v>
      </c>
      <c r="F3748" s="1" t="s">
        <v>113</v>
      </c>
      <c r="G3748" s="1" t="s">
        <v>113</v>
      </c>
      <c r="H3748" s="1" t="str">
        <f>VLOOKUP(F3748,Countries!$A$1:$B$161,2,0)</f>
        <v>United States of America</v>
      </c>
    </row>
    <row r="3749" spans="1:8" x14ac:dyDescent="0.3">
      <c r="A3749" s="3">
        <v>46248.988437499997</v>
      </c>
      <c r="B3749" s="1">
        <v>6.37</v>
      </c>
      <c r="C3749" s="1">
        <v>5.51</v>
      </c>
      <c r="D3749" s="1">
        <v>0.54</v>
      </c>
      <c r="E3749" s="1" t="s">
        <v>113</v>
      </c>
      <c r="F3749" s="1" t="s">
        <v>113</v>
      </c>
      <c r="G3749" s="1" t="s">
        <v>113</v>
      </c>
      <c r="H3749" s="1" t="str">
        <f>VLOOKUP(F3749,Countries!$A$1:$B$161,2,0)</f>
        <v>United States of America</v>
      </c>
    </row>
    <row r="3750" spans="1:8" x14ac:dyDescent="0.3">
      <c r="A3750" s="3">
        <v>46248.986377314817</v>
      </c>
      <c r="B3750" s="1">
        <v>7.48</v>
      </c>
      <c r="C3750" s="1">
        <v>6.47</v>
      </c>
      <c r="D3750" s="1">
        <v>0.48</v>
      </c>
      <c r="E3750" s="1" t="s">
        <v>123</v>
      </c>
      <c r="F3750" s="1" t="s">
        <v>123</v>
      </c>
      <c r="G3750" s="1" t="s">
        <v>123</v>
      </c>
      <c r="H3750" s="1" t="str">
        <f>VLOOKUP(F3750,Countries!$A$1:$B$161,2,0)</f>
        <v>France</v>
      </c>
    </row>
    <row r="3751" spans="1:8" x14ac:dyDescent="0.3">
      <c r="A3751" s="3">
        <v>46248.976284722223</v>
      </c>
      <c r="B3751" s="1">
        <v>7.77</v>
      </c>
      <c r="C3751" s="1">
        <v>6.72</v>
      </c>
      <c r="D3751" s="1">
        <v>0.51</v>
      </c>
      <c r="E3751" s="1" t="s">
        <v>137</v>
      </c>
      <c r="F3751" s="1" t="s">
        <v>137</v>
      </c>
      <c r="G3751" s="1" t="s">
        <v>137</v>
      </c>
      <c r="H3751" s="1" t="str">
        <f>VLOOKUP(F3751,Countries!$A$1:$B$161,2,0)</f>
        <v>Poland</v>
      </c>
    </row>
    <row r="3752" spans="1:8" x14ac:dyDescent="0.3">
      <c r="A3752" s="3">
        <v>46248.966354166667</v>
      </c>
      <c r="B3752" s="1">
        <v>17.010000000000002</v>
      </c>
      <c r="C3752" s="1">
        <v>14.7</v>
      </c>
      <c r="D3752" s="1">
        <v>1.02</v>
      </c>
      <c r="E3752" s="1" t="s">
        <v>113</v>
      </c>
      <c r="F3752" s="1" t="s">
        <v>113</v>
      </c>
      <c r="G3752" s="1" t="s">
        <v>113</v>
      </c>
      <c r="H3752" s="1" t="str">
        <f>VLOOKUP(F3752,Countries!$A$1:$B$161,2,0)</f>
        <v>United States of America</v>
      </c>
    </row>
    <row r="3753" spans="1:8" x14ac:dyDescent="0.3">
      <c r="A3753" s="3">
        <v>46248.963483796288</v>
      </c>
      <c r="B3753" s="1">
        <v>6.37</v>
      </c>
      <c r="C3753" s="1">
        <v>5.51</v>
      </c>
      <c r="D3753" s="1">
        <v>0.54</v>
      </c>
      <c r="E3753" s="1" t="s">
        <v>113</v>
      </c>
      <c r="F3753" s="1" t="s">
        <v>113</v>
      </c>
      <c r="G3753" s="1" t="s">
        <v>113</v>
      </c>
      <c r="H3753" s="1" t="str">
        <f>VLOOKUP(F3753,Countries!$A$1:$B$161,2,0)</f>
        <v>United States of America</v>
      </c>
    </row>
    <row r="3754" spans="1:8" x14ac:dyDescent="0.3">
      <c r="A3754" s="3">
        <v>46248.961365740739</v>
      </c>
      <c r="B3754" s="1">
        <v>6.3</v>
      </c>
      <c r="C3754" s="1">
        <v>5.45</v>
      </c>
      <c r="D3754" s="1">
        <v>0.54</v>
      </c>
      <c r="E3754" s="1" t="s">
        <v>132</v>
      </c>
      <c r="F3754" s="1" t="s">
        <v>132</v>
      </c>
      <c r="G3754" s="1" t="s">
        <v>132</v>
      </c>
      <c r="H3754" s="1" t="str">
        <f>VLOOKUP(F3754,Countries!$A$1:$B$161,2,0)</f>
        <v>Canada</v>
      </c>
    </row>
    <row r="3755" spans="1:8" x14ac:dyDescent="0.3">
      <c r="A3755" s="3">
        <v>46248.934930555559</v>
      </c>
      <c r="B3755" s="1">
        <v>58.41</v>
      </c>
      <c r="C3755" s="1">
        <v>50.49</v>
      </c>
      <c r="D3755" s="1">
        <v>2.9</v>
      </c>
      <c r="E3755" s="1" t="s">
        <v>132</v>
      </c>
      <c r="F3755" s="1" t="s">
        <v>132</v>
      </c>
      <c r="G3755" s="1" t="s">
        <v>132</v>
      </c>
      <c r="H3755" s="1" t="str">
        <f>VLOOKUP(F3755,Countries!$A$1:$B$161,2,0)</f>
        <v>Canada</v>
      </c>
    </row>
    <row r="3756" spans="1:8" x14ac:dyDescent="0.3">
      <c r="A3756" s="3">
        <v>46248.932395833333</v>
      </c>
      <c r="B3756" s="1">
        <v>13.89</v>
      </c>
      <c r="C3756" s="1">
        <v>12.01</v>
      </c>
      <c r="D3756" s="1">
        <v>0.88</v>
      </c>
      <c r="E3756" s="1" t="s">
        <v>142</v>
      </c>
      <c r="F3756" s="1" t="s">
        <v>142</v>
      </c>
      <c r="G3756" s="1" t="s">
        <v>142</v>
      </c>
      <c r="H3756" s="1" t="str">
        <f>VLOOKUP(F3756,Countries!$A$1:$B$161,2,0)</f>
        <v>India</v>
      </c>
    </row>
    <row r="3757" spans="1:8" x14ac:dyDescent="0.3">
      <c r="A3757" s="3">
        <v>46248.93005787037</v>
      </c>
      <c r="B3757" s="1">
        <v>6.37</v>
      </c>
      <c r="C3757" s="1">
        <v>5.51</v>
      </c>
      <c r="D3757" s="1">
        <v>0.54</v>
      </c>
      <c r="E3757" s="1" t="s">
        <v>113</v>
      </c>
      <c r="F3757" s="1" t="s">
        <v>113</v>
      </c>
      <c r="G3757" s="1" t="s">
        <v>113</v>
      </c>
      <c r="H3757" s="1" t="str">
        <f>VLOOKUP(F3757,Countries!$A$1:$B$161,2,0)</f>
        <v>United States of America</v>
      </c>
    </row>
    <row r="3758" spans="1:8" x14ac:dyDescent="0.3">
      <c r="A3758" s="3">
        <v>46248.920428240737</v>
      </c>
      <c r="B3758" s="1">
        <v>9.99</v>
      </c>
      <c r="C3758" s="1">
        <v>8.64</v>
      </c>
      <c r="D3758" s="1">
        <v>0.7</v>
      </c>
      <c r="E3758" s="1" t="s">
        <v>142</v>
      </c>
      <c r="F3758" s="1" t="s">
        <v>142</v>
      </c>
      <c r="G3758" s="1" t="s">
        <v>142</v>
      </c>
      <c r="H3758" s="1" t="str">
        <f>VLOOKUP(F3758,Countries!$A$1:$B$161,2,0)</f>
        <v>India</v>
      </c>
    </row>
    <row r="3759" spans="1:8" x14ac:dyDescent="0.3">
      <c r="A3759" s="3">
        <v>46248.914097222223</v>
      </c>
      <c r="B3759" s="1">
        <v>6.37</v>
      </c>
      <c r="C3759" s="1">
        <v>5.5</v>
      </c>
      <c r="D3759" s="1">
        <v>0.54</v>
      </c>
      <c r="E3759" s="1" t="s">
        <v>183</v>
      </c>
      <c r="F3759" s="1" t="s">
        <v>183</v>
      </c>
      <c r="G3759" s="1" t="s">
        <v>183</v>
      </c>
      <c r="H3759" s="1" t="str">
        <f>VLOOKUP(F3759,Countries!$A$1:$B$161,2,0)</f>
        <v>Malaysia</v>
      </c>
    </row>
    <row r="3760" spans="1:8" x14ac:dyDescent="0.3">
      <c r="A3760" s="3">
        <v>46248.910787037043</v>
      </c>
      <c r="B3760" s="1">
        <v>2.4500000000000002</v>
      </c>
      <c r="C3760" s="1">
        <v>2.12</v>
      </c>
      <c r="D3760" s="1">
        <v>0.32</v>
      </c>
      <c r="E3760" s="1" t="s">
        <v>147</v>
      </c>
      <c r="F3760" s="1" t="s">
        <v>147</v>
      </c>
      <c r="G3760" s="1" t="s">
        <v>147</v>
      </c>
      <c r="H3760" s="1" t="str">
        <f>VLOOKUP(F3760,Countries!$A$1:$B$161,2,0)</f>
        <v>Germany</v>
      </c>
    </row>
    <row r="3761" spans="1:8" x14ac:dyDescent="0.3">
      <c r="A3761" s="3">
        <v>46248.910150462973</v>
      </c>
      <c r="B3761" s="1">
        <v>6.37</v>
      </c>
      <c r="C3761" s="1">
        <v>5.5</v>
      </c>
      <c r="D3761" s="1">
        <v>0.54</v>
      </c>
      <c r="E3761" s="1" t="s">
        <v>113</v>
      </c>
      <c r="F3761" s="1" t="s">
        <v>113</v>
      </c>
      <c r="G3761" s="1" t="s">
        <v>113</v>
      </c>
      <c r="H3761" s="1" t="str">
        <f>VLOOKUP(F3761,Countries!$A$1:$B$161,2,0)</f>
        <v>United States of America</v>
      </c>
    </row>
    <row r="3762" spans="1:8" x14ac:dyDescent="0.3">
      <c r="A3762" s="3">
        <v>46248.907152777778</v>
      </c>
      <c r="B3762" s="1">
        <v>1.99</v>
      </c>
      <c r="C3762" s="1">
        <v>1.72</v>
      </c>
      <c r="D3762" s="1">
        <v>0.34</v>
      </c>
      <c r="E3762" s="1" t="s">
        <v>126</v>
      </c>
      <c r="F3762" s="1" t="s">
        <v>126</v>
      </c>
      <c r="G3762" s="1" t="s">
        <v>126</v>
      </c>
      <c r="H3762" s="1" t="str">
        <f>VLOOKUP(F3762,Countries!$A$1:$B$161,2,0)</f>
        <v>Cambodia</v>
      </c>
    </row>
    <row r="3763" spans="1:8" x14ac:dyDescent="0.3">
      <c r="A3763" s="3">
        <v>46248.892870370371</v>
      </c>
      <c r="B3763" s="1">
        <v>10.85</v>
      </c>
      <c r="C3763" s="1">
        <v>9.3800000000000008</v>
      </c>
      <c r="D3763" s="1">
        <v>0.74</v>
      </c>
      <c r="E3763" s="1" t="s">
        <v>115</v>
      </c>
      <c r="F3763" s="1" t="s">
        <v>115</v>
      </c>
      <c r="G3763" s="1" t="s">
        <v>115</v>
      </c>
      <c r="H3763" s="1" t="str">
        <f>VLOOKUP(F3763,Countries!$A$1:$B$161,2,0)</f>
        <v>Switzerland</v>
      </c>
    </row>
    <row r="3764" spans="1:8" x14ac:dyDescent="0.3">
      <c r="A3764" s="3">
        <v>46248.886388888888</v>
      </c>
      <c r="B3764" s="1">
        <v>17.010000000000002</v>
      </c>
      <c r="C3764" s="1">
        <v>14.7</v>
      </c>
      <c r="D3764" s="1">
        <v>1.02</v>
      </c>
      <c r="E3764" s="1" t="s">
        <v>113</v>
      </c>
      <c r="F3764" s="1" t="s">
        <v>113</v>
      </c>
      <c r="G3764" s="1" t="s">
        <v>113</v>
      </c>
      <c r="H3764" s="1" t="str">
        <f>VLOOKUP(F3764,Countries!$A$1:$B$161,2,0)</f>
        <v>United States of America</v>
      </c>
    </row>
    <row r="3765" spans="1:8" x14ac:dyDescent="0.3">
      <c r="A3765" s="3">
        <v>46248.886307870373</v>
      </c>
      <c r="B3765" s="1">
        <v>15.43</v>
      </c>
      <c r="C3765" s="1">
        <v>13.33</v>
      </c>
      <c r="D3765" s="1">
        <v>0.95</v>
      </c>
      <c r="E3765" s="1" t="s">
        <v>130</v>
      </c>
      <c r="F3765" s="1" t="s">
        <v>130</v>
      </c>
      <c r="G3765" s="1" t="s">
        <v>130</v>
      </c>
      <c r="H3765" s="1" t="str">
        <f>VLOOKUP(F3765,Countries!$A$1:$B$161,2,0)</f>
        <v>Australia</v>
      </c>
    </row>
    <row r="3766" spans="1:8" x14ac:dyDescent="0.3">
      <c r="A3766" s="3">
        <v>46248.868159722217</v>
      </c>
      <c r="B3766" s="1">
        <v>6.37</v>
      </c>
      <c r="C3766" s="1">
        <v>5.51</v>
      </c>
      <c r="D3766" s="1">
        <v>0.54</v>
      </c>
      <c r="E3766" s="1" t="s">
        <v>113</v>
      </c>
      <c r="F3766" s="1" t="s">
        <v>113</v>
      </c>
      <c r="G3766" s="1" t="s">
        <v>113</v>
      </c>
      <c r="H3766" s="1" t="str">
        <f>VLOOKUP(F3766,Countries!$A$1:$B$161,2,0)</f>
        <v>United States of America</v>
      </c>
    </row>
    <row r="3767" spans="1:8" x14ac:dyDescent="0.3">
      <c r="A3767" s="3">
        <v>46248.867013888892</v>
      </c>
      <c r="B3767" s="1">
        <v>12.33</v>
      </c>
      <c r="C3767" s="1">
        <v>10.66</v>
      </c>
      <c r="D3767" s="1">
        <v>0.62</v>
      </c>
      <c r="E3767" s="1" t="s">
        <v>159</v>
      </c>
      <c r="F3767" s="1" t="s">
        <v>159</v>
      </c>
      <c r="G3767" s="1" t="s">
        <v>159</v>
      </c>
      <c r="H3767" s="1" t="str">
        <f>VLOOKUP(F3767,Countries!$A$1:$B$161,2,0)</f>
        <v>Romania</v>
      </c>
    </row>
    <row r="3768" spans="1:8" x14ac:dyDescent="0.3">
      <c r="A3768" s="3">
        <v>46248.866527777784</v>
      </c>
      <c r="B3768" s="1">
        <v>6.37</v>
      </c>
      <c r="C3768" s="1">
        <v>5.51</v>
      </c>
      <c r="D3768" s="1">
        <v>0.54</v>
      </c>
      <c r="E3768" s="1" t="s">
        <v>113</v>
      </c>
      <c r="F3768" s="1" t="s">
        <v>113</v>
      </c>
      <c r="G3768" s="1" t="s">
        <v>113</v>
      </c>
      <c r="H3768" s="1" t="str">
        <f>VLOOKUP(F3768,Countries!$A$1:$B$161,2,0)</f>
        <v>United States of America</v>
      </c>
    </row>
    <row r="3769" spans="1:8" x14ac:dyDescent="0.3">
      <c r="A3769" s="3">
        <v>46248.865949074083</v>
      </c>
      <c r="B3769" s="1">
        <v>44.36</v>
      </c>
      <c r="C3769" s="1">
        <v>38.340000000000003</v>
      </c>
      <c r="D3769" s="1">
        <v>2.27</v>
      </c>
      <c r="E3769" s="1" t="s">
        <v>113</v>
      </c>
      <c r="F3769" s="1" t="s">
        <v>113</v>
      </c>
      <c r="G3769" s="1" t="s">
        <v>113</v>
      </c>
      <c r="H3769" s="1" t="str">
        <f>VLOOKUP(F3769,Countries!$A$1:$B$161,2,0)</f>
        <v>United States of America</v>
      </c>
    </row>
    <row r="3770" spans="1:8" x14ac:dyDescent="0.3">
      <c r="A3770" s="3">
        <v>46248.863865740743</v>
      </c>
      <c r="B3770" s="1">
        <v>7.77</v>
      </c>
      <c r="C3770" s="1">
        <v>6.72</v>
      </c>
      <c r="D3770" s="1">
        <v>0.48</v>
      </c>
      <c r="E3770" s="1" t="s">
        <v>137</v>
      </c>
      <c r="F3770" s="1" t="s">
        <v>137</v>
      </c>
      <c r="G3770" s="1" t="s">
        <v>137</v>
      </c>
      <c r="H3770" s="1" t="str">
        <f>VLOOKUP(F3770,Countries!$A$1:$B$161,2,0)</f>
        <v>Poland</v>
      </c>
    </row>
    <row r="3771" spans="1:8" x14ac:dyDescent="0.3">
      <c r="A3771" s="3">
        <v>46248.863680555558</v>
      </c>
      <c r="B3771" s="1">
        <v>15.43</v>
      </c>
      <c r="C3771" s="1">
        <v>13.34</v>
      </c>
      <c r="D3771" s="1">
        <v>0.95</v>
      </c>
      <c r="E3771" s="1" t="s">
        <v>130</v>
      </c>
      <c r="F3771" s="1" t="s">
        <v>130</v>
      </c>
      <c r="G3771" s="1" t="s">
        <v>130</v>
      </c>
      <c r="H3771" s="1" t="str">
        <f>VLOOKUP(F3771,Countries!$A$1:$B$161,2,0)</f>
        <v>Australia</v>
      </c>
    </row>
    <row r="3772" spans="1:8" x14ac:dyDescent="0.3">
      <c r="A3772" s="3">
        <v>46248.862233796302</v>
      </c>
      <c r="B3772" s="1">
        <v>6.37</v>
      </c>
      <c r="C3772" s="1">
        <v>5.51</v>
      </c>
      <c r="D3772" s="1">
        <v>0.54</v>
      </c>
      <c r="E3772" s="1" t="s">
        <v>113</v>
      </c>
      <c r="F3772" s="1" t="s">
        <v>113</v>
      </c>
      <c r="G3772" s="1" t="s">
        <v>113</v>
      </c>
      <c r="H3772" s="1" t="str">
        <f>VLOOKUP(F3772,Countries!$A$1:$B$161,2,0)</f>
        <v>United States of America</v>
      </c>
    </row>
    <row r="3773" spans="1:8" x14ac:dyDescent="0.3">
      <c r="A3773" s="3">
        <v>46248.857604166667</v>
      </c>
      <c r="B3773" s="1">
        <v>6.37</v>
      </c>
      <c r="C3773" s="1">
        <v>5.51</v>
      </c>
      <c r="D3773" s="1">
        <v>0.54</v>
      </c>
      <c r="E3773" s="1" t="s">
        <v>113</v>
      </c>
      <c r="F3773" s="1" t="s">
        <v>113</v>
      </c>
      <c r="G3773" s="1" t="s">
        <v>113</v>
      </c>
      <c r="H3773" s="1" t="str">
        <f>VLOOKUP(F3773,Countries!$A$1:$B$161,2,0)</f>
        <v>United States of America</v>
      </c>
    </row>
    <row r="3774" spans="1:8" x14ac:dyDescent="0.3">
      <c r="A3774" s="3">
        <v>46248.856041666673</v>
      </c>
      <c r="B3774" s="1">
        <v>6.37</v>
      </c>
      <c r="C3774" s="1">
        <v>5.51</v>
      </c>
      <c r="D3774" s="1">
        <v>0.54</v>
      </c>
      <c r="E3774" s="1" t="s">
        <v>113</v>
      </c>
      <c r="F3774" s="1" t="s">
        <v>113</v>
      </c>
      <c r="G3774" s="1" t="s">
        <v>113</v>
      </c>
      <c r="H3774" s="1" t="str">
        <f>VLOOKUP(F3774,Countries!$A$1:$B$161,2,0)</f>
        <v>United States of America</v>
      </c>
    </row>
    <row r="3775" spans="1:8" x14ac:dyDescent="0.3">
      <c r="A3775" s="3">
        <v>46248.85125</v>
      </c>
      <c r="B3775" s="1">
        <v>6.37</v>
      </c>
      <c r="C3775" s="1">
        <v>5.51</v>
      </c>
      <c r="D3775" s="1">
        <v>0.54</v>
      </c>
      <c r="E3775" s="1" t="s">
        <v>113</v>
      </c>
      <c r="F3775" s="1" t="s">
        <v>113</v>
      </c>
      <c r="G3775" s="1" t="s">
        <v>113</v>
      </c>
      <c r="H3775" s="1" t="str">
        <f>VLOOKUP(F3775,Countries!$A$1:$B$161,2,0)</f>
        <v>United States of America</v>
      </c>
    </row>
    <row r="3776" spans="1:8" x14ac:dyDescent="0.3">
      <c r="A3776" s="3">
        <v>46248.849409722221</v>
      </c>
      <c r="B3776" s="1">
        <v>22.18</v>
      </c>
      <c r="C3776" s="1">
        <v>19.170000000000002</v>
      </c>
      <c r="D3776" s="1">
        <v>1.25</v>
      </c>
      <c r="E3776" s="1" t="s">
        <v>113</v>
      </c>
      <c r="F3776" s="1" t="s">
        <v>113</v>
      </c>
      <c r="G3776" s="1" t="s">
        <v>113</v>
      </c>
      <c r="H3776" s="1" t="str">
        <f>VLOOKUP(F3776,Countries!$A$1:$B$161,2,0)</f>
        <v>United States of America</v>
      </c>
    </row>
    <row r="3777" spans="1:8" x14ac:dyDescent="0.3">
      <c r="A3777" s="3">
        <v>46248.841886574082</v>
      </c>
      <c r="B3777" s="1">
        <v>15.43</v>
      </c>
      <c r="C3777" s="1">
        <v>13.34</v>
      </c>
      <c r="D3777" s="1">
        <v>0.95</v>
      </c>
      <c r="E3777" s="1" t="s">
        <v>130</v>
      </c>
      <c r="F3777" s="1" t="s">
        <v>130</v>
      </c>
      <c r="G3777" s="1" t="s">
        <v>130</v>
      </c>
      <c r="H3777" s="1" t="str">
        <f>VLOOKUP(F3777,Countries!$A$1:$B$161,2,0)</f>
        <v>Australia</v>
      </c>
    </row>
    <row r="3778" spans="1:8" x14ac:dyDescent="0.3">
      <c r="A3778" s="3">
        <v>46248.841689814813</v>
      </c>
      <c r="B3778" s="1">
        <v>15.43</v>
      </c>
      <c r="C3778" s="1">
        <v>13.34</v>
      </c>
      <c r="D3778" s="1">
        <v>0.95</v>
      </c>
      <c r="E3778" s="1" t="s">
        <v>130</v>
      </c>
      <c r="F3778" s="1" t="s">
        <v>130</v>
      </c>
      <c r="G3778" s="1" t="s">
        <v>130</v>
      </c>
      <c r="H3778" s="1" t="str">
        <f>VLOOKUP(F3778,Countries!$A$1:$B$161,2,0)</f>
        <v>Australia</v>
      </c>
    </row>
    <row r="3779" spans="1:8" x14ac:dyDescent="0.3">
      <c r="A3779" s="3">
        <v>46248.833831018521</v>
      </c>
      <c r="B3779" s="1">
        <v>1.99</v>
      </c>
      <c r="C3779" s="1">
        <v>1.72</v>
      </c>
      <c r="D3779" s="1">
        <v>0.34</v>
      </c>
      <c r="E3779" s="1" t="s">
        <v>130</v>
      </c>
      <c r="F3779" s="1" t="s">
        <v>130</v>
      </c>
      <c r="G3779" s="1" t="s">
        <v>130</v>
      </c>
      <c r="H3779" s="1" t="str">
        <f>VLOOKUP(F3779,Countries!$A$1:$B$161,2,0)</f>
        <v>Australia</v>
      </c>
    </row>
    <row r="3780" spans="1:8" x14ac:dyDescent="0.3">
      <c r="A3780" s="3">
        <v>46248.832268518519</v>
      </c>
      <c r="B3780" s="1">
        <v>7.04</v>
      </c>
      <c r="C3780" s="1">
        <v>6.09</v>
      </c>
      <c r="D3780" s="1">
        <v>0.56999999999999995</v>
      </c>
      <c r="E3780" s="1" t="s">
        <v>160</v>
      </c>
      <c r="F3780" s="1" t="s">
        <v>160</v>
      </c>
      <c r="G3780" s="1" t="s">
        <v>160</v>
      </c>
      <c r="H3780" s="1" t="str">
        <f>VLOOKUP(F3780,Countries!$A$1:$B$161,2,0)</f>
        <v>New Zealand</v>
      </c>
    </row>
    <row r="3781" spans="1:8" x14ac:dyDescent="0.3">
      <c r="A3781" s="3">
        <v>46248.817442129628</v>
      </c>
      <c r="B3781" s="1">
        <v>17.760000000000002</v>
      </c>
      <c r="C3781" s="1">
        <v>15.36</v>
      </c>
      <c r="D3781" s="1">
        <v>1.06</v>
      </c>
      <c r="E3781" s="1" t="s">
        <v>130</v>
      </c>
      <c r="F3781" s="1" t="s">
        <v>130</v>
      </c>
      <c r="G3781" s="1" t="s">
        <v>130</v>
      </c>
      <c r="H3781" s="1" t="str">
        <f>VLOOKUP(F3781,Countries!$A$1:$B$161,2,0)</f>
        <v>Australia</v>
      </c>
    </row>
    <row r="3782" spans="1:8" x14ac:dyDescent="0.3">
      <c r="A3782" s="3">
        <v>46248.81726851852</v>
      </c>
      <c r="B3782" s="1">
        <v>59.03</v>
      </c>
      <c r="C3782" s="1">
        <v>51.04</v>
      </c>
      <c r="D3782" s="1">
        <v>2.93</v>
      </c>
      <c r="E3782" s="1" t="s">
        <v>113</v>
      </c>
      <c r="F3782" s="1" t="s">
        <v>113</v>
      </c>
      <c r="G3782" s="1" t="s">
        <v>113</v>
      </c>
      <c r="H3782" s="1" t="str">
        <f>VLOOKUP(F3782,Countries!$A$1:$B$161,2,0)</f>
        <v>United States of America</v>
      </c>
    </row>
    <row r="3783" spans="1:8" x14ac:dyDescent="0.3">
      <c r="A3783" s="3">
        <v>46248.804710648154</v>
      </c>
      <c r="B3783" s="1">
        <v>6.37</v>
      </c>
      <c r="C3783" s="1">
        <v>5.51</v>
      </c>
      <c r="D3783" s="1">
        <v>0.54</v>
      </c>
      <c r="E3783" s="1" t="s">
        <v>113</v>
      </c>
      <c r="F3783" s="1" t="s">
        <v>113</v>
      </c>
      <c r="G3783" s="1" t="s">
        <v>113</v>
      </c>
      <c r="H3783" s="1" t="str">
        <f>VLOOKUP(F3783,Countries!$A$1:$B$161,2,0)</f>
        <v>United States of America</v>
      </c>
    </row>
    <row r="3784" spans="1:8" x14ac:dyDescent="0.3">
      <c r="A3784" s="3">
        <v>46248.804467592592</v>
      </c>
      <c r="B3784" s="1">
        <v>6.37</v>
      </c>
      <c r="C3784" s="1">
        <v>5.51</v>
      </c>
      <c r="D3784" s="1">
        <v>0.54</v>
      </c>
      <c r="E3784" s="1" t="s">
        <v>113</v>
      </c>
      <c r="F3784" s="1" t="s">
        <v>113</v>
      </c>
      <c r="G3784" s="1" t="s">
        <v>113</v>
      </c>
      <c r="H3784" s="1" t="str">
        <f>VLOOKUP(F3784,Countries!$A$1:$B$161,2,0)</f>
        <v>United States of America</v>
      </c>
    </row>
    <row r="3785" spans="1:8" x14ac:dyDescent="0.3">
      <c r="A3785" s="3">
        <v>46248.799328703702</v>
      </c>
      <c r="B3785" s="1">
        <v>6.37</v>
      </c>
      <c r="C3785" s="1">
        <v>5.51</v>
      </c>
      <c r="D3785" s="1">
        <v>0.54</v>
      </c>
      <c r="E3785" s="1" t="s">
        <v>113</v>
      </c>
      <c r="F3785" s="1" t="s">
        <v>113</v>
      </c>
      <c r="G3785" s="1" t="s">
        <v>113</v>
      </c>
      <c r="H3785" s="1" t="str">
        <f>VLOOKUP(F3785,Countries!$A$1:$B$161,2,0)</f>
        <v>United States of America</v>
      </c>
    </row>
    <row r="3786" spans="1:8" x14ac:dyDescent="0.3">
      <c r="A3786" s="3">
        <v>46248.798344907409</v>
      </c>
      <c r="B3786" s="1">
        <v>6.37</v>
      </c>
      <c r="C3786" s="1">
        <v>5.51</v>
      </c>
      <c r="D3786" s="1">
        <v>0.54</v>
      </c>
      <c r="E3786" s="1" t="s">
        <v>113</v>
      </c>
      <c r="F3786" s="1" t="s">
        <v>113</v>
      </c>
      <c r="G3786" s="1" t="s">
        <v>113</v>
      </c>
      <c r="H3786" s="1" t="str">
        <f>VLOOKUP(F3786,Countries!$A$1:$B$161,2,0)</f>
        <v>United States of America</v>
      </c>
    </row>
    <row r="3787" spans="1:8" x14ac:dyDescent="0.3">
      <c r="A3787" s="3">
        <v>46248.796747685177</v>
      </c>
      <c r="B3787" s="1">
        <v>6.37</v>
      </c>
      <c r="C3787" s="1">
        <v>5.51</v>
      </c>
      <c r="D3787" s="1">
        <v>0.54</v>
      </c>
      <c r="E3787" s="1" t="s">
        <v>113</v>
      </c>
      <c r="F3787" s="1" t="s">
        <v>113</v>
      </c>
      <c r="G3787" s="1" t="s">
        <v>113</v>
      </c>
      <c r="H3787" s="1" t="str">
        <f>VLOOKUP(F3787,Countries!$A$1:$B$161,2,0)</f>
        <v>United States of America</v>
      </c>
    </row>
    <row r="3788" spans="1:8" x14ac:dyDescent="0.3">
      <c r="A3788" s="3">
        <v>46248.778449074067</v>
      </c>
      <c r="B3788" s="1">
        <v>1.99</v>
      </c>
      <c r="C3788" s="1">
        <v>1.72</v>
      </c>
      <c r="D3788" s="1">
        <v>0.34</v>
      </c>
      <c r="E3788" s="1" t="s">
        <v>204</v>
      </c>
      <c r="F3788" s="1" t="s">
        <v>204</v>
      </c>
      <c r="G3788" s="1" t="s">
        <v>204</v>
      </c>
      <c r="H3788" s="1" t="str">
        <f>VLOOKUP(F3788,Countries!$A$1:$B$161,2,0)</f>
        <v>Cameroon</v>
      </c>
    </row>
    <row r="3789" spans="1:8" x14ac:dyDescent="0.3">
      <c r="A3789" s="3">
        <v>46248.773611111108</v>
      </c>
      <c r="B3789" s="1">
        <v>7.48</v>
      </c>
      <c r="C3789" s="1">
        <v>6.47</v>
      </c>
      <c r="D3789" s="1">
        <v>0.48</v>
      </c>
      <c r="E3789" s="1" t="s">
        <v>123</v>
      </c>
      <c r="F3789" s="1" t="s">
        <v>123</v>
      </c>
      <c r="G3789" s="1" t="s">
        <v>123</v>
      </c>
      <c r="H3789" s="1" t="str">
        <f>VLOOKUP(F3789,Countries!$A$1:$B$161,2,0)</f>
        <v>France</v>
      </c>
    </row>
    <row r="3790" spans="1:8" x14ac:dyDescent="0.3">
      <c r="A3790" s="3">
        <v>46248.746550925927</v>
      </c>
      <c r="B3790" s="1">
        <v>3.18</v>
      </c>
      <c r="C3790" s="1">
        <v>2.75</v>
      </c>
      <c r="D3790" s="1">
        <v>0.4</v>
      </c>
      <c r="E3790" s="1" t="s">
        <v>113</v>
      </c>
      <c r="F3790" s="1" t="s">
        <v>113</v>
      </c>
      <c r="G3790" s="1" t="s">
        <v>113</v>
      </c>
      <c r="H3790" s="1" t="str">
        <f>VLOOKUP(F3790,Countries!$A$1:$B$161,2,0)</f>
        <v>United States of America</v>
      </c>
    </row>
    <row r="3791" spans="1:8" x14ac:dyDescent="0.3">
      <c r="A3791" s="3">
        <v>46248.74181712963</v>
      </c>
      <c r="B3791" s="1">
        <v>7.48</v>
      </c>
      <c r="C3791" s="1">
        <v>6.46</v>
      </c>
      <c r="D3791" s="1">
        <v>0.48</v>
      </c>
      <c r="E3791" s="1" t="s">
        <v>123</v>
      </c>
      <c r="F3791" s="1" t="s">
        <v>123</v>
      </c>
      <c r="G3791" s="1" t="s">
        <v>123</v>
      </c>
      <c r="H3791" s="1" t="str">
        <f>VLOOKUP(F3791,Countries!$A$1:$B$161,2,0)</f>
        <v>France</v>
      </c>
    </row>
    <row r="3792" spans="1:8" x14ac:dyDescent="0.3">
      <c r="A3792" s="3">
        <v>46248.730115740742</v>
      </c>
      <c r="B3792" s="1">
        <v>6.37</v>
      </c>
      <c r="C3792" s="1">
        <v>5.5</v>
      </c>
      <c r="D3792" s="1">
        <v>0.54</v>
      </c>
      <c r="E3792" s="1" t="s">
        <v>113</v>
      </c>
      <c r="F3792" s="1" t="s">
        <v>113</v>
      </c>
      <c r="G3792" s="1" t="s">
        <v>113</v>
      </c>
      <c r="H3792" s="1" t="str">
        <f>VLOOKUP(F3792,Countries!$A$1:$B$161,2,0)</f>
        <v>United States of America</v>
      </c>
    </row>
    <row r="3793" spans="1:8" x14ac:dyDescent="0.3">
      <c r="A3793" s="3">
        <v>46248.729363425933</v>
      </c>
      <c r="B3793" s="1">
        <v>2.99</v>
      </c>
      <c r="C3793" s="1">
        <v>2.58</v>
      </c>
      <c r="D3793" s="1">
        <v>0.38</v>
      </c>
      <c r="E3793" s="1" t="s">
        <v>130</v>
      </c>
      <c r="F3793" s="1" t="s">
        <v>130</v>
      </c>
      <c r="G3793" s="1" t="s">
        <v>130</v>
      </c>
      <c r="H3793" s="1" t="str">
        <f>VLOOKUP(F3793,Countries!$A$1:$B$161,2,0)</f>
        <v>Australia</v>
      </c>
    </row>
    <row r="3794" spans="1:8" x14ac:dyDescent="0.3">
      <c r="A3794" s="3">
        <v>46248.72761574074</v>
      </c>
      <c r="B3794" s="1">
        <v>21.94</v>
      </c>
      <c r="C3794" s="1">
        <v>18.96</v>
      </c>
      <c r="D3794" s="1">
        <v>1.25</v>
      </c>
      <c r="E3794" s="1" t="s">
        <v>143</v>
      </c>
      <c r="F3794" s="1" t="s">
        <v>143</v>
      </c>
      <c r="G3794" s="1" t="s">
        <v>143</v>
      </c>
      <c r="H3794" s="1" t="str">
        <f>VLOOKUP(F3794,Countries!$A$1:$B$161,2,0)</f>
        <v>United Arab Emirates</v>
      </c>
    </row>
    <row r="3795" spans="1:8" x14ac:dyDescent="0.3">
      <c r="A3795" s="3">
        <v>46248.712280092594</v>
      </c>
      <c r="B3795" s="1">
        <v>7.04</v>
      </c>
      <c r="C3795" s="1">
        <v>6.08</v>
      </c>
      <c r="D3795" s="1">
        <v>0.56999999999999995</v>
      </c>
      <c r="E3795" s="1" t="s">
        <v>160</v>
      </c>
      <c r="F3795" s="1" t="s">
        <v>160</v>
      </c>
      <c r="G3795" s="1" t="s">
        <v>160</v>
      </c>
      <c r="H3795" s="1" t="str">
        <f>VLOOKUP(F3795,Countries!$A$1:$B$161,2,0)</f>
        <v>New Zealand</v>
      </c>
    </row>
    <row r="3796" spans="1:8" x14ac:dyDescent="0.3">
      <c r="A3796" s="3">
        <v>46248.686203703714</v>
      </c>
      <c r="B3796" s="1">
        <v>9.4</v>
      </c>
      <c r="C3796" s="1">
        <v>8.1199999999999992</v>
      </c>
      <c r="D3796" s="1">
        <v>0.67</v>
      </c>
      <c r="E3796" s="1" t="s">
        <v>128</v>
      </c>
      <c r="F3796" s="1" t="s">
        <v>128</v>
      </c>
      <c r="G3796" s="1" t="s">
        <v>128</v>
      </c>
      <c r="H3796" s="1" t="str">
        <f>VLOOKUP(F3796,Countries!$A$1:$B$161,2,0)</f>
        <v>South Africa</v>
      </c>
    </row>
    <row r="3797" spans="1:8" x14ac:dyDescent="0.3">
      <c r="A3797" s="3">
        <v>46248.668252314812</v>
      </c>
      <c r="B3797" s="1">
        <v>6.37</v>
      </c>
      <c r="C3797" s="1">
        <v>5.5</v>
      </c>
      <c r="D3797" s="1">
        <v>0.54</v>
      </c>
      <c r="E3797" s="1" t="s">
        <v>113</v>
      </c>
      <c r="F3797" s="1" t="s">
        <v>113</v>
      </c>
      <c r="G3797" s="1" t="s">
        <v>113</v>
      </c>
      <c r="H3797" s="1" t="str">
        <f>VLOOKUP(F3797,Countries!$A$1:$B$161,2,0)</f>
        <v>United States of America</v>
      </c>
    </row>
    <row r="3798" spans="1:8" x14ac:dyDescent="0.3">
      <c r="A3798" s="3">
        <v>46248.652604166673</v>
      </c>
      <c r="B3798" s="1">
        <v>6.37</v>
      </c>
      <c r="C3798" s="1">
        <v>5.5</v>
      </c>
      <c r="D3798" s="1">
        <v>0.54</v>
      </c>
      <c r="E3798" s="1" t="s">
        <v>113</v>
      </c>
      <c r="F3798" s="1" t="s">
        <v>113</v>
      </c>
      <c r="G3798" s="1" t="s">
        <v>113</v>
      </c>
      <c r="H3798" s="1" t="str">
        <f>VLOOKUP(F3798,Countries!$A$1:$B$161,2,0)</f>
        <v>United States of America</v>
      </c>
    </row>
    <row r="3799" spans="1:8" x14ac:dyDescent="0.3">
      <c r="A3799" s="3">
        <v>46248.648344907408</v>
      </c>
      <c r="B3799" s="1">
        <v>6.37</v>
      </c>
      <c r="C3799" s="1">
        <v>5.5</v>
      </c>
      <c r="D3799" s="1">
        <v>0.54</v>
      </c>
      <c r="E3799" s="1" t="s">
        <v>113</v>
      </c>
      <c r="F3799" s="1" t="s">
        <v>113</v>
      </c>
      <c r="G3799" s="1" t="s">
        <v>113</v>
      </c>
      <c r="H3799" s="1" t="str">
        <f>VLOOKUP(F3799,Countries!$A$1:$B$161,2,0)</f>
        <v>United States of America</v>
      </c>
    </row>
    <row r="3800" spans="1:8" x14ac:dyDescent="0.3">
      <c r="A3800" s="3">
        <v>46248.638101851851</v>
      </c>
      <c r="B3800" s="1">
        <v>17.96</v>
      </c>
      <c r="C3800" s="1">
        <v>15.51</v>
      </c>
      <c r="D3800" s="1">
        <v>1.06</v>
      </c>
      <c r="E3800" s="1" t="s">
        <v>113</v>
      </c>
      <c r="F3800" s="1" t="s">
        <v>113</v>
      </c>
      <c r="G3800" s="1" t="s">
        <v>113</v>
      </c>
      <c r="H3800" s="1" t="str">
        <f>VLOOKUP(F3800,Countries!$A$1:$B$161,2,0)</f>
        <v>United States of America</v>
      </c>
    </row>
    <row r="3801" spans="1:8" x14ac:dyDescent="0.3">
      <c r="A3801" s="3">
        <v>46248.637997685182</v>
      </c>
      <c r="B3801" s="1">
        <v>6.37</v>
      </c>
      <c r="C3801" s="1">
        <v>5.5</v>
      </c>
      <c r="D3801" s="1">
        <v>0.54</v>
      </c>
      <c r="E3801" s="1" t="s">
        <v>113</v>
      </c>
      <c r="F3801" s="1" t="s">
        <v>113</v>
      </c>
      <c r="G3801" s="1" t="s">
        <v>113</v>
      </c>
      <c r="H3801" s="1" t="str">
        <f>VLOOKUP(F3801,Countries!$A$1:$B$161,2,0)</f>
        <v>United States of America</v>
      </c>
    </row>
    <row r="3802" spans="1:8" x14ac:dyDescent="0.3">
      <c r="A3802" s="3">
        <v>46248.627662037034</v>
      </c>
      <c r="B3802" s="1">
        <v>6.37</v>
      </c>
      <c r="C3802" s="1">
        <v>5.5</v>
      </c>
      <c r="D3802" s="1">
        <v>0.54</v>
      </c>
      <c r="E3802" s="1" t="s">
        <v>113</v>
      </c>
      <c r="F3802" s="1" t="s">
        <v>113</v>
      </c>
      <c r="G3802" s="1" t="s">
        <v>113</v>
      </c>
      <c r="H3802" s="1" t="str">
        <f>VLOOKUP(F3802,Countries!$A$1:$B$161,2,0)</f>
        <v>United States of America</v>
      </c>
    </row>
    <row r="3803" spans="1:8" x14ac:dyDescent="0.3">
      <c r="A3803" s="3">
        <v>46248.627303240741</v>
      </c>
      <c r="B3803" s="1">
        <v>4.43</v>
      </c>
      <c r="C3803" s="1">
        <v>3.83</v>
      </c>
      <c r="D3803" s="1">
        <v>0.45</v>
      </c>
      <c r="E3803" s="1" t="s">
        <v>121</v>
      </c>
      <c r="F3803" s="1" t="s">
        <v>121</v>
      </c>
      <c r="G3803" s="1" t="s">
        <v>121</v>
      </c>
      <c r="H3803" s="1" t="str">
        <f>VLOOKUP(F3803,Countries!$A$1:$B$161,2,0)</f>
        <v>Japan</v>
      </c>
    </row>
    <row r="3804" spans="1:8" x14ac:dyDescent="0.3">
      <c r="A3804" s="3">
        <v>46248.606226851851</v>
      </c>
      <c r="B3804" s="1">
        <v>6.37</v>
      </c>
      <c r="C3804" s="1">
        <v>5.5</v>
      </c>
      <c r="D3804" s="1">
        <v>0.54</v>
      </c>
      <c r="E3804" s="1" t="s">
        <v>113</v>
      </c>
      <c r="F3804" s="1" t="s">
        <v>113</v>
      </c>
      <c r="G3804" s="1" t="s">
        <v>113</v>
      </c>
      <c r="H3804" s="1" t="str">
        <f>VLOOKUP(F3804,Countries!$A$1:$B$161,2,0)</f>
        <v>United States of America</v>
      </c>
    </row>
    <row r="3805" spans="1:8" x14ac:dyDescent="0.3">
      <c r="A3805" s="3">
        <v>46248.597581018519</v>
      </c>
      <c r="B3805" s="1">
        <v>3.88</v>
      </c>
      <c r="C3805" s="1">
        <v>3.35</v>
      </c>
      <c r="D3805" s="1">
        <v>0.37</v>
      </c>
      <c r="E3805" s="1" t="s">
        <v>137</v>
      </c>
      <c r="F3805" s="1" t="s">
        <v>137</v>
      </c>
      <c r="G3805" s="1" t="s">
        <v>137</v>
      </c>
      <c r="H3805" s="1" t="str">
        <f>VLOOKUP(F3805,Countries!$A$1:$B$161,2,0)</f>
        <v>Poland</v>
      </c>
    </row>
    <row r="3806" spans="1:8" x14ac:dyDescent="0.3">
      <c r="A3806" s="3">
        <v>46248.589548611111</v>
      </c>
      <c r="B3806" s="1">
        <v>23.16</v>
      </c>
      <c r="C3806" s="1">
        <v>20</v>
      </c>
      <c r="D3806" s="1">
        <v>1.3</v>
      </c>
      <c r="E3806" s="1" t="s">
        <v>121</v>
      </c>
      <c r="F3806" s="1" t="s">
        <v>121</v>
      </c>
      <c r="G3806" s="1" t="s">
        <v>121</v>
      </c>
      <c r="H3806" s="1" t="str">
        <f>VLOOKUP(F3806,Countries!$A$1:$B$161,2,0)</f>
        <v>Japan</v>
      </c>
    </row>
    <row r="3807" spans="1:8" x14ac:dyDescent="0.3">
      <c r="A3807" s="3">
        <v>46248.58898148148</v>
      </c>
      <c r="B3807" s="1">
        <v>1.99</v>
      </c>
      <c r="C3807" s="1">
        <v>1.72</v>
      </c>
      <c r="D3807" s="1">
        <v>0.31</v>
      </c>
      <c r="E3807" s="1" t="s">
        <v>159</v>
      </c>
      <c r="F3807" s="1" t="s">
        <v>159</v>
      </c>
      <c r="G3807" s="1" t="s">
        <v>159</v>
      </c>
      <c r="H3807" s="1" t="str">
        <f>VLOOKUP(F3807,Countries!$A$1:$B$161,2,0)</f>
        <v>Romania</v>
      </c>
    </row>
    <row r="3808" spans="1:8" x14ac:dyDescent="0.3">
      <c r="A3808" s="3">
        <v>46248.581620370373</v>
      </c>
      <c r="B3808" s="1">
        <v>3.99</v>
      </c>
      <c r="C3808" s="1">
        <v>3.45</v>
      </c>
      <c r="D3808" s="1">
        <v>0.43</v>
      </c>
      <c r="E3808" s="1"/>
      <c r="F3808" s="1" t="s">
        <v>113</v>
      </c>
      <c r="G3808" s="1" t="s">
        <v>113</v>
      </c>
      <c r="H3808" s="1" t="str">
        <f>VLOOKUP(F3808,Countries!$A$1:$B$161,2,0)</f>
        <v>United States of America</v>
      </c>
    </row>
    <row r="3809" spans="1:8" x14ac:dyDescent="0.3">
      <c r="A3809" s="3">
        <v>46248.581377314818</v>
      </c>
      <c r="B3809" s="1">
        <v>6.65</v>
      </c>
      <c r="C3809" s="1">
        <v>5.75</v>
      </c>
      <c r="D3809" s="1">
        <v>0.56000000000000005</v>
      </c>
      <c r="E3809" s="1" t="s">
        <v>121</v>
      </c>
      <c r="F3809" s="1" t="s">
        <v>121</v>
      </c>
      <c r="G3809" s="1" t="s">
        <v>121</v>
      </c>
      <c r="H3809" s="1" t="str">
        <f>VLOOKUP(F3809,Countries!$A$1:$B$161,2,0)</f>
        <v>Japan</v>
      </c>
    </row>
    <row r="3810" spans="1:8" x14ac:dyDescent="0.3">
      <c r="A3810" s="3">
        <v>46248.563668981478</v>
      </c>
      <c r="B3810" s="1">
        <v>1.99</v>
      </c>
      <c r="C3810" s="1">
        <v>1.72</v>
      </c>
      <c r="D3810" s="1">
        <v>0.34</v>
      </c>
      <c r="E3810" s="1" t="s">
        <v>126</v>
      </c>
      <c r="F3810" s="1" t="s">
        <v>126</v>
      </c>
      <c r="G3810" s="1" t="s">
        <v>126</v>
      </c>
      <c r="H3810" s="1" t="str">
        <f>VLOOKUP(F3810,Countries!$A$1:$B$161,2,0)</f>
        <v>Cambodia</v>
      </c>
    </row>
    <row r="3811" spans="1:8" x14ac:dyDescent="0.3">
      <c r="A3811" s="3">
        <v>46248.562118055554</v>
      </c>
      <c r="B3811" s="1">
        <v>6.3</v>
      </c>
      <c r="C3811" s="1">
        <v>5.45</v>
      </c>
      <c r="D3811" s="1">
        <v>0.54</v>
      </c>
      <c r="E3811" s="1" t="s">
        <v>132</v>
      </c>
      <c r="F3811" s="1" t="s">
        <v>132</v>
      </c>
      <c r="G3811" s="1" t="s">
        <v>132</v>
      </c>
      <c r="H3811" s="1" t="str">
        <f>VLOOKUP(F3811,Countries!$A$1:$B$161,2,0)</f>
        <v>Canada</v>
      </c>
    </row>
    <row r="3812" spans="1:8" x14ac:dyDescent="0.3">
      <c r="A3812" s="3">
        <v>46248.561666666668</v>
      </c>
      <c r="B3812" s="1">
        <v>6.37</v>
      </c>
      <c r="C3812" s="1">
        <v>5.51</v>
      </c>
      <c r="D3812" s="1">
        <v>0.54</v>
      </c>
      <c r="E3812" s="1" t="s">
        <v>113</v>
      </c>
      <c r="F3812" s="1" t="s">
        <v>113</v>
      </c>
      <c r="G3812" s="1" t="s">
        <v>113</v>
      </c>
      <c r="H3812" s="1" t="str">
        <f>VLOOKUP(F3812,Countries!$A$1:$B$161,2,0)</f>
        <v>United States of America</v>
      </c>
    </row>
    <row r="3813" spans="1:8" x14ac:dyDescent="0.3">
      <c r="A3813" s="3">
        <v>46248.561400462961</v>
      </c>
      <c r="B3813" s="1">
        <v>2.99</v>
      </c>
      <c r="C3813" s="1">
        <v>2.59</v>
      </c>
      <c r="D3813" s="1">
        <v>0.38</v>
      </c>
      <c r="E3813" s="1" t="s">
        <v>142</v>
      </c>
      <c r="F3813" s="1" t="s">
        <v>142</v>
      </c>
      <c r="G3813" s="1" t="s">
        <v>142</v>
      </c>
      <c r="H3813" s="1" t="str">
        <f>VLOOKUP(F3813,Countries!$A$1:$B$161,2,0)</f>
        <v>India</v>
      </c>
    </row>
    <row r="3814" spans="1:8" x14ac:dyDescent="0.3">
      <c r="A3814" s="3">
        <v>46248.544629629629</v>
      </c>
      <c r="B3814" s="1">
        <v>3.35</v>
      </c>
      <c r="C3814" s="1">
        <v>2.9</v>
      </c>
      <c r="D3814" s="1">
        <v>0.4</v>
      </c>
      <c r="E3814" s="1" t="s">
        <v>149</v>
      </c>
      <c r="F3814" s="1" t="s">
        <v>149</v>
      </c>
      <c r="G3814" s="1" t="s">
        <v>149</v>
      </c>
      <c r="H3814" s="1" t="str">
        <f>VLOOKUP(F3814,Countries!$A$1:$B$161,2,0)</f>
        <v>Indonesia</v>
      </c>
    </row>
    <row r="3815" spans="1:8" x14ac:dyDescent="0.3">
      <c r="A3815" s="3">
        <v>46248.529988425929</v>
      </c>
      <c r="B3815" s="1">
        <v>6.37</v>
      </c>
      <c r="C3815" s="1">
        <v>5.51</v>
      </c>
      <c r="D3815" s="1">
        <v>0.54</v>
      </c>
      <c r="E3815" s="1" t="s">
        <v>113</v>
      </c>
      <c r="F3815" s="1" t="s">
        <v>113</v>
      </c>
      <c r="G3815" s="1" t="s">
        <v>113</v>
      </c>
      <c r="H3815" s="1" t="str">
        <f>VLOOKUP(F3815,Countries!$A$1:$B$161,2,0)</f>
        <v>United States of America</v>
      </c>
    </row>
    <row r="3816" spans="1:8" x14ac:dyDescent="0.3">
      <c r="A3816" s="3">
        <v>46248.523680555547</v>
      </c>
      <c r="B3816" s="1">
        <v>6.37</v>
      </c>
      <c r="C3816" s="1">
        <v>5.51</v>
      </c>
      <c r="D3816" s="1">
        <v>0.54</v>
      </c>
      <c r="E3816" s="1" t="s">
        <v>113</v>
      </c>
      <c r="F3816" s="1" t="s">
        <v>113</v>
      </c>
      <c r="G3816" s="1" t="s">
        <v>113</v>
      </c>
      <c r="H3816" s="1" t="str">
        <f>VLOOKUP(F3816,Countries!$A$1:$B$161,2,0)</f>
        <v>United States of America</v>
      </c>
    </row>
    <row r="3817" spans="1:8" x14ac:dyDescent="0.3">
      <c r="A3817" s="3">
        <v>46248.517476851863</v>
      </c>
      <c r="B3817" s="1">
        <v>6.37</v>
      </c>
      <c r="C3817" s="1">
        <v>5.51</v>
      </c>
      <c r="D3817" s="1">
        <v>0.54</v>
      </c>
      <c r="E3817" s="1" t="s">
        <v>113</v>
      </c>
      <c r="F3817" s="1" t="s">
        <v>113</v>
      </c>
      <c r="G3817" s="1" t="s">
        <v>113</v>
      </c>
      <c r="H3817" s="1" t="str">
        <f>VLOOKUP(F3817,Countries!$A$1:$B$161,2,0)</f>
        <v>United States of America</v>
      </c>
    </row>
    <row r="3818" spans="1:8" x14ac:dyDescent="0.3">
      <c r="A3818" s="3">
        <v>46248.516388888893</v>
      </c>
      <c r="B3818" s="1">
        <v>6.37</v>
      </c>
      <c r="C3818" s="1">
        <v>5.51</v>
      </c>
      <c r="D3818" s="1">
        <v>0.54</v>
      </c>
      <c r="E3818" s="1" t="s">
        <v>113</v>
      </c>
      <c r="F3818" s="1" t="s">
        <v>113</v>
      </c>
      <c r="G3818" s="1" t="s">
        <v>113</v>
      </c>
      <c r="H3818" s="1" t="str">
        <f>VLOOKUP(F3818,Countries!$A$1:$B$161,2,0)</f>
        <v>United States of America</v>
      </c>
    </row>
    <row r="3819" spans="1:8" x14ac:dyDescent="0.3">
      <c r="A3819" s="3">
        <v>46248.51153935185</v>
      </c>
      <c r="B3819" s="1">
        <v>78.180000000000007</v>
      </c>
      <c r="C3819" s="1">
        <v>67.59</v>
      </c>
      <c r="D3819" s="1">
        <v>3.29</v>
      </c>
      <c r="E3819" s="1" t="s">
        <v>119</v>
      </c>
      <c r="F3819" s="1" t="s">
        <v>119</v>
      </c>
      <c r="G3819" s="1" t="s">
        <v>119</v>
      </c>
      <c r="H3819" s="1" t="str">
        <f>VLOOKUP(F3819,Countries!$A$1:$B$161,2,0)</f>
        <v>Great Britain (United Kingdom)</v>
      </c>
    </row>
    <row r="3820" spans="1:8" x14ac:dyDescent="0.3">
      <c r="A3820" s="3">
        <v>46248.507870370369</v>
      </c>
      <c r="B3820" s="1">
        <v>1.99</v>
      </c>
      <c r="C3820" s="1">
        <v>1.72</v>
      </c>
      <c r="D3820" s="1">
        <v>0.34</v>
      </c>
      <c r="E3820" s="1" t="s">
        <v>150</v>
      </c>
      <c r="F3820" s="1" t="s">
        <v>150</v>
      </c>
      <c r="G3820" s="1" t="s">
        <v>150</v>
      </c>
      <c r="H3820" s="1" t="str">
        <f>VLOOKUP(F3820,Countries!$A$1:$B$161,2,0)</f>
        <v>El Salvador</v>
      </c>
    </row>
    <row r="3821" spans="1:8" x14ac:dyDescent="0.3">
      <c r="A3821" s="3">
        <v>46248.506898148153</v>
      </c>
      <c r="B3821" s="1">
        <v>17.36</v>
      </c>
      <c r="C3821" s="1">
        <v>15.01</v>
      </c>
      <c r="D3821" s="1">
        <v>0.93</v>
      </c>
      <c r="E3821" s="1" t="s">
        <v>119</v>
      </c>
      <c r="F3821" s="1" t="s">
        <v>119</v>
      </c>
      <c r="G3821" s="1" t="s">
        <v>119</v>
      </c>
      <c r="H3821" s="1" t="str">
        <f>VLOOKUP(F3821,Countries!$A$1:$B$161,2,0)</f>
        <v>Great Britain (United Kingdom)</v>
      </c>
    </row>
    <row r="3822" spans="1:8" x14ac:dyDescent="0.3">
      <c r="A3822" s="3">
        <v>46248.499108796299</v>
      </c>
      <c r="B3822" s="1">
        <v>17.36</v>
      </c>
      <c r="C3822" s="1">
        <v>15.02</v>
      </c>
      <c r="D3822" s="1">
        <v>0.93</v>
      </c>
      <c r="E3822" s="1" t="s">
        <v>119</v>
      </c>
      <c r="F3822" s="1" t="s">
        <v>119</v>
      </c>
      <c r="G3822" s="1" t="s">
        <v>119</v>
      </c>
      <c r="H3822" s="1" t="str">
        <f>VLOOKUP(F3822,Countries!$A$1:$B$161,2,0)</f>
        <v>Great Britain (United Kingdom)</v>
      </c>
    </row>
    <row r="3823" spans="1:8" x14ac:dyDescent="0.3">
      <c r="A3823" s="3">
        <v>46248.498391203713</v>
      </c>
      <c r="B3823" s="1">
        <v>17.36</v>
      </c>
      <c r="C3823" s="1">
        <v>15.02</v>
      </c>
      <c r="D3823" s="1">
        <v>0.93</v>
      </c>
      <c r="E3823" s="1" t="s">
        <v>119</v>
      </c>
      <c r="F3823" s="1" t="s">
        <v>119</v>
      </c>
      <c r="G3823" s="1" t="s">
        <v>119</v>
      </c>
      <c r="H3823" s="1" t="str">
        <f>VLOOKUP(F3823,Countries!$A$1:$B$161,2,0)</f>
        <v>Great Britain (United Kingdom)</v>
      </c>
    </row>
    <row r="3824" spans="1:8" x14ac:dyDescent="0.3">
      <c r="A3824" s="3">
        <v>46248.49827546296</v>
      </c>
      <c r="B3824" s="1">
        <v>17.36</v>
      </c>
      <c r="C3824" s="1">
        <v>15.02</v>
      </c>
      <c r="D3824" s="1">
        <v>0.93</v>
      </c>
      <c r="E3824" s="1" t="s">
        <v>119</v>
      </c>
      <c r="F3824" s="1" t="s">
        <v>119</v>
      </c>
      <c r="G3824" s="1" t="s">
        <v>119</v>
      </c>
      <c r="H3824" s="1" t="str">
        <f>VLOOKUP(F3824,Countries!$A$1:$B$161,2,0)</f>
        <v>Great Britain (United Kingdom)</v>
      </c>
    </row>
    <row r="3825" spans="1:8" x14ac:dyDescent="0.3">
      <c r="A3825" s="3">
        <v>46248.497314814813</v>
      </c>
      <c r="B3825" s="1">
        <v>6.37</v>
      </c>
      <c r="C3825" s="1">
        <v>5.51</v>
      </c>
      <c r="D3825" s="1">
        <v>0.54</v>
      </c>
      <c r="E3825" s="1" t="s">
        <v>113</v>
      </c>
      <c r="F3825" s="1" t="s">
        <v>113</v>
      </c>
      <c r="G3825" s="1" t="s">
        <v>113</v>
      </c>
      <c r="H3825" s="1" t="str">
        <f>VLOOKUP(F3825,Countries!$A$1:$B$161,2,0)</f>
        <v>United States of America</v>
      </c>
    </row>
    <row r="3826" spans="1:8" x14ac:dyDescent="0.3">
      <c r="A3826" s="3">
        <v>46248.493356481478</v>
      </c>
      <c r="B3826" s="1">
        <v>17.36</v>
      </c>
      <c r="C3826" s="1">
        <v>15.02</v>
      </c>
      <c r="D3826" s="1">
        <v>0.93</v>
      </c>
      <c r="E3826" s="1" t="s">
        <v>119</v>
      </c>
      <c r="F3826" s="1" t="s">
        <v>119</v>
      </c>
      <c r="G3826" s="1" t="s">
        <v>119</v>
      </c>
      <c r="H3826" s="1" t="str">
        <f>VLOOKUP(F3826,Countries!$A$1:$B$161,2,0)</f>
        <v>Great Britain (United Kingdom)</v>
      </c>
    </row>
    <row r="3827" spans="1:8" x14ac:dyDescent="0.3">
      <c r="A3827" s="3">
        <v>46248.490393518521</v>
      </c>
      <c r="B3827" s="1">
        <v>6.37</v>
      </c>
      <c r="C3827" s="1">
        <v>5.51</v>
      </c>
      <c r="D3827" s="1">
        <v>0.54</v>
      </c>
      <c r="E3827" s="1" t="s">
        <v>113</v>
      </c>
      <c r="F3827" s="1" t="s">
        <v>113</v>
      </c>
      <c r="G3827" s="1" t="s">
        <v>113</v>
      </c>
      <c r="H3827" s="1" t="str">
        <f>VLOOKUP(F3827,Countries!$A$1:$B$161,2,0)</f>
        <v>United States of America</v>
      </c>
    </row>
    <row r="3828" spans="1:8" x14ac:dyDescent="0.3">
      <c r="A3828" s="3">
        <v>46248.490057870367</v>
      </c>
      <c r="B3828" s="1">
        <v>11.1</v>
      </c>
      <c r="C3828" s="1">
        <v>9.61</v>
      </c>
      <c r="D3828" s="1">
        <v>0.75</v>
      </c>
      <c r="E3828" s="1" t="s">
        <v>171</v>
      </c>
      <c r="F3828" s="1" t="s">
        <v>171</v>
      </c>
      <c r="G3828" s="1" t="s">
        <v>171</v>
      </c>
      <c r="H3828" s="1" t="str">
        <f>VLOOKUP(F3828,Countries!$A$1:$B$161,2,0)</f>
        <v>Korea (South)</v>
      </c>
    </row>
    <row r="3829" spans="1:8" x14ac:dyDescent="0.3">
      <c r="A3829" s="3">
        <v>46248.486898148149</v>
      </c>
      <c r="B3829" s="1">
        <v>6.65</v>
      </c>
      <c r="C3829" s="1">
        <v>5.75</v>
      </c>
      <c r="D3829" s="1">
        <v>0.56000000000000005</v>
      </c>
      <c r="E3829" s="1" t="s">
        <v>171</v>
      </c>
      <c r="F3829" s="1" t="s">
        <v>171</v>
      </c>
      <c r="G3829" s="1" t="s">
        <v>171</v>
      </c>
      <c r="H3829" s="1" t="str">
        <f>VLOOKUP(F3829,Countries!$A$1:$B$161,2,0)</f>
        <v>Korea (South)</v>
      </c>
    </row>
    <row r="3830" spans="1:8" x14ac:dyDescent="0.3">
      <c r="A3830" s="3">
        <v>46248.484039351853</v>
      </c>
      <c r="B3830" s="1">
        <v>6.37</v>
      </c>
      <c r="C3830" s="1">
        <v>5.51</v>
      </c>
      <c r="D3830" s="1">
        <v>0.54</v>
      </c>
      <c r="E3830" s="1" t="s">
        <v>113</v>
      </c>
      <c r="F3830" s="1" t="s">
        <v>113</v>
      </c>
      <c r="G3830" s="1" t="s">
        <v>113</v>
      </c>
      <c r="H3830" s="1" t="str">
        <f>VLOOKUP(F3830,Countries!$A$1:$B$161,2,0)</f>
        <v>United States of America</v>
      </c>
    </row>
    <row r="3831" spans="1:8" x14ac:dyDescent="0.3">
      <c r="A3831" s="3">
        <v>46248.483854166669</v>
      </c>
      <c r="B3831" s="1">
        <v>36.96</v>
      </c>
      <c r="C3831" s="1">
        <v>31.99</v>
      </c>
      <c r="D3831" s="1">
        <v>1.93</v>
      </c>
      <c r="E3831" s="1" t="s">
        <v>113</v>
      </c>
      <c r="F3831" s="1" t="s">
        <v>113</v>
      </c>
      <c r="G3831" s="1" t="s">
        <v>113</v>
      </c>
      <c r="H3831" s="1" t="str">
        <f>VLOOKUP(F3831,Countries!$A$1:$B$161,2,0)</f>
        <v>United States of America</v>
      </c>
    </row>
    <row r="3832" spans="1:8" x14ac:dyDescent="0.3">
      <c r="A3832" s="3">
        <v>46248.480694444443</v>
      </c>
      <c r="B3832" s="1">
        <v>28.09</v>
      </c>
      <c r="C3832" s="1">
        <v>24.31</v>
      </c>
      <c r="D3832" s="1">
        <v>1.53</v>
      </c>
      <c r="E3832" s="1" t="s">
        <v>113</v>
      </c>
      <c r="F3832" s="1" t="s">
        <v>113</v>
      </c>
      <c r="G3832" s="1" t="s">
        <v>113</v>
      </c>
      <c r="H3832" s="1" t="str">
        <f>VLOOKUP(F3832,Countries!$A$1:$B$161,2,0)</f>
        <v>United States of America</v>
      </c>
    </row>
    <row r="3833" spans="1:8" x14ac:dyDescent="0.3">
      <c r="A3833" s="3">
        <v>46248.478761574072</v>
      </c>
      <c r="B3833" s="1">
        <v>25.13</v>
      </c>
      <c r="C3833" s="1">
        <v>21.75</v>
      </c>
      <c r="D3833" s="1">
        <v>1.4</v>
      </c>
      <c r="E3833" s="1" t="s">
        <v>113</v>
      </c>
      <c r="F3833" s="1" t="s">
        <v>113</v>
      </c>
      <c r="G3833" s="1" t="s">
        <v>113</v>
      </c>
      <c r="H3833" s="1" t="str">
        <f>VLOOKUP(F3833,Countries!$A$1:$B$161,2,0)</f>
        <v>United States of America</v>
      </c>
    </row>
    <row r="3834" spans="1:8" x14ac:dyDescent="0.3">
      <c r="A3834" s="3">
        <v>46248.478449074071</v>
      </c>
      <c r="B3834" s="1">
        <v>48.18</v>
      </c>
      <c r="C3834" s="1">
        <v>41.7</v>
      </c>
      <c r="D3834" s="1">
        <v>2.44</v>
      </c>
      <c r="E3834" s="1" t="s">
        <v>165</v>
      </c>
      <c r="F3834" s="1" t="s">
        <v>165</v>
      </c>
      <c r="G3834" s="1" t="s">
        <v>165</v>
      </c>
      <c r="H3834" s="1" t="str">
        <f>VLOOKUP(F3834,Countries!$A$1:$B$161,2,0)</f>
        <v>Israel</v>
      </c>
    </row>
    <row r="3835" spans="1:8" x14ac:dyDescent="0.3">
      <c r="A3835" s="3">
        <v>46248.478449074071</v>
      </c>
      <c r="B3835" s="1">
        <v>22.18</v>
      </c>
      <c r="C3835" s="1">
        <v>19.190000000000001</v>
      </c>
      <c r="D3835" s="1">
        <v>1.25</v>
      </c>
      <c r="E3835" s="1" t="s">
        <v>113</v>
      </c>
      <c r="F3835" s="1" t="s">
        <v>113</v>
      </c>
      <c r="G3835" s="1" t="s">
        <v>113</v>
      </c>
      <c r="H3835" s="1" t="str">
        <f>VLOOKUP(F3835,Countries!$A$1:$B$161,2,0)</f>
        <v>United States of America</v>
      </c>
    </row>
    <row r="3836" spans="1:8" x14ac:dyDescent="0.3">
      <c r="A3836" s="3">
        <v>46248.478194444448</v>
      </c>
      <c r="B3836" s="1">
        <v>1.99</v>
      </c>
      <c r="C3836" s="1">
        <v>1.72</v>
      </c>
      <c r="D3836" s="1">
        <v>0.31</v>
      </c>
      <c r="E3836" s="1" t="s">
        <v>137</v>
      </c>
      <c r="F3836" s="1" t="s">
        <v>137</v>
      </c>
      <c r="G3836" s="1" t="s">
        <v>137</v>
      </c>
      <c r="H3836" s="1" t="str">
        <f>VLOOKUP(F3836,Countries!$A$1:$B$161,2,0)</f>
        <v>Poland</v>
      </c>
    </row>
    <row r="3837" spans="1:8" x14ac:dyDescent="0.3">
      <c r="A3837" s="3">
        <v>46248.477361111109</v>
      </c>
      <c r="B3837" s="1">
        <v>2.11</v>
      </c>
      <c r="C3837" s="1">
        <v>1.83</v>
      </c>
      <c r="D3837" s="1">
        <v>0.35</v>
      </c>
      <c r="E3837" s="1" t="s">
        <v>113</v>
      </c>
      <c r="F3837" s="1" t="s">
        <v>113</v>
      </c>
      <c r="G3837" s="1" t="s">
        <v>113</v>
      </c>
      <c r="H3837" s="1" t="str">
        <f>VLOOKUP(F3837,Countries!$A$1:$B$161,2,0)</f>
        <v>United States of America</v>
      </c>
    </row>
    <row r="3838" spans="1:8" x14ac:dyDescent="0.3">
      <c r="A3838" s="3">
        <v>46248.477118055547</v>
      </c>
      <c r="B3838" s="1">
        <v>14.77</v>
      </c>
      <c r="C3838" s="1">
        <v>12.78</v>
      </c>
      <c r="D3838" s="1">
        <v>0.93</v>
      </c>
      <c r="E3838" s="1" t="s">
        <v>113</v>
      </c>
      <c r="F3838" s="1" t="s">
        <v>113</v>
      </c>
      <c r="G3838" s="1" t="s">
        <v>113</v>
      </c>
      <c r="H3838" s="1" t="str">
        <f>VLOOKUP(F3838,Countries!$A$1:$B$161,2,0)</f>
        <v>United States of America</v>
      </c>
    </row>
    <row r="3839" spans="1:8" x14ac:dyDescent="0.3">
      <c r="A3839" s="3">
        <v>46248.472129629627</v>
      </c>
      <c r="B3839" s="1">
        <v>26.39</v>
      </c>
      <c r="C3839" s="1">
        <v>22.84</v>
      </c>
      <c r="D3839" s="1">
        <v>1.05</v>
      </c>
      <c r="E3839" s="1" t="s">
        <v>113</v>
      </c>
      <c r="F3839" s="1" t="s">
        <v>113</v>
      </c>
      <c r="G3839" s="1" t="s">
        <v>113</v>
      </c>
      <c r="H3839" s="1" t="str">
        <f>VLOOKUP(F3839,Countries!$A$1:$B$161,2,0)</f>
        <v>United States of America</v>
      </c>
    </row>
    <row r="3840" spans="1:8" x14ac:dyDescent="0.3">
      <c r="A3840" s="3">
        <v>46248.471342592587</v>
      </c>
      <c r="B3840" s="1">
        <v>6.37</v>
      </c>
      <c r="C3840" s="1">
        <v>5.51</v>
      </c>
      <c r="D3840" s="1">
        <v>0.54</v>
      </c>
      <c r="E3840" s="1" t="s">
        <v>113</v>
      </c>
      <c r="F3840" s="1" t="s">
        <v>113</v>
      </c>
      <c r="G3840" s="1" t="s">
        <v>113</v>
      </c>
      <c r="H3840" s="1" t="str">
        <f>VLOOKUP(F3840,Countries!$A$1:$B$161,2,0)</f>
        <v>United States of America</v>
      </c>
    </row>
    <row r="3841" spans="1:8" x14ac:dyDescent="0.3">
      <c r="A3841" s="3">
        <v>46248.468356481477</v>
      </c>
      <c r="B3841" s="1">
        <v>139</v>
      </c>
      <c r="C3841" s="1">
        <v>120.29</v>
      </c>
      <c r="D3841" s="1">
        <v>6.57</v>
      </c>
      <c r="E3841" s="1" t="s">
        <v>160</v>
      </c>
      <c r="F3841" s="1" t="s">
        <v>160</v>
      </c>
      <c r="G3841" s="1" t="s">
        <v>160</v>
      </c>
      <c r="H3841" s="1" t="str">
        <f>VLOOKUP(F3841,Countries!$A$1:$B$161,2,0)</f>
        <v>New Zealand</v>
      </c>
    </row>
    <row r="3842" spans="1:8" x14ac:dyDescent="0.3">
      <c r="A3842" s="3">
        <v>46248.467650462961</v>
      </c>
      <c r="B3842" s="1">
        <v>14.77</v>
      </c>
      <c r="C3842" s="1">
        <v>12.78</v>
      </c>
      <c r="D3842" s="1">
        <v>0.93</v>
      </c>
      <c r="E3842" s="1" t="s">
        <v>113</v>
      </c>
      <c r="F3842" s="1" t="s">
        <v>113</v>
      </c>
      <c r="G3842" s="1" t="s">
        <v>113</v>
      </c>
      <c r="H3842" s="1" t="str">
        <f>VLOOKUP(F3842,Countries!$A$1:$B$161,2,0)</f>
        <v>United States of America</v>
      </c>
    </row>
    <row r="3843" spans="1:8" x14ac:dyDescent="0.3">
      <c r="A3843" s="3">
        <v>46248.466087962966</v>
      </c>
      <c r="B3843" s="1">
        <v>16.34</v>
      </c>
      <c r="C3843" s="1">
        <v>14.14</v>
      </c>
      <c r="D3843" s="1">
        <v>0.99</v>
      </c>
      <c r="E3843" s="1" t="s">
        <v>160</v>
      </c>
      <c r="F3843" s="1" t="s">
        <v>160</v>
      </c>
      <c r="G3843" s="1" t="s">
        <v>160</v>
      </c>
      <c r="H3843" s="1" t="str">
        <f>VLOOKUP(F3843,Countries!$A$1:$B$161,2,0)</f>
        <v>New Zealand</v>
      </c>
    </row>
    <row r="3844" spans="1:8" x14ac:dyDescent="0.3">
      <c r="A3844" s="3">
        <v>46248.464583333327</v>
      </c>
      <c r="B3844" s="1">
        <v>114.36</v>
      </c>
      <c r="C3844" s="1">
        <v>98.97</v>
      </c>
      <c r="D3844" s="1">
        <v>3.71</v>
      </c>
      <c r="E3844" s="1" t="s">
        <v>113</v>
      </c>
      <c r="F3844" s="1" t="s">
        <v>113</v>
      </c>
      <c r="G3844" s="1" t="s">
        <v>113</v>
      </c>
      <c r="H3844" s="1" t="str">
        <f>VLOOKUP(F3844,Countries!$A$1:$B$161,2,0)</f>
        <v>United States of America</v>
      </c>
    </row>
    <row r="3845" spans="1:8" x14ac:dyDescent="0.3">
      <c r="A3845" s="3">
        <v>46248.46398148148</v>
      </c>
      <c r="B3845" s="1">
        <v>2.99</v>
      </c>
      <c r="C3845" s="1">
        <v>2.59</v>
      </c>
      <c r="D3845" s="1">
        <v>0.38</v>
      </c>
      <c r="E3845" s="1" t="s">
        <v>135</v>
      </c>
      <c r="F3845" s="1" t="s">
        <v>135</v>
      </c>
      <c r="G3845" s="1" t="s">
        <v>135</v>
      </c>
      <c r="H3845" s="1" t="str">
        <f>VLOOKUP(F3845,Countries!$A$1:$B$161,2,0)</f>
        <v>Kuwait</v>
      </c>
    </row>
    <row r="3846" spans="1:8" x14ac:dyDescent="0.3">
      <c r="A3846" s="3">
        <v>46248.462337962963</v>
      </c>
      <c r="B3846" s="1">
        <v>61.58</v>
      </c>
      <c r="C3846" s="1">
        <v>53.29</v>
      </c>
      <c r="D3846" s="1">
        <v>2.12</v>
      </c>
      <c r="E3846" s="1" t="s">
        <v>113</v>
      </c>
      <c r="F3846" s="1" t="s">
        <v>113</v>
      </c>
      <c r="G3846" s="1" t="s">
        <v>113</v>
      </c>
      <c r="H3846" s="1" t="str">
        <f>VLOOKUP(F3846,Countries!$A$1:$B$161,2,0)</f>
        <v>United States of America</v>
      </c>
    </row>
    <row r="3847" spans="1:8" x14ac:dyDescent="0.3">
      <c r="A3847" s="3">
        <v>46248.460439814808</v>
      </c>
      <c r="B3847" s="1">
        <v>12.64</v>
      </c>
      <c r="C3847" s="1">
        <v>10.94</v>
      </c>
      <c r="D3847" s="1">
        <v>0.63</v>
      </c>
      <c r="E3847" s="1" t="s">
        <v>113</v>
      </c>
      <c r="F3847" s="1" t="s">
        <v>113</v>
      </c>
      <c r="G3847" s="1" t="s">
        <v>113</v>
      </c>
      <c r="H3847" s="1" t="str">
        <f>VLOOKUP(F3847,Countries!$A$1:$B$161,2,0)</f>
        <v>United States of America</v>
      </c>
    </row>
    <row r="3848" spans="1:8" x14ac:dyDescent="0.3">
      <c r="A3848" s="3">
        <v>46248.455694444441</v>
      </c>
      <c r="B3848" s="1">
        <v>7.58</v>
      </c>
      <c r="C3848" s="1">
        <v>6.56</v>
      </c>
      <c r="D3848" s="1">
        <v>0.48</v>
      </c>
      <c r="E3848" s="1" t="s">
        <v>116</v>
      </c>
      <c r="F3848" s="1" t="s">
        <v>116</v>
      </c>
      <c r="G3848" s="1" t="s">
        <v>116</v>
      </c>
      <c r="H3848" s="1" t="str">
        <f>VLOOKUP(F3848,Countries!$A$1:$B$161,2,0)</f>
        <v>Spain</v>
      </c>
    </row>
    <row r="3849" spans="1:8" x14ac:dyDescent="0.3">
      <c r="A3849" s="3">
        <v>46248.452835648153</v>
      </c>
      <c r="B3849" s="1">
        <v>6.37</v>
      </c>
      <c r="C3849" s="1">
        <v>5.51</v>
      </c>
      <c r="D3849" s="1">
        <v>0.54</v>
      </c>
      <c r="E3849" s="1" t="s">
        <v>113</v>
      </c>
      <c r="F3849" s="1" t="s">
        <v>113</v>
      </c>
      <c r="G3849" s="1" t="s">
        <v>113</v>
      </c>
      <c r="H3849" s="1" t="str">
        <f>VLOOKUP(F3849,Countries!$A$1:$B$161,2,0)</f>
        <v>United States of America</v>
      </c>
    </row>
    <row r="3850" spans="1:8" x14ac:dyDescent="0.3">
      <c r="A3850" s="3">
        <v>46248.444791666669</v>
      </c>
      <c r="B3850" s="1">
        <v>18.809999999999999</v>
      </c>
      <c r="C3850" s="1">
        <v>16.28</v>
      </c>
      <c r="D3850" s="1">
        <v>1.1100000000000001</v>
      </c>
      <c r="E3850" s="1" t="s">
        <v>160</v>
      </c>
      <c r="F3850" s="1" t="s">
        <v>160</v>
      </c>
      <c r="G3850" s="1" t="s">
        <v>160</v>
      </c>
      <c r="H3850" s="1" t="str">
        <f>VLOOKUP(F3850,Countries!$A$1:$B$161,2,0)</f>
        <v>New Zealand</v>
      </c>
    </row>
    <row r="3851" spans="1:8" x14ac:dyDescent="0.3">
      <c r="A3851" s="3">
        <v>46248.442129629628</v>
      </c>
      <c r="B3851" s="1">
        <v>17.739999999999998</v>
      </c>
      <c r="C3851" s="1">
        <v>15.35</v>
      </c>
      <c r="D3851" s="1">
        <v>1.06</v>
      </c>
      <c r="E3851" s="1" t="s">
        <v>113</v>
      </c>
      <c r="F3851" s="1" t="s">
        <v>113</v>
      </c>
      <c r="G3851" s="1" t="s">
        <v>113</v>
      </c>
      <c r="H3851" s="1" t="str">
        <f>VLOOKUP(F3851,Countries!$A$1:$B$161,2,0)</f>
        <v>United States of America</v>
      </c>
    </row>
    <row r="3852" spans="1:8" x14ac:dyDescent="0.3">
      <c r="A3852" s="3">
        <v>46248.440833333327</v>
      </c>
      <c r="B3852" s="1">
        <v>48.18</v>
      </c>
      <c r="C3852" s="1">
        <v>41.69</v>
      </c>
      <c r="D3852" s="1">
        <v>2.4300000000000002</v>
      </c>
      <c r="E3852" s="1" t="s">
        <v>165</v>
      </c>
      <c r="F3852" s="1" t="s">
        <v>165</v>
      </c>
      <c r="G3852" s="1" t="s">
        <v>165</v>
      </c>
      <c r="H3852" s="1" t="str">
        <f>VLOOKUP(F3852,Countries!$A$1:$B$161,2,0)</f>
        <v>Israel</v>
      </c>
    </row>
    <row r="3853" spans="1:8" x14ac:dyDescent="0.3">
      <c r="A3853" s="3">
        <v>46248.439502314817</v>
      </c>
      <c r="B3853" s="1">
        <v>2.11</v>
      </c>
      <c r="C3853" s="1">
        <v>1.83</v>
      </c>
      <c r="D3853" s="1">
        <v>0.35</v>
      </c>
      <c r="E3853" s="1" t="s">
        <v>113</v>
      </c>
      <c r="F3853" s="1" t="s">
        <v>113</v>
      </c>
      <c r="G3853" s="1" t="s">
        <v>113</v>
      </c>
      <c r="H3853" s="1" t="str">
        <f>VLOOKUP(F3853,Countries!$A$1:$B$161,2,0)</f>
        <v>United States of America</v>
      </c>
    </row>
    <row r="3854" spans="1:8" x14ac:dyDescent="0.3">
      <c r="A3854" s="3">
        <v>46248.437060185177</v>
      </c>
      <c r="B3854" s="1">
        <v>6.37</v>
      </c>
      <c r="C3854" s="1">
        <v>5.51</v>
      </c>
      <c r="D3854" s="1">
        <v>0.54</v>
      </c>
      <c r="E3854" s="1" t="s">
        <v>113</v>
      </c>
      <c r="F3854" s="1" t="s">
        <v>113</v>
      </c>
      <c r="G3854" s="1" t="s">
        <v>113</v>
      </c>
      <c r="H3854" s="1" t="str">
        <f>VLOOKUP(F3854,Countries!$A$1:$B$161,2,0)</f>
        <v>United States of America</v>
      </c>
    </row>
    <row r="3855" spans="1:8" x14ac:dyDescent="0.3">
      <c r="A3855" s="3">
        <v>46248.425370370373</v>
      </c>
      <c r="B3855" s="1">
        <v>2.4500000000000002</v>
      </c>
      <c r="C3855" s="1">
        <v>2.12</v>
      </c>
      <c r="D3855" s="1">
        <v>0.32</v>
      </c>
      <c r="E3855" s="1" t="s">
        <v>147</v>
      </c>
      <c r="F3855" s="1" t="s">
        <v>147</v>
      </c>
      <c r="G3855" s="1" t="s">
        <v>147</v>
      </c>
      <c r="H3855" s="1" t="str">
        <f>VLOOKUP(F3855,Countries!$A$1:$B$161,2,0)</f>
        <v>Germany</v>
      </c>
    </row>
    <row r="3856" spans="1:8" x14ac:dyDescent="0.3">
      <c r="A3856" s="3">
        <v>46248.423645833333</v>
      </c>
      <c r="B3856" s="1">
        <v>2.99</v>
      </c>
      <c r="C3856" s="1">
        <v>2.59</v>
      </c>
      <c r="D3856" s="1">
        <v>0.38</v>
      </c>
      <c r="E3856" s="1" t="s">
        <v>113</v>
      </c>
      <c r="F3856" s="1" t="s">
        <v>113</v>
      </c>
      <c r="G3856" s="1" t="s">
        <v>113</v>
      </c>
      <c r="H3856" s="1" t="str">
        <f>VLOOKUP(F3856,Countries!$A$1:$B$161,2,0)</f>
        <v>United States of America</v>
      </c>
    </row>
    <row r="3857" spans="1:8" x14ac:dyDescent="0.3">
      <c r="A3857" s="3">
        <v>46248.422893518517</v>
      </c>
      <c r="B3857" s="1">
        <v>10.62</v>
      </c>
      <c r="C3857" s="1">
        <v>9.19</v>
      </c>
      <c r="D3857" s="1">
        <v>0.73</v>
      </c>
      <c r="E3857" s="1" t="s">
        <v>113</v>
      </c>
      <c r="F3857" s="1" t="s">
        <v>113</v>
      </c>
      <c r="G3857" s="1" t="s">
        <v>113</v>
      </c>
      <c r="H3857" s="1" t="str">
        <f>VLOOKUP(F3857,Countries!$A$1:$B$161,2,0)</f>
        <v>United States of America</v>
      </c>
    </row>
    <row r="3858" spans="1:8" x14ac:dyDescent="0.3">
      <c r="A3858" s="3">
        <v>46248.418738425928</v>
      </c>
      <c r="B3858" s="1">
        <v>17.36</v>
      </c>
      <c r="C3858" s="1">
        <v>15.02</v>
      </c>
      <c r="D3858" s="1">
        <v>0.78</v>
      </c>
      <c r="E3858" s="1" t="s">
        <v>123</v>
      </c>
      <c r="F3858" s="1" t="s">
        <v>123</v>
      </c>
      <c r="G3858" s="1" t="s">
        <v>123</v>
      </c>
      <c r="H3858" s="1" t="str">
        <f>VLOOKUP(F3858,Countries!$A$1:$B$161,2,0)</f>
        <v>France</v>
      </c>
    </row>
    <row r="3859" spans="1:8" x14ac:dyDescent="0.3">
      <c r="A3859" s="3">
        <v>46248.416377314818</v>
      </c>
      <c r="B3859" s="1">
        <v>7.58</v>
      </c>
      <c r="C3859" s="1">
        <v>6.56</v>
      </c>
      <c r="D3859" s="1">
        <v>0.48</v>
      </c>
      <c r="E3859" s="1" t="s">
        <v>116</v>
      </c>
      <c r="F3859" s="1" t="s">
        <v>116</v>
      </c>
      <c r="G3859" s="1" t="s">
        <v>116</v>
      </c>
      <c r="H3859" s="1" t="str">
        <f>VLOOKUP(F3859,Countries!$A$1:$B$161,2,0)</f>
        <v>Spain</v>
      </c>
    </row>
    <row r="3860" spans="1:8" x14ac:dyDescent="0.3">
      <c r="A3860" s="3">
        <v>46248.412557870368</v>
      </c>
      <c r="B3860" s="1">
        <v>6.37</v>
      </c>
      <c r="C3860" s="1">
        <v>5.51</v>
      </c>
      <c r="D3860" s="1">
        <v>0.54</v>
      </c>
      <c r="E3860" s="1" t="s">
        <v>113</v>
      </c>
      <c r="F3860" s="1" t="s">
        <v>113</v>
      </c>
      <c r="G3860" s="1" t="s">
        <v>113</v>
      </c>
      <c r="H3860" s="1" t="str">
        <f>VLOOKUP(F3860,Countries!$A$1:$B$161,2,0)</f>
        <v>United States of America</v>
      </c>
    </row>
    <row r="3861" spans="1:8" x14ac:dyDescent="0.3">
      <c r="A3861" s="3">
        <v>46248.410208333327</v>
      </c>
      <c r="B3861" s="1">
        <v>6.37</v>
      </c>
      <c r="C3861" s="1">
        <v>5.51</v>
      </c>
      <c r="D3861" s="1">
        <v>0.54</v>
      </c>
      <c r="E3861" s="1" t="s">
        <v>113</v>
      </c>
      <c r="F3861" s="1" t="s">
        <v>113</v>
      </c>
      <c r="G3861" s="1" t="s">
        <v>113</v>
      </c>
      <c r="H3861" s="1" t="str">
        <f>VLOOKUP(F3861,Countries!$A$1:$B$161,2,0)</f>
        <v>United States of America</v>
      </c>
    </row>
    <row r="3862" spans="1:8" x14ac:dyDescent="0.3">
      <c r="A3862" s="3">
        <v>46248.409432870372</v>
      </c>
      <c r="B3862" s="1">
        <v>6.37</v>
      </c>
      <c r="C3862" s="1">
        <v>5.51</v>
      </c>
      <c r="D3862" s="1">
        <v>0.54</v>
      </c>
      <c r="E3862" s="1" t="s">
        <v>113</v>
      </c>
      <c r="F3862" s="1" t="s">
        <v>113</v>
      </c>
      <c r="G3862" s="1" t="s">
        <v>113</v>
      </c>
      <c r="H3862" s="1" t="str">
        <f>VLOOKUP(F3862,Countries!$A$1:$B$161,2,0)</f>
        <v>United States of America</v>
      </c>
    </row>
    <row r="3863" spans="1:8" x14ac:dyDescent="0.3">
      <c r="A3863" s="3">
        <v>46248.408958333333</v>
      </c>
      <c r="B3863" s="1">
        <v>2.99</v>
      </c>
      <c r="C3863" s="1">
        <v>2.59</v>
      </c>
      <c r="D3863" s="1">
        <v>0.38</v>
      </c>
      <c r="E3863" s="1" t="s">
        <v>132</v>
      </c>
      <c r="F3863" s="1" t="s">
        <v>132</v>
      </c>
      <c r="G3863" s="1" t="s">
        <v>132</v>
      </c>
      <c r="H3863" s="1" t="str">
        <f>VLOOKUP(F3863,Countries!$A$1:$B$161,2,0)</f>
        <v>Canada</v>
      </c>
    </row>
    <row r="3864" spans="1:8" x14ac:dyDescent="0.3">
      <c r="A3864" s="3">
        <v>46248.408043981479</v>
      </c>
      <c r="B3864" s="1">
        <v>8.41</v>
      </c>
      <c r="C3864" s="1">
        <v>7.28</v>
      </c>
      <c r="D3864" s="1">
        <v>0.64</v>
      </c>
      <c r="E3864" s="1" t="s">
        <v>132</v>
      </c>
      <c r="F3864" s="1" t="s">
        <v>132</v>
      </c>
      <c r="G3864" s="1" t="s">
        <v>132</v>
      </c>
      <c r="H3864" s="1" t="str">
        <f>VLOOKUP(F3864,Countries!$A$1:$B$161,2,0)</f>
        <v>Canada</v>
      </c>
    </row>
    <row r="3865" spans="1:8" x14ac:dyDescent="0.3">
      <c r="A3865" s="3">
        <v>46248.402256944442</v>
      </c>
      <c r="B3865" s="1">
        <v>6.37</v>
      </c>
      <c r="C3865" s="1">
        <v>5.51</v>
      </c>
      <c r="D3865" s="1">
        <v>0.54</v>
      </c>
      <c r="E3865" s="1" t="s">
        <v>113</v>
      </c>
      <c r="F3865" s="1" t="s">
        <v>113</v>
      </c>
      <c r="G3865" s="1" t="s">
        <v>113</v>
      </c>
      <c r="H3865" s="1" t="str">
        <f>VLOOKUP(F3865,Countries!$A$1:$B$161,2,0)</f>
        <v>United States of America</v>
      </c>
    </row>
    <row r="3866" spans="1:8" x14ac:dyDescent="0.3">
      <c r="A3866" s="3">
        <v>46248.395462962973</v>
      </c>
      <c r="B3866" s="1">
        <v>6.37</v>
      </c>
      <c r="C3866" s="1">
        <v>5.51</v>
      </c>
      <c r="D3866" s="1">
        <v>0.54</v>
      </c>
      <c r="E3866" s="1" t="s">
        <v>113</v>
      </c>
      <c r="F3866" s="1" t="s">
        <v>113</v>
      </c>
      <c r="G3866" s="1" t="s">
        <v>113</v>
      </c>
      <c r="H3866" s="1" t="str">
        <f>VLOOKUP(F3866,Countries!$A$1:$B$161,2,0)</f>
        <v>United States of America</v>
      </c>
    </row>
    <row r="3867" spans="1:8" x14ac:dyDescent="0.3">
      <c r="A3867" s="3">
        <v>46248.39439814815</v>
      </c>
      <c r="B3867" s="1">
        <v>10.99</v>
      </c>
      <c r="C3867" s="1">
        <v>9.51</v>
      </c>
      <c r="D3867" s="1">
        <v>0.75</v>
      </c>
      <c r="E3867" s="1" t="s">
        <v>113</v>
      </c>
      <c r="F3867" s="1" t="s">
        <v>113</v>
      </c>
      <c r="G3867" s="1" t="s">
        <v>113</v>
      </c>
      <c r="H3867" s="1" t="str">
        <f>VLOOKUP(F3867,Countries!$A$1:$B$161,2,0)</f>
        <v>United States of America</v>
      </c>
    </row>
    <row r="3868" spans="1:8" x14ac:dyDescent="0.3">
      <c r="A3868" s="3">
        <v>46248.388009259259</v>
      </c>
      <c r="B3868" s="1">
        <v>17.8</v>
      </c>
      <c r="C3868" s="1">
        <v>15.4</v>
      </c>
      <c r="D3868" s="1">
        <v>0.79</v>
      </c>
      <c r="E3868" s="1" t="s">
        <v>124</v>
      </c>
      <c r="F3868" s="1" t="s">
        <v>124</v>
      </c>
      <c r="G3868" s="1" t="s">
        <v>124</v>
      </c>
      <c r="H3868" s="1" t="str">
        <f>VLOOKUP(F3868,Countries!$A$1:$B$161,2,0)</f>
        <v>Italy</v>
      </c>
    </row>
    <row r="3869" spans="1:8" x14ac:dyDescent="0.3">
      <c r="A3869" s="3">
        <v>46248.382881944453</v>
      </c>
      <c r="B3869" s="1">
        <v>11.35</v>
      </c>
      <c r="C3869" s="1">
        <v>9.82</v>
      </c>
      <c r="D3869" s="1">
        <v>0.77</v>
      </c>
      <c r="E3869" s="1" t="s">
        <v>114</v>
      </c>
      <c r="F3869" s="1" t="s">
        <v>114</v>
      </c>
      <c r="G3869" s="1" t="s">
        <v>114</v>
      </c>
      <c r="H3869" s="1" t="str">
        <f>VLOOKUP(F3869,Countries!$A$1:$B$161,2,0)</f>
        <v>Philippines</v>
      </c>
    </row>
    <row r="3870" spans="1:8" x14ac:dyDescent="0.3">
      <c r="A3870" s="3">
        <v>46248.382349537038</v>
      </c>
      <c r="B3870" s="1">
        <v>7.48</v>
      </c>
      <c r="C3870" s="1">
        <v>6.47</v>
      </c>
      <c r="D3870" s="1">
        <v>0.48</v>
      </c>
      <c r="E3870" s="1" t="s">
        <v>123</v>
      </c>
      <c r="F3870" s="1" t="s">
        <v>123</v>
      </c>
      <c r="G3870" s="1" t="s">
        <v>123</v>
      </c>
      <c r="H3870" s="1" t="str">
        <f>VLOOKUP(F3870,Countries!$A$1:$B$161,2,0)</f>
        <v>France</v>
      </c>
    </row>
    <row r="3871" spans="1:8" x14ac:dyDescent="0.3">
      <c r="A3871" s="3">
        <v>46248.376331018517</v>
      </c>
      <c r="B3871" s="1">
        <v>2.99</v>
      </c>
      <c r="C3871" s="1">
        <v>2.59</v>
      </c>
      <c r="D3871" s="1">
        <v>0.38</v>
      </c>
      <c r="E3871" s="1" t="s">
        <v>135</v>
      </c>
      <c r="F3871" s="1" t="s">
        <v>135</v>
      </c>
      <c r="G3871" s="1" t="s">
        <v>135</v>
      </c>
      <c r="H3871" s="1" t="str">
        <f>VLOOKUP(F3871,Countries!$A$1:$B$161,2,0)</f>
        <v>Kuwait</v>
      </c>
    </row>
    <row r="3872" spans="1:8" x14ac:dyDescent="0.3">
      <c r="A3872" s="3">
        <v>46248.3672337963</v>
      </c>
      <c r="B3872" s="1">
        <v>11.35</v>
      </c>
      <c r="C3872" s="1">
        <v>9.83</v>
      </c>
      <c r="D3872" s="1">
        <v>0.77</v>
      </c>
      <c r="E3872" s="1" t="s">
        <v>114</v>
      </c>
      <c r="F3872" s="1" t="s">
        <v>114</v>
      </c>
      <c r="G3872" s="1" t="s">
        <v>114</v>
      </c>
      <c r="H3872" s="1" t="str">
        <f>VLOOKUP(F3872,Countries!$A$1:$B$161,2,0)</f>
        <v>Philippines</v>
      </c>
    </row>
    <row r="3873" spans="1:8" x14ac:dyDescent="0.3">
      <c r="A3873" s="3">
        <v>46248.361921296288</v>
      </c>
      <c r="B3873" s="1">
        <v>17.8</v>
      </c>
      <c r="C3873" s="1">
        <v>15.41</v>
      </c>
      <c r="D3873" s="1">
        <v>0.79</v>
      </c>
      <c r="E3873" s="1" t="s">
        <v>124</v>
      </c>
      <c r="F3873" s="1" t="s">
        <v>124</v>
      </c>
      <c r="G3873" s="1" t="s">
        <v>124</v>
      </c>
      <c r="H3873" s="1" t="str">
        <f>VLOOKUP(F3873,Countries!$A$1:$B$161,2,0)</f>
        <v>Italy</v>
      </c>
    </row>
    <row r="3874" spans="1:8" x14ac:dyDescent="0.3">
      <c r="A3874" s="3">
        <v>46248.360231481478</v>
      </c>
      <c r="B3874" s="1">
        <v>14.78</v>
      </c>
      <c r="C3874" s="1">
        <v>12.8</v>
      </c>
      <c r="D3874" s="1">
        <v>0.93</v>
      </c>
      <c r="E3874" s="1" t="s">
        <v>113</v>
      </c>
      <c r="F3874" s="1" t="s">
        <v>113</v>
      </c>
      <c r="G3874" s="1" t="s">
        <v>113</v>
      </c>
      <c r="H3874" s="1" t="str">
        <f>VLOOKUP(F3874,Countries!$A$1:$B$161,2,0)</f>
        <v>United States of America</v>
      </c>
    </row>
    <row r="3875" spans="1:8" x14ac:dyDescent="0.3">
      <c r="A3875" s="3">
        <v>46248.358912037038</v>
      </c>
      <c r="B3875" s="1">
        <v>2.99</v>
      </c>
      <c r="C3875" s="1">
        <v>2.59</v>
      </c>
      <c r="D3875" s="1">
        <v>0.38</v>
      </c>
      <c r="E3875" s="1" t="s">
        <v>113</v>
      </c>
      <c r="F3875" s="1" t="s">
        <v>113</v>
      </c>
      <c r="G3875" s="1" t="s">
        <v>113</v>
      </c>
      <c r="H3875" s="1" t="str">
        <f>VLOOKUP(F3875,Countries!$A$1:$B$161,2,0)</f>
        <v>United States of America</v>
      </c>
    </row>
    <row r="3876" spans="1:8" x14ac:dyDescent="0.3">
      <c r="A3876" s="3">
        <v>46248.356435185182</v>
      </c>
      <c r="B3876" s="1">
        <v>17.82</v>
      </c>
      <c r="C3876" s="1">
        <v>15.43</v>
      </c>
      <c r="D3876" s="1">
        <v>0.79</v>
      </c>
      <c r="E3876" s="1" t="s">
        <v>124</v>
      </c>
      <c r="F3876" s="1" t="s">
        <v>124</v>
      </c>
      <c r="G3876" s="1" t="s">
        <v>124</v>
      </c>
      <c r="H3876" s="1" t="str">
        <f>VLOOKUP(F3876,Countries!$A$1:$B$161,2,0)</f>
        <v>Italy</v>
      </c>
    </row>
    <row r="3877" spans="1:8" x14ac:dyDescent="0.3">
      <c r="A3877" s="3">
        <v>46248.355706018519</v>
      </c>
      <c r="B3877" s="1">
        <v>17.8</v>
      </c>
      <c r="C3877" s="1">
        <v>15.41</v>
      </c>
      <c r="D3877" s="1">
        <v>0.79</v>
      </c>
      <c r="E3877" s="1" t="s">
        <v>124</v>
      </c>
      <c r="F3877" s="1" t="s">
        <v>124</v>
      </c>
      <c r="G3877" s="1" t="s">
        <v>124</v>
      </c>
      <c r="H3877" s="1" t="str">
        <f>VLOOKUP(F3877,Countries!$A$1:$B$161,2,0)</f>
        <v>Italy</v>
      </c>
    </row>
    <row r="3878" spans="1:8" x14ac:dyDescent="0.3">
      <c r="A3878" s="3">
        <v>46248.355104166672</v>
      </c>
      <c r="B3878" s="1">
        <v>7.67</v>
      </c>
      <c r="C3878" s="1">
        <v>6.64</v>
      </c>
      <c r="D3878" s="1">
        <v>0.48</v>
      </c>
      <c r="E3878" s="1" t="s">
        <v>124</v>
      </c>
      <c r="F3878" s="1" t="s">
        <v>124</v>
      </c>
      <c r="G3878" s="1" t="s">
        <v>124</v>
      </c>
      <c r="H3878" s="1" t="str">
        <f>VLOOKUP(F3878,Countries!$A$1:$B$161,2,0)</f>
        <v>Italy</v>
      </c>
    </row>
    <row r="3879" spans="1:8" x14ac:dyDescent="0.3">
      <c r="A3879" s="3">
        <v>46248.354039351849</v>
      </c>
      <c r="B3879" s="1">
        <v>17.36</v>
      </c>
      <c r="C3879" s="1">
        <v>15.03</v>
      </c>
      <c r="D3879" s="1">
        <v>0.93</v>
      </c>
      <c r="E3879" s="1" t="s">
        <v>119</v>
      </c>
      <c r="F3879" s="1" t="s">
        <v>119</v>
      </c>
      <c r="G3879" s="1" t="s">
        <v>119</v>
      </c>
      <c r="H3879" s="1" t="str">
        <f>VLOOKUP(F3879,Countries!$A$1:$B$161,2,0)</f>
        <v>Great Britain (United Kingdom)</v>
      </c>
    </row>
    <row r="3880" spans="1:8" x14ac:dyDescent="0.3">
      <c r="A3880" s="3">
        <v>46248.35365740741</v>
      </c>
      <c r="B3880" s="1">
        <v>17.36</v>
      </c>
      <c r="C3880" s="1">
        <v>15.03</v>
      </c>
      <c r="D3880" s="1">
        <v>0.93</v>
      </c>
      <c r="E3880" s="1" t="s">
        <v>119</v>
      </c>
      <c r="F3880" s="1" t="s">
        <v>119</v>
      </c>
      <c r="G3880" s="1" t="s">
        <v>119</v>
      </c>
      <c r="H3880" s="1" t="str">
        <f>VLOOKUP(F3880,Countries!$A$1:$B$161,2,0)</f>
        <v>Great Britain (United Kingdom)</v>
      </c>
    </row>
    <row r="3881" spans="1:8" x14ac:dyDescent="0.3">
      <c r="A3881" s="3">
        <v>46248.352951388893</v>
      </c>
      <c r="B3881" s="1">
        <v>96.37</v>
      </c>
      <c r="C3881" s="1">
        <v>83.44</v>
      </c>
      <c r="D3881" s="1">
        <v>4.63</v>
      </c>
      <c r="E3881" s="1" t="s">
        <v>165</v>
      </c>
      <c r="F3881" s="1" t="s">
        <v>165</v>
      </c>
      <c r="G3881" s="1" t="s">
        <v>165</v>
      </c>
      <c r="H3881" s="1" t="str">
        <f>VLOOKUP(F3881,Countries!$A$1:$B$161,2,0)</f>
        <v>Israel</v>
      </c>
    </row>
    <row r="3882" spans="1:8" x14ac:dyDescent="0.3">
      <c r="A3882" s="3">
        <v>46248.349328703713</v>
      </c>
      <c r="B3882" s="1">
        <v>12.8</v>
      </c>
      <c r="C3882" s="1">
        <v>11.08</v>
      </c>
      <c r="D3882" s="1">
        <v>0.64</v>
      </c>
      <c r="E3882" s="1" t="s">
        <v>124</v>
      </c>
      <c r="F3882" s="1" t="s">
        <v>124</v>
      </c>
      <c r="G3882" s="1" t="s">
        <v>124</v>
      </c>
      <c r="H3882" s="1" t="str">
        <f>VLOOKUP(F3882,Countries!$A$1:$B$161,2,0)</f>
        <v>Italy</v>
      </c>
    </row>
    <row r="3883" spans="1:8" x14ac:dyDescent="0.3">
      <c r="A3883" s="3">
        <v>46248.34883101852</v>
      </c>
      <c r="B3883" s="1">
        <v>17.36</v>
      </c>
      <c r="C3883" s="1">
        <v>15.03</v>
      </c>
      <c r="D3883" s="1">
        <v>0.93</v>
      </c>
      <c r="E3883" s="1" t="s">
        <v>119</v>
      </c>
      <c r="F3883" s="1" t="s">
        <v>119</v>
      </c>
      <c r="G3883" s="1" t="s">
        <v>119</v>
      </c>
      <c r="H3883" s="1" t="str">
        <f>VLOOKUP(F3883,Countries!$A$1:$B$161,2,0)</f>
        <v>Great Britain (United Kingdom)</v>
      </c>
    </row>
    <row r="3884" spans="1:8" x14ac:dyDescent="0.3">
      <c r="A3884" s="3">
        <v>46248.348449074067</v>
      </c>
      <c r="B3884" s="1">
        <v>17.36</v>
      </c>
      <c r="C3884" s="1">
        <v>15.03</v>
      </c>
      <c r="D3884" s="1">
        <v>0.93</v>
      </c>
      <c r="E3884" s="1" t="s">
        <v>119</v>
      </c>
      <c r="F3884" s="1" t="s">
        <v>119</v>
      </c>
      <c r="G3884" s="1" t="s">
        <v>119</v>
      </c>
      <c r="H3884" s="1" t="str">
        <f>VLOOKUP(F3884,Countries!$A$1:$B$161,2,0)</f>
        <v>Great Britain (United Kingdom)</v>
      </c>
    </row>
    <row r="3885" spans="1:8" x14ac:dyDescent="0.3">
      <c r="A3885" s="3">
        <v>46248.348356481481</v>
      </c>
      <c r="B3885" s="1">
        <v>17.36</v>
      </c>
      <c r="C3885" s="1">
        <v>15.03</v>
      </c>
      <c r="D3885" s="1">
        <v>0.93</v>
      </c>
      <c r="E3885" s="1" t="s">
        <v>119</v>
      </c>
      <c r="F3885" s="1" t="s">
        <v>119</v>
      </c>
      <c r="G3885" s="1" t="s">
        <v>119</v>
      </c>
      <c r="H3885" s="1" t="str">
        <f>VLOOKUP(F3885,Countries!$A$1:$B$161,2,0)</f>
        <v>Great Britain (United Kingdom)</v>
      </c>
    </row>
    <row r="3886" spans="1:8" x14ac:dyDescent="0.3">
      <c r="A3886" s="3">
        <v>46248.346805555557</v>
      </c>
      <c r="B3886" s="1">
        <v>10.62</v>
      </c>
      <c r="C3886" s="1">
        <v>9.19</v>
      </c>
      <c r="D3886" s="1">
        <v>0.73</v>
      </c>
      <c r="E3886" s="1" t="s">
        <v>113</v>
      </c>
      <c r="F3886" s="1" t="s">
        <v>113</v>
      </c>
      <c r="G3886" s="1" t="s">
        <v>113</v>
      </c>
      <c r="H3886" s="1" t="str">
        <f>VLOOKUP(F3886,Countries!$A$1:$B$161,2,0)</f>
        <v>United States of America</v>
      </c>
    </row>
    <row r="3887" spans="1:8" x14ac:dyDescent="0.3">
      <c r="A3887" s="3">
        <v>46248.344143518523</v>
      </c>
      <c r="B3887" s="1">
        <v>17.36</v>
      </c>
      <c r="C3887" s="1">
        <v>15.03</v>
      </c>
      <c r="D3887" s="1">
        <v>0.93</v>
      </c>
      <c r="E3887" s="1" t="s">
        <v>119</v>
      </c>
      <c r="F3887" s="1" t="s">
        <v>119</v>
      </c>
      <c r="G3887" s="1" t="s">
        <v>119</v>
      </c>
      <c r="H3887" s="1" t="str">
        <f>VLOOKUP(F3887,Countries!$A$1:$B$161,2,0)</f>
        <v>Great Britain (United Kingdom)</v>
      </c>
    </row>
    <row r="3888" spans="1:8" x14ac:dyDescent="0.3">
      <c r="A3888" s="3">
        <v>46248.343807870369</v>
      </c>
      <c r="B3888" s="1">
        <v>17.36</v>
      </c>
      <c r="C3888" s="1">
        <v>15.03</v>
      </c>
      <c r="D3888" s="1">
        <v>0.93</v>
      </c>
      <c r="E3888" s="1" t="s">
        <v>119</v>
      </c>
      <c r="F3888" s="1" t="s">
        <v>119</v>
      </c>
      <c r="G3888" s="1" t="s">
        <v>119</v>
      </c>
      <c r="H3888" s="1" t="str">
        <f>VLOOKUP(F3888,Countries!$A$1:$B$161,2,0)</f>
        <v>Great Britain (United Kingdom)</v>
      </c>
    </row>
    <row r="3889" spans="1:8" x14ac:dyDescent="0.3">
      <c r="A3889" s="3">
        <v>46248.343657407408</v>
      </c>
      <c r="B3889" s="1">
        <v>17.36</v>
      </c>
      <c r="C3889" s="1">
        <v>15.03</v>
      </c>
      <c r="D3889" s="1">
        <v>0.93</v>
      </c>
      <c r="E3889" s="1" t="s">
        <v>119</v>
      </c>
      <c r="F3889" s="1" t="s">
        <v>119</v>
      </c>
      <c r="G3889" s="1" t="s">
        <v>119</v>
      </c>
      <c r="H3889" s="1" t="str">
        <f>VLOOKUP(F3889,Countries!$A$1:$B$161,2,0)</f>
        <v>Great Britain (United Kingdom)</v>
      </c>
    </row>
    <row r="3890" spans="1:8" x14ac:dyDescent="0.3">
      <c r="A3890" s="3">
        <v>46248.342233796298</v>
      </c>
      <c r="B3890" s="1">
        <v>17</v>
      </c>
      <c r="C3890" s="1">
        <v>14.72</v>
      </c>
      <c r="D3890" s="1">
        <v>1.02</v>
      </c>
      <c r="E3890" s="1" t="s">
        <v>113</v>
      </c>
      <c r="F3890" s="1" t="s">
        <v>113</v>
      </c>
      <c r="G3890" s="1" t="s">
        <v>113</v>
      </c>
      <c r="H3890" s="1" t="str">
        <f>VLOOKUP(F3890,Countries!$A$1:$B$161,2,0)</f>
        <v>United States of America</v>
      </c>
    </row>
    <row r="3891" spans="1:8" x14ac:dyDescent="0.3">
      <c r="A3891" s="3">
        <v>46248.334999999999</v>
      </c>
      <c r="B3891" s="1">
        <v>36.96</v>
      </c>
      <c r="C3891" s="1">
        <v>32.020000000000003</v>
      </c>
      <c r="D3891" s="1">
        <v>1.93</v>
      </c>
      <c r="E3891" s="1" t="s">
        <v>113</v>
      </c>
      <c r="F3891" s="1" t="s">
        <v>113</v>
      </c>
      <c r="G3891" s="1" t="s">
        <v>113</v>
      </c>
      <c r="H3891" s="1" t="str">
        <f>VLOOKUP(F3891,Countries!$A$1:$B$161,2,0)</f>
        <v>United States of America</v>
      </c>
    </row>
    <row r="3892" spans="1:8" x14ac:dyDescent="0.3">
      <c r="A3892" s="3">
        <v>46248.321226851847</v>
      </c>
      <c r="B3892" s="1">
        <v>17.36</v>
      </c>
      <c r="C3892" s="1">
        <v>15.04</v>
      </c>
      <c r="D3892" s="1">
        <v>0.93</v>
      </c>
      <c r="E3892" s="1" t="s">
        <v>119</v>
      </c>
      <c r="F3892" s="1" t="s">
        <v>119</v>
      </c>
      <c r="G3892" s="1" t="s">
        <v>119</v>
      </c>
      <c r="H3892" s="1" t="str">
        <f>VLOOKUP(F3892,Countries!$A$1:$B$161,2,0)</f>
        <v>Great Britain (United Kingdom)</v>
      </c>
    </row>
    <row r="3893" spans="1:8" x14ac:dyDescent="0.3">
      <c r="A3893" s="3">
        <v>46248.303993055553</v>
      </c>
      <c r="B3893" s="1">
        <v>2.99</v>
      </c>
      <c r="C3893" s="1">
        <v>2.59</v>
      </c>
      <c r="D3893" s="1">
        <v>0.38</v>
      </c>
      <c r="E3893" s="1" t="s">
        <v>113</v>
      </c>
      <c r="F3893" s="1" t="s">
        <v>113</v>
      </c>
      <c r="G3893" s="1" t="s">
        <v>113</v>
      </c>
      <c r="H3893" s="1" t="str">
        <f>VLOOKUP(F3893,Countries!$A$1:$B$161,2,0)</f>
        <v>United States of America</v>
      </c>
    </row>
    <row r="3894" spans="1:8" x14ac:dyDescent="0.3">
      <c r="A3894" s="3">
        <v>46248.30164351852</v>
      </c>
      <c r="B3894" s="1">
        <v>6.37</v>
      </c>
      <c r="C3894" s="1">
        <v>5.52</v>
      </c>
      <c r="D3894" s="1">
        <v>0.54</v>
      </c>
      <c r="E3894" s="1" t="s">
        <v>113</v>
      </c>
      <c r="F3894" s="1" t="s">
        <v>113</v>
      </c>
      <c r="G3894" s="1" t="s">
        <v>113</v>
      </c>
      <c r="H3894" s="1" t="str">
        <f>VLOOKUP(F3894,Countries!$A$1:$B$161,2,0)</f>
        <v>United States of America</v>
      </c>
    </row>
    <row r="3895" spans="1:8" x14ac:dyDescent="0.3">
      <c r="A3895" s="3">
        <v>46248.301527777781</v>
      </c>
      <c r="B3895" s="1">
        <v>6.65</v>
      </c>
      <c r="C3895" s="1">
        <v>5.76</v>
      </c>
      <c r="D3895" s="1">
        <v>0.56000000000000005</v>
      </c>
      <c r="E3895" s="1" t="s">
        <v>130</v>
      </c>
      <c r="F3895" s="1" t="s">
        <v>130</v>
      </c>
      <c r="G3895" s="1" t="s">
        <v>130</v>
      </c>
      <c r="H3895" s="1" t="str">
        <f>VLOOKUP(F3895,Countries!$A$1:$B$161,2,0)</f>
        <v>Australia</v>
      </c>
    </row>
    <row r="3896" spans="1:8" x14ac:dyDescent="0.3">
      <c r="A3896" s="3">
        <v>46248.296273148153</v>
      </c>
      <c r="B3896" s="1">
        <v>36.96</v>
      </c>
      <c r="C3896" s="1">
        <v>32.020000000000003</v>
      </c>
      <c r="D3896" s="1">
        <v>1.93</v>
      </c>
      <c r="E3896" s="1" t="s">
        <v>113</v>
      </c>
      <c r="F3896" s="1" t="s">
        <v>113</v>
      </c>
      <c r="G3896" s="1" t="s">
        <v>113</v>
      </c>
      <c r="H3896" s="1" t="str">
        <f>VLOOKUP(F3896,Countries!$A$1:$B$161,2,0)</f>
        <v>United States of America</v>
      </c>
    </row>
    <row r="3897" spans="1:8" x14ac:dyDescent="0.3">
      <c r="A3897" s="3">
        <v>46248.292349537027</v>
      </c>
      <c r="B3897" s="1">
        <v>42.54</v>
      </c>
      <c r="C3897" s="1">
        <v>36.86</v>
      </c>
      <c r="D3897" s="1">
        <v>2.19</v>
      </c>
      <c r="E3897" s="1" t="s">
        <v>113</v>
      </c>
      <c r="F3897" s="1" t="s">
        <v>113</v>
      </c>
      <c r="G3897" s="1" t="s">
        <v>113</v>
      </c>
      <c r="H3897" s="1" t="str">
        <f>VLOOKUP(F3897,Countries!$A$1:$B$161,2,0)</f>
        <v>United States of America</v>
      </c>
    </row>
    <row r="3898" spans="1:8" x14ac:dyDescent="0.3">
      <c r="A3898" s="3">
        <v>46248.290173611109</v>
      </c>
      <c r="B3898" s="1">
        <v>7.77</v>
      </c>
      <c r="C3898" s="1">
        <v>6.73</v>
      </c>
      <c r="D3898" s="1">
        <v>0.48</v>
      </c>
      <c r="E3898" s="1" t="s">
        <v>137</v>
      </c>
      <c r="F3898" s="1" t="s">
        <v>137</v>
      </c>
      <c r="G3898" s="1" t="s">
        <v>137</v>
      </c>
      <c r="H3898" s="1" t="str">
        <f>VLOOKUP(F3898,Countries!$A$1:$B$161,2,0)</f>
        <v>Poland</v>
      </c>
    </row>
    <row r="3899" spans="1:8" x14ac:dyDescent="0.3">
      <c r="A3899" s="3">
        <v>46248.288703703707</v>
      </c>
      <c r="B3899" s="1">
        <v>6.37</v>
      </c>
      <c r="C3899" s="1">
        <v>5.52</v>
      </c>
      <c r="D3899" s="1">
        <v>0.54</v>
      </c>
      <c r="E3899" s="1" t="s">
        <v>113</v>
      </c>
      <c r="F3899" s="1" t="s">
        <v>113</v>
      </c>
      <c r="G3899" s="1" t="s">
        <v>113</v>
      </c>
      <c r="H3899" s="1" t="str">
        <f>VLOOKUP(F3899,Countries!$A$1:$B$161,2,0)</f>
        <v>United States of America</v>
      </c>
    </row>
    <row r="3900" spans="1:8" x14ac:dyDescent="0.3">
      <c r="A3900" s="3">
        <v>46248.283541666657</v>
      </c>
      <c r="B3900" s="1">
        <v>1.99</v>
      </c>
      <c r="C3900" s="1">
        <v>1.72</v>
      </c>
      <c r="D3900" s="1">
        <v>0.34</v>
      </c>
      <c r="E3900" s="1" t="s">
        <v>202</v>
      </c>
      <c r="F3900" s="1" t="s">
        <v>202</v>
      </c>
      <c r="G3900" s="1" t="s">
        <v>202</v>
      </c>
      <c r="H3900" s="1" t="str">
        <f>VLOOKUP(F3900,Countries!$A$1:$B$161,2,0)</f>
        <v>Lebanon</v>
      </c>
    </row>
    <row r="3901" spans="1:8" x14ac:dyDescent="0.3">
      <c r="A3901" s="3">
        <v>46248.280694444453</v>
      </c>
      <c r="B3901" s="1">
        <v>2.99</v>
      </c>
      <c r="C3901" s="1">
        <v>2.59</v>
      </c>
      <c r="D3901" s="1">
        <v>0.38</v>
      </c>
      <c r="E3901" s="1" t="s">
        <v>113</v>
      </c>
      <c r="F3901" s="1" t="s">
        <v>129</v>
      </c>
      <c r="G3901" s="1" t="s">
        <v>129</v>
      </c>
      <c r="H3901" s="1" t="str">
        <f>VLOOKUP(F3901,Countries!$A$1:$B$161,2,0)</f>
        <v>Qatar</v>
      </c>
    </row>
    <row r="3902" spans="1:8" x14ac:dyDescent="0.3">
      <c r="A3902" s="3">
        <v>46248.280162037037</v>
      </c>
      <c r="B3902" s="1">
        <v>2.99</v>
      </c>
      <c r="C3902" s="1">
        <v>2.59</v>
      </c>
      <c r="D3902" s="1">
        <v>0.38</v>
      </c>
      <c r="E3902" s="1" t="s">
        <v>209</v>
      </c>
      <c r="F3902" s="1" t="s">
        <v>209</v>
      </c>
      <c r="G3902" s="1" t="s">
        <v>209</v>
      </c>
      <c r="H3902" s="1" t="str">
        <f>VLOOKUP(F3902,Countries!$A$1:$B$161,2,0)</f>
        <v>Bolivia</v>
      </c>
    </row>
    <row r="3903" spans="1:8" x14ac:dyDescent="0.3">
      <c r="A3903" s="3">
        <v>46248.263472222221</v>
      </c>
      <c r="B3903" s="1">
        <v>96.37</v>
      </c>
      <c r="C3903" s="1">
        <v>83.49</v>
      </c>
      <c r="D3903" s="1">
        <v>4.63</v>
      </c>
      <c r="E3903" s="1" t="s">
        <v>165</v>
      </c>
      <c r="F3903" s="1" t="s">
        <v>165</v>
      </c>
      <c r="G3903" s="1" t="s">
        <v>165</v>
      </c>
      <c r="H3903" s="1" t="str">
        <f>VLOOKUP(F3903,Countries!$A$1:$B$161,2,0)</f>
        <v>Israel</v>
      </c>
    </row>
    <row r="3904" spans="1:8" x14ac:dyDescent="0.3">
      <c r="A3904" s="3">
        <v>46248.262627314813</v>
      </c>
      <c r="B3904" s="1">
        <v>6.37</v>
      </c>
      <c r="C3904" s="1">
        <v>5.52</v>
      </c>
      <c r="D3904" s="1">
        <v>0.54</v>
      </c>
      <c r="E3904" s="1" t="s">
        <v>113</v>
      </c>
      <c r="F3904" s="1" t="s">
        <v>113</v>
      </c>
      <c r="G3904" s="1" t="s">
        <v>113</v>
      </c>
      <c r="H3904" s="1" t="str">
        <f>VLOOKUP(F3904,Countries!$A$1:$B$161,2,0)</f>
        <v>United States of America</v>
      </c>
    </row>
    <row r="3905" spans="1:8" x14ac:dyDescent="0.3">
      <c r="A3905" s="3">
        <v>46248.261597222219</v>
      </c>
      <c r="B3905" s="1">
        <v>2.1800000000000002</v>
      </c>
      <c r="C3905" s="1">
        <v>1.89</v>
      </c>
      <c r="D3905" s="1">
        <v>0.35</v>
      </c>
      <c r="E3905" s="1" t="s">
        <v>152</v>
      </c>
      <c r="F3905" s="1" t="s">
        <v>152</v>
      </c>
      <c r="G3905" s="1" t="s">
        <v>152</v>
      </c>
      <c r="H3905" s="1" t="str">
        <f>VLOOKUP(F3905,Countries!$A$1:$B$161,2,0)</f>
        <v>Singapore</v>
      </c>
    </row>
    <row r="3906" spans="1:8" x14ac:dyDescent="0.3">
      <c r="A3906" s="3">
        <v>46248.260138888887</v>
      </c>
      <c r="B3906" s="1">
        <v>1.99</v>
      </c>
      <c r="C3906" s="1">
        <v>1.72</v>
      </c>
      <c r="D3906" s="1">
        <v>0.34</v>
      </c>
      <c r="E3906" s="1" t="s">
        <v>127</v>
      </c>
      <c r="F3906" s="1" t="s">
        <v>127</v>
      </c>
      <c r="G3906" s="1" t="s">
        <v>127</v>
      </c>
      <c r="H3906" s="1" t="str">
        <f>VLOOKUP(F3906,Countries!$A$1:$B$161,2,0)</f>
        <v>Puerto Rico</v>
      </c>
    </row>
    <row r="3907" spans="1:8" x14ac:dyDescent="0.3">
      <c r="A3907" s="3">
        <v>46248.259722222218</v>
      </c>
      <c r="B3907" s="1">
        <v>6.65</v>
      </c>
      <c r="C3907" s="1">
        <v>5.76</v>
      </c>
      <c r="D3907" s="1">
        <v>0.56000000000000005</v>
      </c>
      <c r="E3907" s="1" t="s">
        <v>160</v>
      </c>
      <c r="F3907" s="1" t="s">
        <v>130</v>
      </c>
      <c r="G3907" s="1" t="s">
        <v>130</v>
      </c>
      <c r="H3907" s="1" t="str">
        <f>VLOOKUP(F3907,Countries!$A$1:$B$161,2,0)</f>
        <v>Australia</v>
      </c>
    </row>
    <row r="3908" spans="1:8" x14ac:dyDescent="0.3">
      <c r="A3908" s="3">
        <v>46248.254594907397</v>
      </c>
      <c r="B3908" s="1">
        <v>6.37</v>
      </c>
      <c r="C3908" s="1">
        <v>5.52</v>
      </c>
      <c r="D3908" s="1">
        <v>0.54</v>
      </c>
      <c r="E3908" s="1" t="s">
        <v>113</v>
      </c>
      <c r="F3908" s="1" t="s">
        <v>113</v>
      </c>
      <c r="G3908" s="1" t="s">
        <v>113</v>
      </c>
      <c r="H3908" s="1" t="str">
        <f>VLOOKUP(F3908,Countries!$A$1:$B$161,2,0)</f>
        <v>United States of America</v>
      </c>
    </row>
    <row r="3909" spans="1:8" x14ac:dyDescent="0.3">
      <c r="A3909" s="3">
        <v>46248.251307870371</v>
      </c>
      <c r="B3909" s="1">
        <v>17.010000000000002</v>
      </c>
      <c r="C3909" s="1">
        <v>14.74</v>
      </c>
      <c r="D3909" s="1">
        <v>1.02</v>
      </c>
      <c r="E3909" s="1" t="s">
        <v>113</v>
      </c>
      <c r="F3909" s="1" t="s">
        <v>113</v>
      </c>
      <c r="G3909" s="1" t="s">
        <v>113</v>
      </c>
      <c r="H3909" s="1" t="str">
        <f>VLOOKUP(F3909,Countries!$A$1:$B$161,2,0)</f>
        <v>United States of America</v>
      </c>
    </row>
    <row r="3910" spans="1:8" x14ac:dyDescent="0.3">
      <c r="A3910" s="3">
        <v>46248.251030092593</v>
      </c>
      <c r="B3910" s="1">
        <v>2.11</v>
      </c>
      <c r="C3910" s="1">
        <v>1.83</v>
      </c>
      <c r="D3910" s="1">
        <v>0.35</v>
      </c>
      <c r="E3910" s="1" t="s">
        <v>113</v>
      </c>
      <c r="F3910" s="1" t="s">
        <v>113</v>
      </c>
      <c r="G3910" s="1" t="s">
        <v>113</v>
      </c>
      <c r="H3910" s="1" t="str">
        <f>VLOOKUP(F3910,Countries!$A$1:$B$161,2,0)</f>
        <v>United States of America</v>
      </c>
    </row>
    <row r="3911" spans="1:8" x14ac:dyDescent="0.3">
      <c r="A3911" s="3">
        <v>46248.238622685189</v>
      </c>
      <c r="B3911" s="1">
        <v>6.37</v>
      </c>
      <c r="C3911" s="1">
        <v>5.52</v>
      </c>
      <c r="D3911" s="1">
        <v>0.54</v>
      </c>
      <c r="E3911" s="1" t="s">
        <v>113</v>
      </c>
      <c r="F3911" s="1" t="s">
        <v>113</v>
      </c>
      <c r="G3911" s="1" t="s">
        <v>113</v>
      </c>
      <c r="H3911" s="1" t="str">
        <f>VLOOKUP(F3911,Countries!$A$1:$B$161,2,0)</f>
        <v>United States of America</v>
      </c>
    </row>
    <row r="3912" spans="1:8" x14ac:dyDescent="0.3">
      <c r="A3912" s="3">
        <v>46248.228831018518</v>
      </c>
      <c r="B3912" s="1">
        <v>6.37</v>
      </c>
      <c r="C3912" s="1">
        <v>5.52</v>
      </c>
      <c r="D3912" s="1">
        <v>0.54</v>
      </c>
      <c r="E3912" s="1" t="s">
        <v>113</v>
      </c>
      <c r="F3912" s="1" t="s">
        <v>113</v>
      </c>
      <c r="G3912" s="1" t="s">
        <v>113</v>
      </c>
      <c r="H3912" s="1" t="str">
        <f>VLOOKUP(F3912,Countries!$A$1:$B$161,2,0)</f>
        <v>United States of America</v>
      </c>
    </row>
    <row r="3913" spans="1:8" x14ac:dyDescent="0.3">
      <c r="A3913" s="3">
        <v>46248.22755787037</v>
      </c>
      <c r="B3913" s="1">
        <v>7.77</v>
      </c>
      <c r="C3913" s="1">
        <v>6.73</v>
      </c>
      <c r="D3913" s="1">
        <v>0.48</v>
      </c>
      <c r="E3913" s="1" t="s">
        <v>137</v>
      </c>
      <c r="F3913" s="1" t="s">
        <v>137</v>
      </c>
      <c r="G3913" s="1" t="s">
        <v>137</v>
      </c>
      <c r="H3913" s="1" t="str">
        <f>VLOOKUP(F3913,Countries!$A$1:$B$161,2,0)</f>
        <v>Poland</v>
      </c>
    </row>
    <row r="3914" spans="1:8" x14ac:dyDescent="0.3">
      <c r="A3914" s="3">
        <v>46248.227129629631</v>
      </c>
      <c r="B3914" s="1">
        <v>6.3</v>
      </c>
      <c r="C3914" s="1">
        <v>5.46</v>
      </c>
      <c r="D3914" s="1">
        <v>0.54</v>
      </c>
      <c r="E3914" s="1" t="s">
        <v>132</v>
      </c>
      <c r="F3914" s="1" t="s">
        <v>132</v>
      </c>
      <c r="G3914" s="1" t="s">
        <v>132</v>
      </c>
      <c r="H3914" s="1" t="str">
        <f>VLOOKUP(F3914,Countries!$A$1:$B$161,2,0)</f>
        <v>Canada</v>
      </c>
    </row>
    <row r="3915" spans="1:8" x14ac:dyDescent="0.3">
      <c r="A3915" s="3">
        <v>46248.225428240738</v>
      </c>
      <c r="B3915" s="1">
        <v>7.99</v>
      </c>
      <c r="C3915" s="1">
        <v>6.92</v>
      </c>
      <c r="D3915" s="1">
        <v>0.61</v>
      </c>
      <c r="E3915" s="1" t="s">
        <v>157</v>
      </c>
      <c r="F3915" s="1" t="s">
        <v>157</v>
      </c>
      <c r="G3915" s="1" t="s">
        <v>157</v>
      </c>
      <c r="H3915" s="1" t="str">
        <f>VLOOKUP(F3915,Countries!$A$1:$B$161,2,0)</f>
        <v>Costa Rica</v>
      </c>
    </row>
    <row r="3916" spans="1:8" x14ac:dyDescent="0.3">
      <c r="A3916" s="3">
        <v>46248.218101851853</v>
      </c>
      <c r="B3916" s="1">
        <v>5.99</v>
      </c>
      <c r="C3916" s="1">
        <v>5.19</v>
      </c>
      <c r="D3916" s="1">
        <v>0.52</v>
      </c>
      <c r="E3916" s="1" t="s">
        <v>134</v>
      </c>
      <c r="F3916" s="1" t="s">
        <v>134</v>
      </c>
      <c r="G3916" s="1" t="s">
        <v>134</v>
      </c>
      <c r="H3916" s="1" t="str">
        <f>VLOOKUP(F3916,Countries!$A$1:$B$161,2,0)</f>
        <v>Hong Kong</v>
      </c>
    </row>
    <row r="3917" spans="1:8" x14ac:dyDescent="0.3">
      <c r="A3917" s="3">
        <v>46248.217581018522</v>
      </c>
      <c r="B3917" s="1">
        <v>17.36</v>
      </c>
      <c r="C3917" s="1">
        <v>15.04</v>
      </c>
      <c r="D3917" s="1">
        <v>0.78</v>
      </c>
      <c r="E3917" s="1" t="s">
        <v>123</v>
      </c>
      <c r="F3917" s="1" t="s">
        <v>123</v>
      </c>
      <c r="G3917" s="1" t="s">
        <v>123</v>
      </c>
      <c r="H3917" s="1" t="str">
        <f>VLOOKUP(F3917,Countries!$A$1:$B$161,2,0)</f>
        <v>France</v>
      </c>
    </row>
    <row r="3918" spans="1:8" x14ac:dyDescent="0.3">
      <c r="A3918" s="3">
        <v>46248.21597222222</v>
      </c>
      <c r="B3918" s="1">
        <v>2.99</v>
      </c>
      <c r="C3918" s="1">
        <v>2.59</v>
      </c>
      <c r="D3918" s="1">
        <v>0.38</v>
      </c>
      <c r="E3918" s="1" t="s">
        <v>113</v>
      </c>
      <c r="F3918" s="1" t="s">
        <v>113</v>
      </c>
      <c r="G3918" s="1" t="s">
        <v>113</v>
      </c>
      <c r="H3918" s="1" t="str">
        <f>VLOOKUP(F3918,Countries!$A$1:$B$161,2,0)</f>
        <v>United States of America</v>
      </c>
    </row>
    <row r="3919" spans="1:8" x14ac:dyDescent="0.3">
      <c r="A3919" s="3">
        <v>46248.215370370373</v>
      </c>
      <c r="B3919" s="1">
        <v>44.94</v>
      </c>
      <c r="C3919" s="1">
        <v>38.950000000000003</v>
      </c>
      <c r="D3919" s="1">
        <v>2.2999999999999998</v>
      </c>
      <c r="E3919" s="1" t="s">
        <v>113</v>
      </c>
      <c r="F3919" s="1" t="s">
        <v>113</v>
      </c>
      <c r="G3919" s="1" t="s">
        <v>113</v>
      </c>
      <c r="H3919" s="1" t="str">
        <f>VLOOKUP(F3919,Countries!$A$1:$B$161,2,0)</f>
        <v>United States of America</v>
      </c>
    </row>
    <row r="3920" spans="1:8" x14ac:dyDescent="0.3">
      <c r="A3920" s="3">
        <v>46248.215185185189</v>
      </c>
      <c r="B3920" s="1">
        <v>1.99</v>
      </c>
      <c r="C3920" s="1">
        <v>1.72</v>
      </c>
      <c r="D3920" s="1">
        <v>0.34</v>
      </c>
      <c r="E3920" s="1" t="s">
        <v>130</v>
      </c>
      <c r="F3920" s="1" t="s">
        <v>130</v>
      </c>
      <c r="G3920" s="1" t="s">
        <v>130</v>
      </c>
      <c r="H3920" s="1" t="str">
        <f>VLOOKUP(F3920,Countries!$A$1:$B$161,2,0)</f>
        <v>Australia</v>
      </c>
    </row>
    <row r="3921" spans="1:8" x14ac:dyDescent="0.3">
      <c r="A3921" s="3">
        <v>46248.207025462973</v>
      </c>
      <c r="B3921" s="1">
        <v>48.18</v>
      </c>
      <c r="C3921" s="1">
        <v>41.76</v>
      </c>
      <c r="D3921" s="1">
        <v>2.4500000000000002</v>
      </c>
      <c r="E3921" s="1" t="s">
        <v>165</v>
      </c>
      <c r="F3921" s="1" t="s">
        <v>165</v>
      </c>
      <c r="G3921" s="1" t="s">
        <v>165</v>
      </c>
      <c r="H3921" s="1" t="str">
        <f>VLOOKUP(F3921,Countries!$A$1:$B$161,2,0)</f>
        <v>Israel</v>
      </c>
    </row>
    <row r="3922" spans="1:8" x14ac:dyDescent="0.3">
      <c r="A3922" s="3">
        <v>46248.206724537027</v>
      </c>
      <c r="B3922" s="1">
        <v>10.62</v>
      </c>
      <c r="C3922" s="1">
        <v>9.2100000000000009</v>
      </c>
      <c r="D3922" s="1">
        <v>0.73</v>
      </c>
      <c r="E3922" s="1" t="s">
        <v>113</v>
      </c>
      <c r="F3922" s="1" t="s">
        <v>113</v>
      </c>
      <c r="G3922" s="1" t="s">
        <v>113</v>
      </c>
      <c r="H3922" s="1" t="str">
        <f>VLOOKUP(F3922,Countries!$A$1:$B$161,2,0)</f>
        <v>United States of America</v>
      </c>
    </row>
    <row r="3923" spans="1:8" x14ac:dyDescent="0.3">
      <c r="A3923" s="3">
        <v>46248.201192129629</v>
      </c>
      <c r="B3923" s="1">
        <v>6.37</v>
      </c>
      <c r="C3923" s="1">
        <v>5.52</v>
      </c>
      <c r="D3923" s="1">
        <v>0.54</v>
      </c>
      <c r="E3923" s="1" t="s">
        <v>113</v>
      </c>
      <c r="F3923" s="1" t="s">
        <v>113</v>
      </c>
      <c r="G3923" s="1" t="s">
        <v>113</v>
      </c>
      <c r="H3923" s="1" t="str">
        <f>VLOOKUP(F3923,Countries!$A$1:$B$161,2,0)</f>
        <v>United States of America</v>
      </c>
    </row>
    <row r="3924" spans="1:8" x14ac:dyDescent="0.3">
      <c r="A3924" s="3">
        <v>46248.194918981477</v>
      </c>
      <c r="B3924" s="1">
        <v>6.3</v>
      </c>
      <c r="C3924" s="1">
        <v>5.46</v>
      </c>
      <c r="D3924" s="1">
        <v>0.54</v>
      </c>
      <c r="E3924" s="1" t="s">
        <v>140</v>
      </c>
      <c r="F3924" s="1" t="s">
        <v>140</v>
      </c>
      <c r="G3924" s="1" t="s">
        <v>140</v>
      </c>
      <c r="H3924" s="1" t="str">
        <f>VLOOKUP(F3924,Countries!$A$1:$B$161,2,0)</f>
        <v>Colombia</v>
      </c>
    </row>
    <row r="3925" spans="1:8" x14ac:dyDescent="0.3">
      <c r="A3925" s="3">
        <v>46248.187557870369</v>
      </c>
      <c r="B3925" s="1">
        <v>36.96</v>
      </c>
      <c r="C3925" s="1">
        <v>32.04</v>
      </c>
      <c r="D3925" s="1">
        <v>1.93</v>
      </c>
      <c r="E3925" s="1" t="s">
        <v>113</v>
      </c>
      <c r="F3925" s="1" t="s">
        <v>113</v>
      </c>
      <c r="G3925" s="1" t="s">
        <v>113</v>
      </c>
      <c r="H3925" s="1" t="str">
        <f>VLOOKUP(F3925,Countries!$A$1:$B$161,2,0)</f>
        <v>United States of America</v>
      </c>
    </row>
    <row r="3926" spans="1:8" x14ac:dyDescent="0.3">
      <c r="A3926" s="3">
        <v>46248.187106481477</v>
      </c>
      <c r="B3926" s="1">
        <v>17.010000000000002</v>
      </c>
      <c r="C3926" s="1">
        <v>14.74</v>
      </c>
      <c r="D3926" s="1">
        <v>1.02</v>
      </c>
      <c r="E3926" s="1" t="s">
        <v>113</v>
      </c>
      <c r="F3926" s="1" t="s">
        <v>113</v>
      </c>
      <c r="G3926" s="1" t="s">
        <v>113</v>
      </c>
      <c r="H3926" s="1" t="str">
        <f>VLOOKUP(F3926,Countries!$A$1:$B$161,2,0)</f>
        <v>United States of America</v>
      </c>
    </row>
    <row r="3927" spans="1:8" x14ac:dyDescent="0.3">
      <c r="A3927" s="3">
        <v>46248.184236111112</v>
      </c>
      <c r="B3927" s="1">
        <v>17.36</v>
      </c>
      <c r="C3927" s="1">
        <v>15.05</v>
      </c>
      <c r="D3927" s="1">
        <v>0.78</v>
      </c>
      <c r="E3927" s="1" t="s">
        <v>123</v>
      </c>
      <c r="F3927" s="1" t="s">
        <v>123</v>
      </c>
      <c r="G3927" s="1" t="s">
        <v>123</v>
      </c>
      <c r="H3927" s="1" t="str">
        <f>VLOOKUP(F3927,Countries!$A$1:$B$161,2,0)</f>
        <v>France</v>
      </c>
    </row>
    <row r="3928" spans="1:8" x14ac:dyDescent="0.3">
      <c r="A3928" s="3">
        <v>46248.167129629634</v>
      </c>
      <c r="B3928" s="1">
        <v>17.36</v>
      </c>
      <c r="C3928" s="1">
        <v>15.05</v>
      </c>
      <c r="D3928" s="1">
        <v>0.78</v>
      </c>
      <c r="E3928" s="1" t="s">
        <v>123</v>
      </c>
      <c r="F3928" s="1" t="s">
        <v>123</v>
      </c>
      <c r="G3928" s="1" t="s">
        <v>123</v>
      </c>
      <c r="H3928" s="1" t="str">
        <f>VLOOKUP(F3928,Countries!$A$1:$B$161,2,0)</f>
        <v>France</v>
      </c>
    </row>
    <row r="3929" spans="1:8" x14ac:dyDescent="0.3">
      <c r="A3929" s="3">
        <v>46248.159467592603</v>
      </c>
      <c r="B3929" s="1">
        <v>7.04</v>
      </c>
      <c r="C3929" s="1">
        <v>6.1</v>
      </c>
      <c r="D3929" s="1">
        <v>0.56999999999999995</v>
      </c>
      <c r="E3929" s="1" t="s">
        <v>163</v>
      </c>
      <c r="F3929" s="1" t="s">
        <v>163</v>
      </c>
      <c r="G3929" s="1" t="s">
        <v>163</v>
      </c>
      <c r="H3929" s="1" t="str">
        <f>VLOOKUP(F3929,Countries!$A$1:$B$161,2,0)</f>
        <v>Saudi Arabia</v>
      </c>
    </row>
    <row r="3930" spans="1:8" x14ac:dyDescent="0.3">
      <c r="A3930" s="3">
        <v>46248.157962962963</v>
      </c>
      <c r="B3930" s="1">
        <v>6.37</v>
      </c>
      <c r="C3930" s="1">
        <v>5.52</v>
      </c>
      <c r="D3930" s="1">
        <v>0.54</v>
      </c>
      <c r="E3930" s="1" t="s">
        <v>113</v>
      </c>
      <c r="F3930" s="1" t="s">
        <v>113</v>
      </c>
      <c r="G3930" s="1" t="s">
        <v>113</v>
      </c>
      <c r="H3930" s="1" t="str">
        <f>VLOOKUP(F3930,Countries!$A$1:$B$161,2,0)</f>
        <v>United States of America</v>
      </c>
    </row>
    <row r="3931" spans="1:8" x14ac:dyDescent="0.3">
      <c r="A3931" s="3">
        <v>46248.157025462962</v>
      </c>
      <c r="B3931" s="1">
        <v>5.31</v>
      </c>
      <c r="C3931" s="1">
        <v>4.5999999999999996</v>
      </c>
      <c r="D3931" s="1">
        <v>0.49</v>
      </c>
      <c r="E3931" s="1" t="s">
        <v>113</v>
      </c>
      <c r="F3931" s="1" t="s">
        <v>113</v>
      </c>
      <c r="G3931" s="1" t="s">
        <v>113</v>
      </c>
      <c r="H3931" s="1" t="str">
        <f>VLOOKUP(F3931,Countries!$A$1:$B$161,2,0)</f>
        <v>United States of America</v>
      </c>
    </row>
    <row r="3932" spans="1:8" x14ac:dyDescent="0.3">
      <c r="A3932" s="3">
        <v>46248.156840277778</v>
      </c>
      <c r="B3932" s="1">
        <v>17.36</v>
      </c>
      <c r="C3932" s="1">
        <v>15.05</v>
      </c>
      <c r="D3932" s="1">
        <v>0.78</v>
      </c>
      <c r="E3932" s="1" t="s">
        <v>123</v>
      </c>
      <c r="F3932" s="1" t="s">
        <v>123</v>
      </c>
      <c r="G3932" s="1" t="s">
        <v>123</v>
      </c>
      <c r="H3932" s="1" t="str">
        <f>VLOOKUP(F3932,Countries!$A$1:$B$161,2,0)</f>
        <v>France</v>
      </c>
    </row>
    <row r="3933" spans="1:8" x14ac:dyDescent="0.3">
      <c r="A3933" s="3">
        <v>46248.156678240739</v>
      </c>
      <c r="B3933" s="1">
        <v>3.18</v>
      </c>
      <c r="C3933" s="1">
        <v>2.76</v>
      </c>
      <c r="D3933" s="1">
        <v>0.4</v>
      </c>
      <c r="E3933" s="1" t="s">
        <v>113</v>
      </c>
      <c r="F3933" s="1" t="s">
        <v>113</v>
      </c>
      <c r="G3933" s="1" t="s">
        <v>113</v>
      </c>
      <c r="H3933" s="1" t="str">
        <f>VLOOKUP(F3933,Countries!$A$1:$B$161,2,0)</f>
        <v>United States of America</v>
      </c>
    </row>
    <row r="3934" spans="1:8" x14ac:dyDescent="0.3">
      <c r="A3934" s="3">
        <v>46248.154768518521</v>
      </c>
      <c r="B3934" s="1">
        <v>6.65</v>
      </c>
      <c r="C3934" s="1">
        <v>5.77</v>
      </c>
      <c r="D3934" s="1">
        <v>0.56000000000000005</v>
      </c>
      <c r="E3934" s="1" t="s">
        <v>130</v>
      </c>
      <c r="F3934" s="1" t="s">
        <v>130</v>
      </c>
      <c r="G3934" s="1" t="s">
        <v>130</v>
      </c>
      <c r="H3934" s="1" t="str">
        <f>VLOOKUP(F3934,Countries!$A$1:$B$161,2,0)</f>
        <v>Australia</v>
      </c>
    </row>
    <row r="3935" spans="1:8" x14ac:dyDescent="0.3">
      <c r="A3935" s="3">
        <v>46248.141655092593</v>
      </c>
      <c r="B3935" s="1">
        <v>7.13</v>
      </c>
      <c r="C3935" s="1">
        <v>6.18</v>
      </c>
      <c r="D3935" s="1">
        <v>0.56999999999999995</v>
      </c>
      <c r="E3935" s="1" t="s">
        <v>181</v>
      </c>
      <c r="F3935" s="1" t="s">
        <v>181</v>
      </c>
      <c r="G3935" s="1" t="s">
        <v>181</v>
      </c>
      <c r="H3935" s="1" t="str">
        <f>VLOOKUP(F3935,Countries!$A$1:$B$161,2,0)</f>
        <v>Mexico</v>
      </c>
    </row>
    <row r="3936" spans="1:8" x14ac:dyDescent="0.3">
      <c r="A3936" s="3">
        <v>46248.13857638889</v>
      </c>
      <c r="B3936" s="1">
        <v>17.36</v>
      </c>
      <c r="C3936" s="1">
        <v>15.05</v>
      </c>
      <c r="D3936" s="1">
        <v>0.78</v>
      </c>
      <c r="E3936" s="1" t="s">
        <v>123</v>
      </c>
      <c r="F3936" s="1" t="s">
        <v>123</v>
      </c>
      <c r="G3936" s="1" t="s">
        <v>123</v>
      </c>
      <c r="H3936" s="1" t="str">
        <f>VLOOKUP(F3936,Countries!$A$1:$B$161,2,0)</f>
        <v>France</v>
      </c>
    </row>
    <row r="3937" spans="1:8" x14ac:dyDescent="0.3">
      <c r="A3937" s="3">
        <v>46248.136874999997</v>
      </c>
      <c r="B3937" s="1">
        <v>7.58</v>
      </c>
      <c r="C3937" s="1">
        <v>6.57</v>
      </c>
      <c r="D3937" s="1">
        <v>0.48</v>
      </c>
      <c r="E3937" s="1" t="s">
        <v>116</v>
      </c>
      <c r="F3937" s="1" t="s">
        <v>116</v>
      </c>
      <c r="G3937" s="1" t="s">
        <v>116</v>
      </c>
      <c r="H3937" s="1" t="str">
        <f>VLOOKUP(F3937,Countries!$A$1:$B$161,2,0)</f>
        <v>Spain</v>
      </c>
    </row>
    <row r="3938" spans="1:8" x14ac:dyDescent="0.3">
      <c r="A3938" s="3">
        <v>46248.135497685187</v>
      </c>
      <c r="B3938" s="1">
        <v>7.48</v>
      </c>
      <c r="C3938" s="1">
        <v>6.48</v>
      </c>
      <c r="D3938" s="1">
        <v>0.59</v>
      </c>
      <c r="E3938" s="1" t="s">
        <v>113</v>
      </c>
      <c r="F3938" s="1" t="s">
        <v>113</v>
      </c>
      <c r="G3938" s="1" t="s">
        <v>113</v>
      </c>
      <c r="H3938" s="1" t="str">
        <f>VLOOKUP(F3938,Countries!$A$1:$B$161,2,0)</f>
        <v>United States of America</v>
      </c>
    </row>
    <row r="3939" spans="1:8" x14ac:dyDescent="0.3">
      <c r="A3939" s="3">
        <v>46248.134583333333</v>
      </c>
      <c r="B3939" s="1">
        <v>2.48</v>
      </c>
      <c r="C3939" s="1">
        <v>2.15</v>
      </c>
      <c r="D3939" s="1">
        <v>0.34</v>
      </c>
      <c r="E3939" s="1" t="s">
        <v>176</v>
      </c>
      <c r="F3939" s="1" t="s">
        <v>119</v>
      </c>
      <c r="G3939" s="1" t="s">
        <v>119</v>
      </c>
      <c r="H3939" s="1" t="str">
        <f>VLOOKUP(F3939,Countries!$A$1:$B$161,2,0)</f>
        <v>Great Britain (United Kingdom)</v>
      </c>
    </row>
    <row r="3940" spans="1:8" x14ac:dyDescent="0.3">
      <c r="A3940" s="3">
        <v>46248.129502314812</v>
      </c>
      <c r="B3940" s="1">
        <v>17.36</v>
      </c>
      <c r="C3940" s="1">
        <v>15.05</v>
      </c>
      <c r="D3940" s="1">
        <v>0.78</v>
      </c>
      <c r="E3940" s="1" t="s">
        <v>123</v>
      </c>
      <c r="F3940" s="1" t="s">
        <v>123</v>
      </c>
      <c r="G3940" s="1" t="s">
        <v>123</v>
      </c>
      <c r="H3940" s="1" t="str">
        <f>VLOOKUP(F3940,Countries!$A$1:$B$161,2,0)</f>
        <v>France</v>
      </c>
    </row>
    <row r="3941" spans="1:8" x14ac:dyDescent="0.3">
      <c r="A3941" s="3">
        <v>46248.12672453704</v>
      </c>
      <c r="B3941" s="1">
        <v>17.739999999999998</v>
      </c>
      <c r="C3941" s="1">
        <v>15.38</v>
      </c>
      <c r="D3941" s="1">
        <v>1.06</v>
      </c>
      <c r="E3941" s="1" t="s">
        <v>113</v>
      </c>
      <c r="F3941" s="1" t="s">
        <v>113</v>
      </c>
      <c r="G3941" s="1" t="s">
        <v>113</v>
      </c>
      <c r="H3941" s="1" t="str">
        <f>VLOOKUP(F3941,Countries!$A$1:$B$161,2,0)</f>
        <v>United States of America</v>
      </c>
    </row>
    <row r="3942" spans="1:8" x14ac:dyDescent="0.3">
      <c r="A3942" s="3">
        <v>46248.125798611109</v>
      </c>
      <c r="B3942" s="1">
        <v>2.11</v>
      </c>
      <c r="C3942" s="1">
        <v>1.83</v>
      </c>
      <c r="D3942" s="1">
        <v>0.35</v>
      </c>
      <c r="E3942" s="1" t="s">
        <v>113</v>
      </c>
      <c r="F3942" s="1" t="s">
        <v>113</v>
      </c>
      <c r="G3942" s="1" t="s">
        <v>113</v>
      </c>
      <c r="H3942" s="1" t="str">
        <f>VLOOKUP(F3942,Countries!$A$1:$B$161,2,0)</f>
        <v>United States of America</v>
      </c>
    </row>
    <row r="3943" spans="1:8" x14ac:dyDescent="0.3">
      <c r="A3943" s="3">
        <v>46248.124942129631</v>
      </c>
      <c r="B3943" s="1">
        <v>17.36</v>
      </c>
      <c r="C3943" s="1">
        <v>15.05</v>
      </c>
      <c r="D3943" s="1">
        <v>0.78</v>
      </c>
      <c r="E3943" s="1" t="s">
        <v>123</v>
      </c>
      <c r="F3943" s="1" t="s">
        <v>123</v>
      </c>
      <c r="G3943" s="1" t="s">
        <v>123</v>
      </c>
      <c r="H3943" s="1" t="str">
        <f>VLOOKUP(F3943,Countries!$A$1:$B$161,2,0)</f>
        <v>France</v>
      </c>
    </row>
    <row r="3944" spans="1:8" x14ac:dyDescent="0.3">
      <c r="A3944" s="3">
        <v>46248.120694444442</v>
      </c>
      <c r="B3944" s="1">
        <v>52.12</v>
      </c>
      <c r="C3944" s="1">
        <v>45.19</v>
      </c>
      <c r="D3944" s="1">
        <v>1.83</v>
      </c>
      <c r="E3944" s="1" t="s">
        <v>113</v>
      </c>
      <c r="F3944" s="1" t="s">
        <v>113</v>
      </c>
      <c r="G3944" s="1" t="s">
        <v>113</v>
      </c>
      <c r="H3944" s="1" t="str">
        <f>VLOOKUP(F3944,Countries!$A$1:$B$161,2,0)</f>
        <v>United States of America</v>
      </c>
    </row>
    <row r="3945" spans="1:8" x14ac:dyDescent="0.3">
      <c r="A3945" s="3">
        <v>46248.116319444453</v>
      </c>
      <c r="B3945" s="1">
        <v>6.37</v>
      </c>
      <c r="C3945" s="1">
        <v>5.52</v>
      </c>
      <c r="D3945" s="1">
        <v>0.54</v>
      </c>
      <c r="E3945" s="1" t="s">
        <v>113</v>
      </c>
      <c r="F3945" s="1" t="s">
        <v>113</v>
      </c>
      <c r="G3945" s="1" t="s">
        <v>113</v>
      </c>
      <c r="H3945" s="1" t="str">
        <f>VLOOKUP(F3945,Countries!$A$1:$B$161,2,0)</f>
        <v>United States of America</v>
      </c>
    </row>
    <row r="3946" spans="1:8" x14ac:dyDescent="0.3">
      <c r="A3946" s="3">
        <v>46248.111064814817</v>
      </c>
      <c r="B3946" s="1">
        <v>15.43</v>
      </c>
      <c r="C3946" s="1">
        <v>13.38</v>
      </c>
      <c r="D3946" s="1">
        <v>0.95</v>
      </c>
      <c r="E3946" s="1" t="s">
        <v>130</v>
      </c>
      <c r="F3946" s="1" t="s">
        <v>130</v>
      </c>
      <c r="G3946" s="1" t="s">
        <v>130</v>
      </c>
      <c r="H3946" s="1" t="str">
        <f>VLOOKUP(F3946,Countries!$A$1:$B$161,2,0)</f>
        <v>Australia</v>
      </c>
    </row>
    <row r="3947" spans="1:8" x14ac:dyDescent="0.3">
      <c r="A3947" s="3">
        <v>46248.108437499999</v>
      </c>
      <c r="B3947" s="1">
        <v>14.77</v>
      </c>
      <c r="C3947" s="1">
        <v>12.81</v>
      </c>
      <c r="D3947" s="1">
        <v>0.93</v>
      </c>
      <c r="E3947" s="1" t="s">
        <v>113</v>
      </c>
      <c r="F3947" s="1" t="s">
        <v>113</v>
      </c>
      <c r="G3947" s="1" t="s">
        <v>113</v>
      </c>
      <c r="H3947" s="1" t="str">
        <f>VLOOKUP(F3947,Countries!$A$1:$B$161,2,0)</f>
        <v>United States of America</v>
      </c>
    </row>
    <row r="3948" spans="1:8" x14ac:dyDescent="0.3">
      <c r="A3948" s="3">
        <v>46248.105590277781</v>
      </c>
      <c r="B3948" s="1">
        <v>10.62</v>
      </c>
      <c r="C3948" s="1">
        <v>9.2100000000000009</v>
      </c>
      <c r="D3948" s="1">
        <v>0.73</v>
      </c>
      <c r="E3948" s="1" t="s">
        <v>113</v>
      </c>
      <c r="F3948" s="1" t="s">
        <v>113</v>
      </c>
      <c r="G3948" s="1" t="s">
        <v>113</v>
      </c>
      <c r="H3948" s="1" t="str">
        <f>VLOOKUP(F3948,Countries!$A$1:$B$161,2,0)</f>
        <v>United States of America</v>
      </c>
    </row>
    <row r="3949" spans="1:8" x14ac:dyDescent="0.3">
      <c r="A3949" s="3">
        <v>46248.099305555559</v>
      </c>
      <c r="B3949" s="1">
        <v>69.36</v>
      </c>
      <c r="C3949" s="1">
        <v>60.13</v>
      </c>
      <c r="D3949" s="1">
        <v>2.35</v>
      </c>
      <c r="E3949" s="1" t="s">
        <v>113</v>
      </c>
      <c r="F3949" s="1" t="s">
        <v>113</v>
      </c>
      <c r="G3949" s="1" t="s">
        <v>113</v>
      </c>
      <c r="H3949" s="1" t="str">
        <f>VLOOKUP(F3949,Countries!$A$1:$B$161,2,0)</f>
        <v>United States of America</v>
      </c>
    </row>
    <row r="3950" spans="1:8" x14ac:dyDescent="0.3">
      <c r="A3950" s="3">
        <v>46248.098182870373</v>
      </c>
      <c r="B3950" s="1">
        <v>6.37</v>
      </c>
      <c r="C3950" s="1">
        <v>5.52</v>
      </c>
      <c r="D3950" s="1">
        <v>0.54</v>
      </c>
      <c r="E3950" s="1" t="s">
        <v>113</v>
      </c>
      <c r="F3950" s="1" t="s">
        <v>113</v>
      </c>
      <c r="G3950" s="1" t="s">
        <v>113</v>
      </c>
      <c r="H3950" s="1" t="str">
        <f>VLOOKUP(F3950,Countries!$A$1:$B$161,2,0)</f>
        <v>United States of America</v>
      </c>
    </row>
    <row r="3951" spans="1:8" x14ac:dyDescent="0.3">
      <c r="A3951" s="3">
        <v>46248.096909722219</v>
      </c>
      <c r="B3951" s="1">
        <v>7.48</v>
      </c>
      <c r="C3951" s="1">
        <v>6.49</v>
      </c>
      <c r="D3951" s="1">
        <v>0.54</v>
      </c>
      <c r="E3951" s="1" t="s">
        <v>119</v>
      </c>
      <c r="F3951" s="1" t="s">
        <v>119</v>
      </c>
      <c r="G3951" s="1" t="s">
        <v>119</v>
      </c>
      <c r="H3951" s="1" t="str">
        <f>VLOOKUP(F3951,Countries!$A$1:$B$161,2,0)</f>
        <v>Great Britain (United Kingdom)</v>
      </c>
    </row>
    <row r="3952" spans="1:8" x14ac:dyDescent="0.3">
      <c r="A3952" s="3">
        <v>46248.096585648149</v>
      </c>
      <c r="B3952" s="1">
        <v>60.81</v>
      </c>
      <c r="C3952" s="1">
        <v>52.72</v>
      </c>
      <c r="D3952" s="1">
        <v>2.09</v>
      </c>
      <c r="E3952" s="1" t="s">
        <v>113</v>
      </c>
      <c r="F3952" s="1" t="s">
        <v>113</v>
      </c>
      <c r="G3952" s="1" t="s">
        <v>113</v>
      </c>
      <c r="H3952" s="1" t="str">
        <f>VLOOKUP(F3952,Countries!$A$1:$B$161,2,0)</f>
        <v>United States of America</v>
      </c>
    </row>
    <row r="3953" spans="1:8" x14ac:dyDescent="0.3">
      <c r="A3953" s="3">
        <v>46248.0940162037</v>
      </c>
      <c r="B3953" s="1">
        <v>3.99</v>
      </c>
      <c r="C3953" s="1">
        <v>3.46</v>
      </c>
      <c r="D3953" s="1">
        <v>0.43</v>
      </c>
      <c r="E3953" s="1" t="s">
        <v>113</v>
      </c>
      <c r="F3953" s="1" t="s">
        <v>113</v>
      </c>
      <c r="G3953" s="1" t="s">
        <v>113</v>
      </c>
      <c r="H3953" s="1" t="str">
        <f>VLOOKUP(F3953,Countries!$A$1:$B$161,2,0)</f>
        <v>United States of America</v>
      </c>
    </row>
    <row r="3954" spans="1:8" x14ac:dyDescent="0.3">
      <c r="A3954" s="3">
        <v>46248.090439814812</v>
      </c>
      <c r="B3954" s="1">
        <v>6.37</v>
      </c>
      <c r="C3954" s="1">
        <v>5.52</v>
      </c>
      <c r="D3954" s="1">
        <v>0.54</v>
      </c>
      <c r="E3954" s="1" t="s">
        <v>113</v>
      </c>
      <c r="F3954" s="1" t="s">
        <v>113</v>
      </c>
      <c r="G3954" s="1" t="s">
        <v>113</v>
      </c>
      <c r="H3954" s="1" t="str">
        <f>VLOOKUP(F3954,Countries!$A$1:$B$161,2,0)</f>
        <v>United States of America</v>
      </c>
    </row>
    <row r="3955" spans="1:8" x14ac:dyDescent="0.3">
      <c r="A3955" s="3">
        <v>46248.087696759263</v>
      </c>
      <c r="B3955" s="1">
        <v>10</v>
      </c>
      <c r="C3955" s="1">
        <v>8.67</v>
      </c>
      <c r="D3955" s="1">
        <v>0.7</v>
      </c>
      <c r="E3955" s="1" t="s">
        <v>214</v>
      </c>
      <c r="F3955" s="1" t="s">
        <v>214</v>
      </c>
      <c r="G3955" s="1" t="s">
        <v>214</v>
      </c>
      <c r="H3955" s="1" t="str">
        <f>VLOOKUP(F3955,Countries!$A$1:$B$161,2,0)</f>
        <v>Peru</v>
      </c>
    </row>
    <row r="3956" spans="1:8" x14ac:dyDescent="0.3">
      <c r="A3956" s="3">
        <v>46248.084594907406</v>
      </c>
      <c r="B3956" s="1">
        <v>2.5099999999999998</v>
      </c>
      <c r="C3956" s="1">
        <v>2.1800000000000002</v>
      </c>
      <c r="D3956" s="1">
        <v>0.32</v>
      </c>
      <c r="E3956" s="1" t="s">
        <v>151</v>
      </c>
      <c r="F3956" s="1" t="s">
        <v>151</v>
      </c>
      <c r="G3956" s="1" t="s">
        <v>151</v>
      </c>
      <c r="H3956" s="1" t="str">
        <f>VLOOKUP(F3956,Countries!$A$1:$B$161,2,0)</f>
        <v>Netherlands (Holland)</v>
      </c>
    </row>
    <row r="3957" spans="1:8" x14ac:dyDescent="0.3">
      <c r="A3957" s="3">
        <v>46248.082106481481</v>
      </c>
      <c r="B3957" s="1">
        <v>6.37</v>
      </c>
      <c r="C3957" s="1">
        <v>5.52</v>
      </c>
      <c r="D3957" s="1">
        <v>0.54</v>
      </c>
      <c r="E3957" s="1" t="s">
        <v>183</v>
      </c>
      <c r="F3957" s="1" t="s">
        <v>183</v>
      </c>
      <c r="G3957" s="1" t="s">
        <v>183</v>
      </c>
      <c r="H3957" s="1" t="str">
        <f>VLOOKUP(F3957,Countries!$A$1:$B$161,2,0)</f>
        <v>Malaysia</v>
      </c>
    </row>
    <row r="3958" spans="1:8" x14ac:dyDescent="0.3">
      <c r="A3958" s="3">
        <v>46248.077916666669</v>
      </c>
      <c r="B3958" s="1">
        <v>7.04</v>
      </c>
      <c r="C3958" s="1">
        <v>6.1</v>
      </c>
      <c r="D3958" s="1">
        <v>0.56999999999999995</v>
      </c>
      <c r="E3958" s="1" t="s">
        <v>163</v>
      </c>
      <c r="F3958" s="1" t="s">
        <v>163</v>
      </c>
      <c r="G3958" s="1" t="s">
        <v>163</v>
      </c>
      <c r="H3958" s="1" t="str">
        <f>VLOOKUP(F3958,Countries!$A$1:$B$161,2,0)</f>
        <v>Saudi Arabia</v>
      </c>
    </row>
    <row r="3959" spans="1:8" x14ac:dyDescent="0.3">
      <c r="A3959" s="3">
        <v>46248.07440972222</v>
      </c>
      <c r="B3959" s="1">
        <v>9.4</v>
      </c>
      <c r="C3959" s="1">
        <v>8.15</v>
      </c>
      <c r="D3959" s="1">
        <v>0.67</v>
      </c>
      <c r="E3959" s="1" t="s">
        <v>128</v>
      </c>
      <c r="F3959" s="1" t="s">
        <v>128</v>
      </c>
      <c r="G3959" s="1" t="s">
        <v>128</v>
      </c>
      <c r="H3959" s="1" t="str">
        <f>VLOOKUP(F3959,Countries!$A$1:$B$161,2,0)</f>
        <v>South Africa</v>
      </c>
    </row>
    <row r="3960" spans="1:8" x14ac:dyDescent="0.3">
      <c r="A3960" s="3">
        <v>46248.07298611111</v>
      </c>
      <c r="B3960" s="1">
        <v>17.010000000000002</v>
      </c>
      <c r="C3960" s="1">
        <v>14.74</v>
      </c>
      <c r="D3960" s="1">
        <v>1.02</v>
      </c>
      <c r="E3960" s="1" t="s">
        <v>113</v>
      </c>
      <c r="F3960" s="1" t="s">
        <v>113</v>
      </c>
      <c r="G3960" s="1" t="s">
        <v>113</v>
      </c>
      <c r="H3960" s="1" t="str">
        <f>VLOOKUP(F3960,Countries!$A$1:$B$161,2,0)</f>
        <v>United States of America</v>
      </c>
    </row>
    <row r="3961" spans="1:8" x14ac:dyDescent="0.3">
      <c r="A3961" s="3">
        <v>46248.05574074074</v>
      </c>
      <c r="B3961" s="1">
        <v>3.14</v>
      </c>
      <c r="C3961" s="1">
        <v>2.72</v>
      </c>
      <c r="D3961" s="1">
        <v>0.39</v>
      </c>
      <c r="E3961" s="1" t="s">
        <v>132</v>
      </c>
      <c r="F3961" s="1" t="s">
        <v>132</v>
      </c>
      <c r="G3961" s="1" t="s">
        <v>132</v>
      </c>
      <c r="H3961" s="1" t="str">
        <f>VLOOKUP(F3961,Countries!$A$1:$B$161,2,0)</f>
        <v>Canada</v>
      </c>
    </row>
    <row r="3962" spans="1:8" x14ac:dyDescent="0.3">
      <c r="A3962" s="3">
        <v>46248.052893518521</v>
      </c>
      <c r="B3962" s="1">
        <v>6.37</v>
      </c>
      <c r="C3962" s="1">
        <v>5.52</v>
      </c>
      <c r="D3962" s="1">
        <v>0.54</v>
      </c>
      <c r="E3962" s="1" t="s">
        <v>113</v>
      </c>
      <c r="F3962" s="1" t="s">
        <v>113</v>
      </c>
      <c r="G3962" s="1" t="s">
        <v>113</v>
      </c>
      <c r="H3962" s="1" t="str">
        <f>VLOOKUP(F3962,Countries!$A$1:$B$161,2,0)</f>
        <v>United States of America</v>
      </c>
    </row>
    <row r="3963" spans="1:8" x14ac:dyDescent="0.3">
      <c r="A3963" s="3">
        <v>46248.041493055563</v>
      </c>
      <c r="B3963" s="1">
        <v>18.809999999999999</v>
      </c>
      <c r="C3963" s="1">
        <v>16.309999999999999</v>
      </c>
      <c r="D3963" s="1">
        <v>1.1100000000000001</v>
      </c>
      <c r="E3963" s="1" t="s">
        <v>160</v>
      </c>
      <c r="F3963" s="1" t="s">
        <v>160</v>
      </c>
      <c r="G3963" s="1" t="s">
        <v>160</v>
      </c>
      <c r="H3963" s="1" t="str">
        <f>VLOOKUP(F3963,Countries!$A$1:$B$161,2,0)</f>
        <v>New Zealand</v>
      </c>
    </row>
    <row r="3964" spans="1:8" x14ac:dyDescent="0.3">
      <c r="A3964" s="3">
        <v>46248.021215277768</v>
      </c>
      <c r="B3964" s="1">
        <v>1.99</v>
      </c>
      <c r="C3964" s="1">
        <v>1.73</v>
      </c>
      <c r="D3964" s="1">
        <v>0.34</v>
      </c>
      <c r="E3964" s="1" t="s">
        <v>142</v>
      </c>
      <c r="F3964" s="1" t="s">
        <v>142</v>
      </c>
      <c r="G3964" s="1" t="s">
        <v>142</v>
      </c>
      <c r="H3964" s="1" t="str">
        <f>VLOOKUP(F3964,Countries!$A$1:$B$161,2,0)</f>
        <v>India</v>
      </c>
    </row>
    <row r="3965" spans="1:8" x14ac:dyDescent="0.3">
      <c r="A3965" s="3">
        <v>46248.019780092603</v>
      </c>
      <c r="B3965" s="1">
        <v>6.37</v>
      </c>
      <c r="C3965" s="1">
        <v>5.52</v>
      </c>
      <c r="D3965" s="1">
        <v>0.54</v>
      </c>
      <c r="E3965" s="1" t="s">
        <v>113</v>
      </c>
      <c r="F3965" s="1" t="s">
        <v>113</v>
      </c>
      <c r="G3965" s="1" t="s">
        <v>113</v>
      </c>
      <c r="H3965" s="1" t="str">
        <f>VLOOKUP(F3965,Countries!$A$1:$B$161,2,0)</f>
        <v>United States of America</v>
      </c>
    </row>
    <row r="3966" spans="1:8" x14ac:dyDescent="0.3">
      <c r="A3966" s="3">
        <v>46248.015115740738</v>
      </c>
      <c r="B3966" s="1">
        <v>3.14</v>
      </c>
      <c r="C3966" s="1">
        <v>2.72</v>
      </c>
      <c r="D3966" s="1">
        <v>0.39</v>
      </c>
      <c r="E3966" s="1" t="s">
        <v>132</v>
      </c>
      <c r="F3966" s="1" t="s">
        <v>132</v>
      </c>
      <c r="G3966" s="1" t="s">
        <v>132</v>
      </c>
      <c r="H3966" s="1" t="str">
        <f>VLOOKUP(F3966,Countries!$A$1:$B$161,2,0)</f>
        <v>Canada</v>
      </c>
    </row>
    <row r="3967" spans="1:8" x14ac:dyDescent="0.3">
      <c r="A3967" s="3">
        <v>46248.004513888889</v>
      </c>
      <c r="B3967" s="1">
        <v>7.39</v>
      </c>
      <c r="C3967" s="1">
        <v>6.41</v>
      </c>
      <c r="D3967" s="1">
        <v>0.48</v>
      </c>
      <c r="E3967" s="1" t="s">
        <v>147</v>
      </c>
      <c r="F3967" s="1" t="s">
        <v>147</v>
      </c>
      <c r="G3967" s="1" t="s">
        <v>147</v>
      </c>
      <c r="H3967" s="1" t="str">
        <f>VLOOKUP(F3967,Countries!$A$1:$B$161,2,0)</f>
        <v>Germany</v>
      </c>
    </row>
    <row r="3968" spans="1:8" x14ac:dyDescent="0.3">
      <c r="A3968" s="3">
        <v>46247.983530092592</v>
      </c>
      <c r="B3968" s="1">
        <v>7.48</v>
      </c>
      <c r="C3968" s="1">
        <v>6.49</v>
      </c>
      <c r="D3968" s="1">
        <v>0.54</v>
      </c>
      <c r="E3968" s="1" t="s">
        <v>119</v>
      </c>
      <c r="F3968" s="1" t="s">
        <v>119</v>
      </c>
      <c r="G3968" s="1" t="s">
        <v>119</v>
      </c>
      <c r="H3968" s="1" t="str">
        <f>VLOOKUP(F3968,Countries!$A$1:$B$161,2,0)</f>
        <v>Great Britain (United Kingdom)</v>
      </c>
    </row>
    <row r="3969" spans="1:8" x14ac:dyDescent="0.3">
      <c r="A3969" s="3">
        <v>46247.981469907398</v>
      </c>
      <c r="B3969" s="1">
        <v>6.65</v>
      </c>
      <c r="C3969" s="1">
        <v>5.77</v>
      </c>
      <c r="D3969" s="1">
        <v>0.56000000000000005</v>
      </c>
      <c r="E3969" s="1" t="s">
        <v>130</v>
      </c>
      <c r="F3969" s="1" t="s">
        <v>130</v>
      </c>
      <c r="G3969" s="1" t="s">
        <v>130</v>
      </c>
      <c r="H3969" s="1" t="str">
        <f>VLOOKUP(F3969,Countries!$A$1:$B$161,2,0)</f>
        <v>Australia</v>
      </c>
    </row>
    <row r="3970" spans="1:8" x14ac:dyDescent="0.3">
      <c r="A3970" s="3">
        <v>46247.978171296287</v>
      </c>
      <c r="B3970" s="1">
        <v>3.99</v>
      </c>
      <c r="C3970" s="1">
        <v>3.46</v>
      </c>
      <c r="D3970" s="1">
        <v>0.43</v>
      </c>
      <c r="E3970" s="1" t="s">
        <v>113</v>
      </c>
      <c r="F3970" s="1" t="s">
        <v>113</v>
      </c>
      <c r="G3970" s="1" t="s">
        <v>113</v>
      </c>
      <c r="H3970" s="1" t="str">
        <f>VLOOKUP(F3970,Countries!$A$1:$B$161,2,0)</f>
        <v>United States of America</v>
      </c>
    </row>
    <row r="3971" spans="1:8" x14ac:dyDescent="0.3">
      <c r="A3971" s="3">
        <v>46247.975856481477</v>
      </c>
      <c r="B3971" s="1">
        <v>69.36</v>
      </c>
      <c r="C3971" s="1">
        <v>60.15</v>
      </c>
      <c r="D3971" s="1">
        <v>2.35</v>
      </c>
      <c r="E3971" s="1" t="s">
        <v>113</v>
      </c>
      <c r="F3971" s="1" t="s">
        <v>113</v>
      </c>
      <c r="G3971" s="1" t="s">
        <v>113</v>
      </c>
      <c r="H3971" s="1" t="str">
        <f>VLOOKUP(F3971,Countries!$A$1:$B$161,2,0)</f>
        <v>United States of America</v>
      </c>
    </row>
    <row r="3972" spans="1:8" x14ac:dyDescent="0.3">
      <c r="A3972" s="3">
        <v>46247.974398148152</v>
      </c>
      <c r="B3972" s="1">
        <v>69.5</v>
      </c>
      <c r="C3972" s="1">
        <v>60.27</v>
      </c>
      <c r="D3972" s="1">
        <v>2.36</v>
      </c>
      <c r="E3972" s="1" t="s">
        <v>113</v>
      </c>
      <c r="F3972" s="1" t="s">
        <v>113</v>
      </c>
      <c r="G3972" s="1" t="s">
        <v>113</v>
      </c>
      <c r="H3972" s="1" t="str">
        <f>VLOOKUP(F3972,Countries!$A$1:$B$161,2,0)</f>
        <v>United States of America</v>
      </c>
    </row>
    <row r="3973" spans="1:8" x14ac:dyDescent="0.3">
      <c r="A3973" s="3">
        <v>46247.971550925933</v>
      </c>
      <c r="B3973" s="1">
        <v>43.43</v>
      </c>
      <c r="C3973" s="1">
        <v>37.659999999999997</v>
      </c>
      <c r="D3973" s="1">
        <v>1.56</v>
      </c>
      <c r="E3973" s="1" t="s">
        <v>113</v>
      </c>
      <c r="F3973" s="1" t="s">
        <v>113</v>
      </c>
      <c r="G3973" s="1" t="s">
        <v>113</v>
      </c>
      <c r="H3973" s="1" t="str">
        <f>VLOOKUP(F3973,Countries!$A$1:$B$161,2,0)</f>
        <v>United States of America</v>
      </c>
    </row>
    <row r="3974" spans="1:8" x14ac:dyDescent="0.3">
      <c r="A3974" s="3">
        <v>46247.969849537039</v>
      </c>
      <c r="B3974" s="1">
        <v>20.239999999999998</v>
      </c>
      <c r="C3974" s="1">
        <v>17.55</v>
      </c>
      <c r="D3974" s="1">
        <v>0.86</v>
      </c>
      <c r="E3974" s="1" t="s">
        <v>120</v>
      </c>
      <c r="F3974" s="1" t="s">
        <v>120</v>
      </c>
      <c r="G3974" s="1" t="s">
        <v>120</v>
      </c>
      <c r="H3974" s="1" t="str">
        <f>VLOOKUP(F3974,Countries!$A$1:$B$161,2,0)</f>
        <v>Czech Republic</v>
      </c>
    </row>
    <row r="3975" spans="1:8" x14ac:dyDescent="0.3">
      <c r="A3975" s="3">
        <v>46247.965717592589</v>
      </c>
      <c r="B3975" s="1">
        <v>6.37</v>
      </c>
      <c r="C3975" s="1">
        <v>5.52</v>
      </c>
      <c r="D3975" s="1">
        <v>0.54</v>
      </c>
      <c r="E3975" s="1" t="s">
        <v>113</v>
      </c>
      <c r="F3975" s="1" t="s">
        <v>113</v>
      </c>
      <c r="G3975" s="1" t="s">
        <v>113</v>
      </c>
      <c r="H3975" s="1" t="str">
        <f>VLOOKUP(F3975,Countries!$A$1:$B$161,2,0)</f>
        <v>United States of America</v>
      </c>
    </row>
    <row r="3976" spans="1:8" x14ac:dyDescent="0.3">
      <c r="A3976" s="3">
        <v>46247.960173611107</v>
      </c>
      <c r="B3976" s="1">
        <v>43.43</v>
      </c>
      <c r="C3976" s="1">
        <v>37.67</v>
      </c>
      <c r="D3976" s="1">
        <v>1.57</v>
      </c>
      <c r="E3976" s="1" t="s">
        <v>113</v>
      </c>
      <c r="F3976" s="1" t="s">
        <v>113</v>
      </c>
      <c r="G3976" s="1" t="s">
        <v>113</v>
      </c>
      <c r="H3976" s="1" t="str">
        <f>VLOOKUP(F3976,Countries!$A$1:$B$161,2,0)</f>
        <v>United States of America</v>
      </c>
    </row>
    <row r="3977" spans="1:8" x14ac:dyDescent="0.3">
      <c r="A3977" s="3">
        <v>46247.959733796299</v>
      </c>
      <c r="B3977" s="1">
        <v>43.43</v>
      </c>
      <c r="C3977" s="1">
        <v>37.67</v>
      </c>
      <c r="D3977" s="1">
        <v>1.57</v>
      </c>
      <c r="E3977" s="1" t="s">
        <v>113</v>
      </c>
      <c r="F3977" s="1" t="s">
        <v>113</v>
      </c>
      <c r="G3977" s="1" t="s">
        <v>113</v>
      </c>
      <c r="H3977" s="1" t="str">
        <f>VLOOKUP(F3977,Countries!$A$1:$B$161,2,0)</f>
        <v>United States of America</v>
      </c>
    </row>
    <row r="3978" spans="1:8" x14ac:dyDescent="0.3">
      <c r="A3978" s="3">
        <v>46247.959328703713</v>
      </c>
      <c r="B3978" s="1">
        <v>17.36</v>
      </c>
      <c r="C3978" s="1">
        <v>15.06</v>
      </c>
      <c r="D3978" s="1">
        <v>0.78</v>
      </c>
      <c r="E3978" s="1" t="s">
        <v>113</v>
      </c>
      <c r="F3978" s="1" t="s">
        <v>113</v>
      </c>
      <c r="G3978" s="1" t="s">
        <v>113</v>
      </c>
      <c r="H3978" s="1" t="str">
        <f>VLOOKUP(F3978,Countries!$A$1:$B$161,2,0)</f>
        <v>United States of America</v>
      </c>
    </row>
    <row r="3979" spans="1:8" x14ac:dyDescent="0.3">
      <c r="A3979" s="3">
        <v>46247.956886574073</v>
      </c>
      <c r="B3979" s="1">
        <v>26.06</v>
      </c>
      <c r="C3979" s="1">
        <v>22.6</v>
      </c>
      <c r="D3979" s="1">
        <v>1.04</v>
      </c>
      <c r="E3979" s="1" t="s">
        <v>113</v>
      </c>
      <c r="F3979" s="1" t="s">
        <v>113</v>
      </c>
      <c r="G3979" s="1" t="s">
        <v>113</v>
      </c>
      <c r="H3979" s="1" t="str">
        <f>VLOOKUP(F3979,Countries!$A$1:$B$161,2,0)</f>
        <v>United States of America</v>
      </c>
    </row>
    <row r="3980" spans="1:8" x14ac:dyDescent="0.3">
      <c r="A3980" s="3">
        <v>46247.951354166667</v>
      </c>
      <c r="B3980" s="1">
        <v>17.36</v>
      </c>
      <c r="C3980" s="1">
        <v>15.06</v>
      </c>
      <c r="D3980" s="1">
        <v>0.78</v>
      </c>
      <c r="E3980" s="1" t="s">
        <v>113</v>
      </c>
      <c r="F3980" s="1" t="s">
        <v>113</v>
      </c>
      <c r="G3980" s="1" t="s">
        <v>113</v>
      </c>
      <c r="H3980" s="1" t="str">
        <f>VLOOKUP(F3980,Countries!$A$1:$B$161,2,0)</f>
        <v>United States of America</v>
      </c>
    </row>
    <row r="3981" spans="1:8" x14ac:dyDescent="0.3">
      <c r="A3981" s="3">
        <v>46247.949942129628</v>
      </c>
      <c r="B3981" s="1">
        <v>10.62</v>
      </c>
      <c r="C3981" s="1">
        <v>9.2100000000000009</v>
      </c>
      <c r="D3981" s="1">
        <v>0.73</v>
      </c>
      <c r="E3981" s="1" t="s">
        <v>113</v>
      </c>
      <c r="F3981" s="1" t="s">
        <v>113</v>
      </c>
      <c r="G3981" s="1" t="s">
        <v>113</v>
      </c>
      <c r="H3981" s="1" t="str">
        <f>VLOOKUP(F3981,Countries!$A$1:$B$161,2,0)</f>
        <v>United States of America</v>
      </c>
    </row>
    <row r="3982" spans="1:8" x14ac:dyDescent="0.3">
      <c r="A3982" s="3">
        <v>46247.946585648147</v>
      </c>
      <c r="B3982" s="1">
        <v>17.36</v>
      </c>
      <c r="C3982" s="1">
        <v>15.06</v>
      </c>
      <c r="D3982" s="1">
        <v>0.78</v>
      </c>
      <c r="E3982" s="1" t="s">
        <v>113</v>
      </c>
      <c r="F3982" s="1" t="s">
        <v>113</v>
      </c>
      <c r="G3982" s="1" t="s">
        <v>113</v>
      </c>
      <c r="H3982" s="1" t="str">
        <f>VLOOKUP(F3982,Countries!$A$1:$B$161,2,0)</f>
        <v>United States of America</v>
      </c>
    </row>
    <row r="3983" spans="1:8" x14ac:dyDescent="0.3">
      <c r="A3983" s="3">
        <v>46247.943645833337</v>
      </c>
      <c r="B3983" s="1">
        <v>12.48</v>
      </c>
      <c r="C3983" s="1">
        <v>10.82</v>
      </c>
      <c r="D3983" s="1">
        <v>0.63</v>
      </c>
      <c r="E3983" s="1" t="s">
        <v>113</v>
      </c>
      <c r="F3983" s="1" t="s">
        <v>113</v>
      </c>
      <c r="G3983" s="1" t="s">
        <v>113</v>
      </c>
      <c r="H3983" s="1" t="str">
        <f>VLOOKUP(F3983,Countries!$A$1:$B$161,2,0)</f>
        <v>United States of America</v>
      </c>
    </row>
    <row r="3984" spans="1:8" x14ac:dyDescent="0.3">
      <c r="A3984" s="3">
        <v>46247.927511574067</v>
      </c>
      <c r="B3984" s="1">
        <v>6.37</v>
      </c>
      <c r="C3984" s="1">
        <v>5.53</v>
      </c>
      <c r="D3984" s="1">
        <v>0.54</v>
      </c>
      <c r="E3984" s="1" t="s">
        <v>113</v>
      </c>
      <c r="F3984" s="1" t="s">
        <v>113</v>
      </c>
      <c r="G3984" s="1" t="s">
        <v>113</v>
      </c>
      <c r="H3984" s="1" t="str">
        <f>VLOOKUP(F3984,Countries!$A$1:$B$161,2,0)</f>
        <v>United States of America</v>
      </c>
    </row>
    <row r="3985" spans="1:8" x14ac:dyDescent="0.3">
      <c r="A3985" s="3">
        <v>46247.925497685188</v>
      </c>
      <c r="B3985" s="1">
        <v>6.65</v>
      </c>
      <c r="C3985" s="1">
        <v>5.77</v>
      </c>
      <c r="D3985" s="1">
        <v>0.56000000000000005</v>
      </c>
      <c r="E3985" s="1" t="s">
        <v>121</v>
      </c>
      <c r="F3985" s="1" t="s">
        <v>121</v>
      </c>
      <c r="G3985" s="1" t="s">
        <v>121</v>
      </c>
      <c r="H3985" s="1" t="str">
        <f>VLOOKUP(F3985,Countries!$A$1:$B$161,2,0)</f>
        <v>Japan</v>
      </c>
    </row>
    <row r="3986" spans="1:8" x14ac:dyDescent="0.3">
      <c r="A3986" s="3">
        <v>46247.923946759263</v>
      </c>
      <c r="B3986" s="1">
        <v>2.99</v>
      </c>
      <c r="C3986" s="1">
        <v>2.59</v>
      </c>
      <c r="D3986" s="1">
        <v>0.38</v>
      </c>
      <c r="E3986" s="1" t="s">
        <v>113</v>
      </c>
      <c r="F3986" s="1" t="s">
        <v>113</v>
      </c>
      <c r="G3986" s="1" t="s">
        <v>113</v>
      </c>
      <c r="H3986" s="1" t="str">
        <f>VLOOKUP(F3986,Countries!$A$1:$B$161,2,0)</f>
        <v>United States of America</v>
      </c>
    </row>
    <row r="3987" spans="1:8" x14ac:dyDescent="0.3">
      <c r="A3987" s="3">
        <v>46247.923935185187</v>
      </c>
      <c r="B3987" s="1">
        <v>10.62</v>
      </c>
      <c r="C3987" s="1">
        <v>9.2100000000000009</v>
      </c>
      <c r="D3987" s="1">
        <v>0.73</v>
      </c>
      <c r="E3987" s="1" t="s">
        <v>113</v>
      </c>
      <c r="F3987" s="1" t="s">
        <v>113</v>
      </c>
      <c r="G3987" s="1" t="s">
        <v>113</v>
      </c>
      <c r="H3987" s="1" t="str">
        <f>VLOOKUP(F3987,Countries!$A$1:$B$161,2,0)</f>
        <v>United States of America</v>
      </c>
    </row>
    <row r="3988" spans="1:8" x14ac:dyDescent="0.3">
      <c r="A3988" s="3">
        <v>46247.922754629632</v>
      </c>
      <c r="B3988" s="1">
        <v>10.62</v>
      </c>
      <c r="C3988" s="1">
        <v>9.2100000000000009</v>
      </c>
      <c r="D3988" s="1">
        <v>0.73</v>
      </c>
      <c r="E3988" s="1" t="s">
        <v>113</v>
      </c>
      <c r="F3988" s="1" t="s">
        <v>113</v>
      </c>
      <c r="G3988" s="1" t="s">
        <v>113</v>
      </c>
      <c r="H3988" s="1" t="str">
        <f>VLOOKUP(F3988,Countries!$A$1:$B$161,2,0)</f>
        <v>United States of America</v>
      </c>
    </row>
    <row r="3989" spans="1:8" x14ac:dyDescent="0.3">
      <c r="A3989" s="3">
        <v>46247.92260416667</v>
      </c>
      <c r="B3989" s="1">
        <v>10.62</v>
      </c>
      <c r="C3989" s="1">
        <v>9.2100000000000009</v>
      </c>
      <c r="D3989" s="1">
        <v>0.73</v>
      </c>
      <c r="E3989" s="1" t="s">
        <v>113</v>
      </c>
      <c r="F3989" s="1" t="s">
        <v>113</v>
      </c>
      <c r="G3989" s="1" t="s">
        <v>113</v>
      </c>
      <c r="H3989" s="1" t="str">
        <f>VLOOKUP(F3989,Countries!$A$1:$B$161,2,0)</f>
        <v>United States of America</v>
      </c>
    </row>
    <row r="3990" spans="1:8" x14ac:dyDescent="0.3">
      <c r="A3990" s="3">
        <v>46247.91983796296</v>
      </c>
      <c r="B3990" s="1">
        <v>17.010000000000002</v>
      </c>
      <c r="C3990" s="1">
        <v>14.75</v>
      </c>
      <c r="D3990" s="1">
        <v>1.03</v>
      </c>
      <c r="E3990" s="1" t="s">
        <v>113</v>
      </c>
      <c r="F3990" s="1" t="s">
        <v>113</v>
      </c>
      <c r="G3990" s="1" t="s">
        <v>113</v>
      </c>
      <c r="H3990" s="1" t="str">
        <f>VLOOKUP(F3990,Countries!$A$1:$B$161,2,0)</f>
        <v>United States of America</v>
      </c>
    </row>
    <row r="3991" spans="1:8" x14ac:dyDescent="0.3">
      <c r="A3991" s="3">
        <v>46247.915150462963</v>
      </c>
      <c r="B3991" s="1">
        <v>10.62</v>
      </c>
      <c r="C3991" s="1">
        <v>9.2100000000000009</v>
      </c>
      <c r="D3991" s="1">
        <v>0.73</v>
      </c>
      <c r="E3991" s="1" t="s">
        <v>113</v>
      </c>
      <c r="F3991" s="1" t="s">
        <v>113</v>
      </c>
      <c r="G3991" s="1" t="s">
        <v>113</v>
      </c>
      <c r="H3991" s="1" t="str">
        <f>VLOOKUP(F3991,Countries!$A$1:$B$161,2,0)</f>
        <v>United States of America</v>
      </c>
    </row>
    <row r="3992" spans="1:8" x14ac:dyDescent="0.3">
      <c r="A3992" s="3">
        <v>46247.91510416667</v>
      </c>
      <c r="B3992" s="1">
        <v>7.48</v>
      </c>
      <c r="C3992" s="1">
        <v>6.49</v>
      </c>
      <c r="D3992" s="1">
        <v>0.48</v>
      </c>
      <c r="E3992" s="1" t="s">
        <v>123</v>
      </c>
      <c r="F3992" s="1" t="s">
        <v>123</v>
      </c>
      <c r="G3992" s="1" t="s">
        <v>123</v>
      </c>
      <c r="H3992" s="1" t="str">
        <f>VLOOKUP(F3992,Countries!$A$1:$B$161,2,0)</f>
        <v>France</v>
      </c>
    </row>
    <row r="3993" spans="1:8" x14ac:dyDescent="0.3">
      <c r="A3993" s="3">
        <v>46247.910138888888</v>
      </c>
      <c r="B3993" s="1">
        <v>6.37</v>
      </c>
      <c r="C3993" s="1">
        <v>5.53</v>
      </c>
      <c r="D3993" s="1">
        <v>0.54</v>
      </c>
      <c r="E3993" s="1" t="s">
        <v>113</v>
      </c>
      <c r="F3993" s="1" t="s">
        <v>113</v>
      </c>
      <c r="G3993" s="1" t="s">
        <v>113</v>
      </c>
      <c r="H3993" s="1" t="str">
        <f>VLOOKUP(F3993,Countries!$A$1:$B$161,2,0)</f>
        <v>United States of America</v>
      </c>
    </row>
    <row r="3994" spans="1:8" x14ac:dyDescent="0.3">
      <c r="A3994" s="3">
        <v>46247.905497685177</v>
      </c>
      <c r="B3994" s="1">
        <v>14.62</v>
      </c>
      <c r="C3994" s="1">
        <v>12.68</v>
      </c>
      <c r="D3994" s="1">
        <v>0.91</v>
      </c>
      <c r="E3994" s="1" t="s">
        <v>132</v>
      </c>
      <c r="F3994" s="1" t="s">
        <v>132</v>
      </c>
      <c r="G3994" s="1" t="s">
        <v>132</v>
      </c>
      <c r="H3994" s="1" t="str">
        <f>VLOOKUP(F3994,Countries!$A$1:$B$161,2,0)</f>
        <v>Canada</v>
      </c>
    </row>
    <row r="3995" spans="1:8" x14ac:dyDescent="0.3">
      <c r="A3995" s="3">
        <v>46247.901631944442</v>
      </c>
      <c r="B3995" s="1">
        <v>7.98</v>
      </c>
      <c r="C3995" s="1">
        <v>6.92</v>
      </c>
      <c r="D3995" s="1">
        <v>0.61</v>
      </c>
      <c r="E3995" s="1" t="s">
        <v>113</v>
      </c>
      <c r="F3995" s="1" t="s">
        <v>113</v>
      </c>
      <c r="G3995" s="1" t="s">
        <v>113</v>
      </c>
      <c r="H3995" s="1" t="str">
        <f>VLOOKUP(F3995,Countries!$A$1:$B$161,2,0)</f>
        <v>United States of America</v>
      </c>
    </row>
    <row r="3996" spans="1:8" x14ac:dyDescent="0.3">
      <c r="A3996" s="3">
        <v>46247.900787037041</v>
      </c>
      <c r="B3996" s="1">
        <v>6.37</v>
      </c>
      <c r="C3996" s="1">
        <v>5.53</v>
      </c>
      <c r="D3996" s="1">
        <v>0.54</v>
      </c>
      <c r="E3996" s="1" t="s">
        <v>113</v>
      </c>
      <c r="F3996" s="1" t="s">
        <v>113</v>
      </c>
      <c r="G3996" s="1" t="s">
        <v>113</v>
      </c>
      <c r="H3996" s="1" t="str">
        <f>VLOOKUP(F3996,Countries!$A$1:$B$161,2,0)</f>
        <v>United States of America</v>
      </c>
    </row>
    <row r="3997" spans="1:8" x14ac:dyDescent="0.3">
      <c r="A3997" s="3">
        <v>46247.898842592593</v>
      </c>
      <c r="B3997" s="1">
        <v>10.62</v>
      </c>
      <c r="C3997" s="1">
        <v>9.2100000000000009</v>
      </c>
      <c r="D3997" s="1">
        <v>0.73</v>
      </c>
      <c r="E3997" s="1" t="s">
        <v>113</v>
      </c>
      <c r="F3997" s="1" t="s">
        <v>113</v>
      </c>
      <c r="G3997" s="1" t="s">
        <v>113</v>
      </c>
      <c r="H3997" s="1" t="str">
        <f>VLOOKUP(F3997,Countries!$A$1:$B$161,2,0)</f>
        <v>United States of America</v>
      </c>
    </row>
    <row r="3998" spans="1:8" x14ac:dyDescent="0.3">
      <c r="A3998" s="3">
        <v>46247.898668981477</v>
      </c>
      <c r="B3998" s="1">
        <v>10.62</v>
      </c>
      <c r="C3998" s="1">
        <v>9.2100000000000009</v>
      </c>
      <c r="D3998" s="1">
        <v>0.73</v>
      </c>
      <c r="E3998" s="1" t="s">
        <v>113</v>
      </c>
      <c r="F3998" s="1" t="s">
        <v>113</v>
      </c>
      <c r="G3998" s="1" t="s">
        <v>113</v>
      </c>
      <c r="H3998" s="1" t="str">
        <f>VLOOKUP(F3998,Countries!$A$1:$B$161,2,0)</f>
        <v>United States of America</v>
      </c>
    </row>
    <row r="3999" spans="1:8" x14ac:dyDescent="0.3">
      <c r="A3999" s="3">
        <v>46247.894548611112</v>
      </c>
      <c r="B3999" s="1">
        <v>10.62</v>
      </c>
      <c r="C3999" s="1">
        <v>9.2100000000000009</v>
      </c>
      <c r="D3999" s="1">
        <v>0.73</v>
      </c>
      <c r="E3999" s="1" t="s">
        <v>113</v>
      </c>
      <c r="F3999" s="1" t="s">
        <v>113</v>
      </c>
      <c r="G3999" s="1" t="s">
        <v>113</v>
      </c>
      <c r="H3999" s="1" t="str">
        <f>VLOOKUP(F3999,Countries!$A$1:$B$161,2,0)</f>
        <v>United States of America</v>
      </c>
    </row>
    <row r="4000" spans="1:8" x14ac:dyDescent="0.3">
      <c r="A4000" s="3">
        <v>46247.892025462963</v>
      </c>
      <c r="B4000" s="1">
        <v>17</v>
      </c>
      <c r="C4000" s="1">
        <v>14.75</v>
      </c>
      <c r="D4000" s="1">
        <v>1.03</v>
      </c>
      <c r="E4000" s="1" t="s">
        <v>113</v>
      </c>
      <c r="F4000" s="1" t="s">
        <v>113</v>
      </c>
      <c r="G4000" s="1" t="s">
        <v>113</v>
      </c>
      <c r="H4000" s="1" t="str">
        <f>VLOOKUP(F4000,Countries!$A$1:$B$161,2,0)</f>
        <v>United States of America</v>
      </c>
    </row>
    <row r="4001" spans="1:8" x14ac:dyDescent="0.3">
      <c r="A4001" s="3">
        <v>46247.889548611107</v>
      </c>
      <c r="B4001" s="1">
        <v>10.62</v>
      </c>
      <c r="C4001" s="1">
        <v>9.2100000000000009</v>
      </c>
      <c r="D4001" s="1">
        <v>0.73</v>
      </c>
      <c r="E4001" s="1" t="s">
        <v>113</v>
      </c>
      <c r="F4001" s="1" t="s">
        <v>113</v>
      </c>
      <c r="G4001" s="1" t="s">
        <v>113</v>
      </c>
      <c r="H4001" s="1" t="str">
        <f>VLOOKUP(F4001,Countries!$A$1:$B$161,2,0)</f>
        <v>United States of America</v>
      </c>
    </row>
    <row r="4002" spans="1:8" x14ac:dyDescent="0.3">
      <c r="A4002" s="3">
        <v>46247.889328703714</v>
      </c>
      <c r="B4002" s="1">
        <v>6.37</v>
      </c>
      <c r="C4002" s="1">
        <v>5.53</v>
      </c>
      <c r="D4002" s="1">
        <v>0.44</v>
      </c>
      <c r="E4002" s="1" t="s">
        <v>123</v>
      </c>
      <c r="F4002" s="1" t="s">
        <v>123</v>
      </c>
      <c r="G4002" s="1" t="s">
        <v>123</v>
      </c>
      <c r="H4002" s="1" t="str">
        <f>VLOOKUP(F4002,Countries!$A$1:$B$161,2,0)</f>
        <v>France</v>
      </c>
    </row>
    <row r="4003" spans="1:8" x14ac:dyDescent="0.3">
      <c r="A4003" s="3">
        <v>46247.888333333343</v>
      </c>
      <c r="B4003" s="1">
        <v>10.62</v>
      </c>
      <c r="C4003" s="1">
        <v>9.2100000000000009</v>
      </c>
      <c r="D4003" s="1">
        <v>0.73</v>
      </c>
      <c r="E4003" s="1" t="s">
        <v>113</v>
      </c>
      <c r="F4003" s="1" t="s">
        <v>113</v>
      </c>
      <c r="G4003" s="1" t="s">
        <v>113</v>
      </c>
      <c r="H4003" s="1" t="str">
        <f>VLOOKUP(F4003,Countries!$A$1:$B$161,2,0)</f>
        <v>United States of America</v>
      </c>
    </row>
    <row r="4004" spans="1:8" x14ac:dyDescent="0.3">
      <c r="A4004" s="3">
        <v>46247.888101851851</v>
      </c>
      <c r="B4004" s="1">
        <v>2.5099999999999998</v>
      </c>
      <c r="C4004" s="1">
        <v>2.1800000000000002</v>
      </c>
      <c r="D4004" s="1">
        <v>0.32</v>
      </c>
      <c r="E4004" s="1" t="s">
        <v>151</v>
      </c>
      <c r="F4004" s="1" t="s">
        <v>151</v>
      </c>
      <c r="G4004" s="1" t="s">
        <v>151</v>
      </c>
      <c r="H4004" s="1" t="str">
        <f>VLOOKUP(F4004,Countries!$A$1:$B$161,2,0)</f>
        <v>Netherlands (Holland)</v>
      </c>
    </row>
    <row r="4005" spans="1:8" x14ac:dyDescent="0.3">
      <c r="A4005" s="3">
        <v>46247.887488425928</v>
      </c>
      <c r="B4005" s="1">
        <v>10.62</v>
      </c>
      <c r="C4005" s="1">
        <v>9.2100000000000009</v>
      </c>
      <c r="D4005" s="1">
        <v>0.73</v>
      </c>
      <c r="E4005" s="1" t="s">
        <v>113</v>
      </c>
      <c r="F4005" s="1" t="s">
        <v>113</v>
      </c>
      <c r="G4005" s="1" t="s">
        <v>113</v>
      </c>
      <c r="H4005" s="1" t="str">
        <f>VLOOKUP(F4005,Countries!$A$1:$B$161,2,0)</f>
        <v>United States of America</v>
      </c>
    </row>
    <row r="4006" spans="1:8" x14ac:dyDescent="0.3">
      <c r="A4006" s="3">
        <v>46247.886180555557</v>
      </c>
      <c r="B4006" s="1">
        <v>13.89</v>
      </c>
      <c r="C4006" s="1">
        <v>12.05</v>
      </c>
      <c r="D4006" s="1">
        <v>0.88</v>
      </c>
      <c r="E4006" s="1" t="s">
        <v>169</v>
      </c>
      <c r="F4006" s="1" t="s">
        <v>169</v>
      </c>
      <c r="G4006" s="1" t="s">
        <v>169</v>
      </c>
      <c r="H4006" s="1" t="str">
        <f>VLOOKUP(F4006,Countries!$A$1:$B$161,2,0)</f>
        <v>Sri Lanka</v>
      </c>
    </row>
    <row r="4007" spans="1:8" x14ac:dyDescent="0.3">
      <c r="A4007" s="3">
        <v>46247.886157407411</v>
      </c>
      <c r="B4007" s="1">
        <v>10.62</v>
      </c>
      <c r="C4007" s="1">
        <v>9.2100000000000009</v>
      </c>
      <c r="D4007" s="1">
        <v>0.73</v>
      </c>
      <c r="E4007" s="1" t="s">
        <v>113</v>
      </c>
      <c r="F4007" s="1" t="s">
        <v>113</v>
      </c>
      <c r="G4007" s="1" t="s">
        <v>113</v>
      </c>
      <c r="H4007" s="1" t="str">
        <f>VLOOKUP(F4007,Countries!$A$1:$B$161,2,0)</f>
        <v>United States of America</v>
      </c>
    </row>
    <row r="4008" spans="1:8" x14ac:dyDescent="0.3">
      <c r="A4008" s="3">
        <v>46247.885601851849</v>
      </c>
      <c r="B4008" s="1">
        <v>2.5099999999999998</v>
      </c>
      <c r="C4008" s="1">
        <v>2.1800000000000002</v>
      </c>
      <c r="D4008" s="1">
        <v>0.32</v>
      </c>
      <c r="E4008" s="1" t="s">
        <v>151</v>
      </c>
      <c r="F4008" s="1" t="s">
        <v>151</v>
      </c>
      <c r="G4008" s="1" t="s">
        <v>151</v>
      </c>
      <c r="H4008" s="1" t="str">
        <f>VLOOKUP(F4008,Countries!$A$1:$B$161,2,0)</f>
        <v>Netherlands (Holland)</v>
      </c>
    </row>
    <row r="4009" spans="1:8" x14ac:dyDescent="0.3">
      <c r="A4009" s="3">
        <v>46247.885347222233</v>
      </c>
      <c r="B4009" s="1">
        <v>6.37</v>
      </c>
      <c r="C4009" s="1">
        <v>5.53</v>
      </c>
      <c r="D4009" s="1">
        <v>0.54</v>
      </c>
      <c r="E4009" s="1" t="s">
        <v>113</v>
      </c>
      <c r="F4009" s="1" t="s">
        <v>113</v>
      </c>
      <c r="G4009" s="1" t="s">
        <v>113</v>
      </c>
      <c r="H4009" s="1" t="str">
        <f>VLOOKUP(F4009,Countries!$A$1:$B$161,2,0)</f>
        <v>United States of America</v>
      </c>
    </row>
    <row r="4010" spans="1:8" x14ac:dyDescent="0.3">
      <c r="A4010" s="3">
        <v>46247.885127314818</v>
      </c>
      <c r="B4010" s="1">
        <v>7.48</v>
      </c>
      <c r="C4010" s="1">
        <v>6.49</v>
      </c>
      <c r="D4010" s="1">
        <v>0.54</v>
      </c>
      <c r="E4010" s="1" t="s">
        <v>119</v>
      </c>
      <c r="F4010" s="1" t="s">
        <v>119</v>
      </c>
      <c r="G4010" s="1" t="s">
        <v>119</v>
      </c>
      <c r="H4010" s="1" t="str">
        <f>VLOOKUP(F4010,Countries!$A$1:$B$161,2,0)</f>
        <v>Great Britain (United Kingdom)</v>
      </c>
    </row>
    <row r="4011" spans="1:8" x14ac:dyDescent="0.3">
      <c r="A4011" s="3">
        <v>46247.881180555552</v>
      </c>
      <c r="B4011" s="1">
        <v>10.62</v>
      </c>
      <c r="C4011" s="1">
        <v>9.2100000000000009</v>
      </c>
      <c r="D4011" s="1">
        <v>0.73</v>
      </c>
      <c r="E4011" s="1" t="s">
        <v>113</v>
      </c>
      <c r="F4011" s="1" t="s">
        <v>113</v>
      </c>
      <c r="G4011" s="1" t="s">
        <v>113</v>
      </c>
      <c r="H4011" s="1" t="str">
        <f>VLOOKUP(F4011,Countries!$A$1:$B$161,2,0)</f>
        <v>United States of America</v>
      </c>
    </row>
    <row r="4012" spans="1:8" x14ac:dyDescent="0.3">
      <c r="A4012" s="3">
        <v>46247.880289351851</v>
      </c>
      <c r="B4012" s="1">
        <v>3.18</v>
      </c>
      <c r="C4012" s="1">
        <v>2.76</v>
      </c>
      <c r="D4012" s="1">
        <v>0.4</v>
      </c>
      <c r="E4012" s="1" t="s">
        <v>113</v>
      </c>
      <c r="F4012" s="1" t="s">
        <v>113</v>
      </c>
      <c r="G4012" s="1" t="s">
        <v>113</v>
      </c>
      <c r="H4012" s="1" t="str">
        <f>VLOOKUP(F4012,Countries!$A$1:$B$161,2,0)</f>
        <v>United States of America</v>
      </c>
    </row>
    <row r="4013" spans="1:8" x14ac:dyDescent="0.3">
      <c r="A4013" s="3">
        <v>46247.879594907397</v>
      </c>
      <c r="B4013" s="1">
        <v>5.99</v>
      </c>
      <c r="C4013" s="1">
        <v>5.2</v>
      </c>
      <c r="D4013" s="1">
        <v>0.52</v>
      </c>
      <c r="E4013" s="1" t="s">
        <v>169</v>
      </c>
      <c r="F4013" s="1" t="s">
        <v>169</v>
      </c>
      <c r="G4013" s="1" t="s">
        <v>169</v>
      </c>
      <c r="H4013" s="1" t="str">
        <f>VLOOKUP(F4013,Countries!$A$1:$B$161,2,0)</f>
        <v>Sri Lanka</v>
      </c>
    </row>
    <row r="4014" spans="1:8" x14ac:dyDescent="0.3">
      <c r="A4014" s="3">
        <v>46247.879004629627</v>
      </c>
      <c r="B4014" s="1">
        <v>14.62</v>
      </c>
      <c r="C4014" s="1">
        <v>12.68</v>
      </c>
      <c r="D4014" s="1">
        <v>0.91</v>
      </c>
      <c r="E4014" s="1" t="s">
        <v>132</v>
      </c>
      <c r="F4014" s="1" t="s">
        <v>132</v>
      </c>
      <c r="G4014" s="1" t="s">
        <v>132</v>
      </c>
      <c r="H4014" s="1" t="str">
        <f>VLOOKUP(F4014,Countries!$A$1:$B$161,2,0)</f>
        <v>Canada</v>
      </c>
    </row>
    <row r="4015" spans="1:8" x14ac:dyDescent="0.3">
      <c r="A4015" s="3">
        <v>46247.876354166663</v>
      </c>
      <c r="B4015" s="1">
        <v>20.21</v>
      </c>
      <c r="C4015" s="1">
        <v>17.53</v>
      </c>
      <c r="D4015" s="1">
        <v>1.17</v>
      </c>
      <c r="E4015" s="1" t="s">
        <v>113</v>
      </c>
      <c r="F4015" s="1" t="s">
        <v>113</v>
      </c>
      <c r="G4015" s="1" t="s">
        <v>113</v>
      </c>
      <c r="H4015" s="1" t="str">
        <f>VLOOKUP(F4015,Countries!$A$1:$B$161,2,0)</f>
        <v>United States of America</v>
      </c>
    </row>
    <row r="4016" spans="1:8" x14ac:dyDescent="0.3">
      <c r="A4016" s="3">
        <v>46247.875289351847</v>
      </c>
      <c r="B4016" s="1">
        <v>10.62</v>
      </c>
      <c r="C4016" s="1">
        <v>9.2100000000000009</v>
      </c>
      <c r="D4016" s="1">
        <v>0.73</v>
      </c>
      <c r="E4016" s="1" t="s">
        <v>169</v>
      </c>
      <c r="F4016" s="1" t="s">
        <v>169</v>
      </c>
      <c r="G4016" s="1" t="s">
        <v>169</v>
      </c>
      <c r="H4016" s="1" t="str">
        <f>VLOOKUP(F4016,Countries!$A$1:$B$161,2,0)</f>
        <v>Sri Lanka</v>
      </c>
    </row>
    <row r="4017" spans="1:8" x14ac:dyDescent="0.3">
      <c r="A4017" s="3">
        <v>46247.874895833331</v>
      </c>
      <c r="B4017" s="1">
        <v>10.62</v>
      </c>
      <c r="C4017" s="1">
        <v>9.2100000000000009</v>
      </c>
      <c r="D4017" s="1">
        <v>0.73</v>
      </c>
      <c r="E4017" s="1" t="s">
        <v>113</v>
      </c>
      <c r="F4017" s="1" t="s">
        <v>113</v>
      </c>
      <c r="G4017" s="1" t="s">
        <v>113</v>
      </c>
      <c r="H4017" s="1" t="str">
        <f>VLOOKUP(F4017,Countries!$A$1:$B$161,2,0)</f>
        <v>United States of America</v>
      </c>
    </row>
    <row r="4018" spans="1:8" x14ac:dyDescent="0.3">
      <c r="A4018" s="3">
        <v>46247.874201388891</v>
      </c>
      <c r="B4018" s="1">
        <v>21.27</v>
      </c>
      <c r="C4018" s="1">
        <v>18.45</v>
      </c>
      <c r="D4018" s="1">
        <v>1.22</v>
      </c>
      <c r="E4018" s="1" t="s">
        <v>113</v>
      </c>
      <c r="F4018" s="1" t="s">
        <v>113</v>
      </c>
      <c r="G4018" s="1" t="s">
        <v>113</v>
      </c>
      <c r="H4018" s="1" t="str">
        <f>VLOOKUP(F4018,Countries!$A$1:$B$161,2,0)</f>
        <v>United States of America</v>
      </c>
    </row>
    <row r="4019" spans="1:8" x14ac:dyDescent="0.3">
      <c r="A4019" s="3">
        <v>46247.872025462973</v>
      </c>
      <c r="B4019" s="1">
        <v>6.37</v>
      </c>
      <c r="C4019" s="1">
        <v>5.53</v>
      </c>
      <c r="D4019" s="1">
        <v>0.54</v>
      </c>
      <c r="E4019" s="1" t="s">
        <v>183</v>
      </c>
      <c r="F4019" s="1" t="s">
        <v>183</v>
      </c>
      <c r="G4019" s="1" t="s">
        <v>183</v>
      </c>
      <c r="H4019" s="1" t="str">
        <f>VLOOKUP(F4019,Countries!$A$1:$B$161,2,0)</f>
        <v>Malaysia</v>
      </c>
    </row>
    <row r="4020" spans="1:8" x14ac:dyDescent="0.3">
      <c r="A4020" s="3">
        <v>46247.87158564815</v>
      </c>
      <c r="B4020" s="1">
        <v>21.27</v>
      </c>
      <c r="C4020" s="1">
        <v>18.45</v>
      </c>
      <c r="D4020" s="1">
        <v>1.22</v>
      </c>
      <c r="E4020" s="1" t="s">
        <v>113</v>
      </c>
      <c r="F4020" s="1" t="s">
        <v>113</v>
      </c>
      <c r="G4020" s="1" t="s">
        <v>113</v>
      </c>
      <c r="H4020" s="1" t="str">
        <f>VLOOKUP(F4020,Countries!$A$1:$B$161,2,0)</f>
        <v>United States of America</v>
      </c>
    </row>
    <row r="4021" spans="1:8" x14ac:dyDescent="0.3">
      <c r="A4021" s="3">
        <v>46247.870046296302</v>
      </c>
      <c r="B4021" s="1">
        <v>10.62</v>
      </c>
      <c r="C4021" s="1">
        <v>9.2100000000000009</v>
      </c>
      <c r="D4021" s="1">
        <v>0.73</v>
      </c>
      <c r="E4021" s="1" t="s">
        <v>113</v>
      </c>
      <c r="F4021" s="1" t="s">
        <v>113</v>
      </c>
      <c r="G4021" s="1" t="s">
        <v>113</v>
      </c>
      <c r="H4021" s="1" t="str">
        <f>VLOOKUP(F4021,Countries!$A$1:$B$161,2,0)</f>
        <v>United States of America</v>
      </c>
    </row>
    <row r="4022" spans="1:8" x14ac:dyDescent="0.3">
      <c r="A4022" s="3">
        <v>46247.869768518518</v>
      </c>
      <c r="B4022" s="1">
        <v>6.37</v>
      </c>
      <c r="C4022" s="1">
        <v>5.53</v>
      </c>
      <c r="D4022" s="1">
        <v>0.54</v>
      </c>
      <c r="E4022" s="1" t="s">
        <v>113</v>
      </c>
      <c r="F4022" s="1" t="s">
        <v>113</v>
      </c>
      <c r="G4022" s="1" t="s">
        <v>113</v>
      </c>
      <c r="H4022" s="1" t="str">
        <f>VLOOKUP(F4022,Countries!$A$1:$B$161,2,0)</f>
        <v>United States of America</v>
      </c>
    </row>
    <row r="4023" spans="1:8" x14ac:dyDescent="0.3">
      <c r="A4023" s="3">
        <v>46247.869513888887</v>
      </c>
      <c r="B4023" s="1">
        <v>20.21</v>
      </c>
      <c r="C4023" s="1">
        <v>17.53</v>
      </c>
      <c r="D4023" s="1">
        <v>1.17</v>
      </c>
      <c r="E4023" s="1" t="s">
        <v>113</v>
      </c>
      <c r="F4023" s="1" t="s">
        <v>113</v>
      </c>
      <c r="G4023" s="1" t="s">
        <v>113</v>
      </c>
      <c r="H4023" s="1" t="str">
        <f>VLOOKUP(F4023,Countries!$A$1:$B$161,2,0)</f>
        <v>United States of America</v>
      </c>
    </row>
    <row r="4024" spans="1:8" x14ac:dyDescent="0.3">
      <c r="A4024" s="3">
        <v>46247.853414351863</v>
      </c>
      <c r="B4024" s="1">
        <v>58.41</v>
      </c>
      <c r="C4024" s="1">
        <v>50.66</v>
      </c>
      <c r="D4024" s="1">
        <v>2.91</v>
      </c>
      <c r="E4024" s="1" t="s">
        <v>132</v>
      </c>
      <c r="F4024" s="1" t="s">
        <v>132</v>
      </c>
      <c r="G4024" s="1" t="s">
        <v>132</v>
      </c>
      <c r="H4024" s="1" t="str">
        <f>VLOOKUP(F4024,Countries!$A$1:$B$161,2,0)</f>
        <v>Canada</v>
      </c>
    </row>
    <row r="4025" spans="1:8" x14ac:dyDescent="0.3">
      <c r="A4025" s="3">
        <v>46247.852094907408</v>
      </c>
      <c r="B4025" s="1">
        <v>58.41</v>
      </c>
      <c r="C4025" s="1">
        <v>50.66</v>
      </c>
      <c r="D4025" s="1">
        <v>2.91</v>
      </c>
      <c r="E4025" s="1" t="s">
        <v>132</v>
      </c>
      <c r="F4025" s="1" t="s">
        <v>132</v>
      </c>
      <c r="G4025" s="1" t="s">
        <v>132</v>
      </c>
      <c r="H4025" s="1" t="str">
        <f>VLOOKUP(F4025,Countries!$A$1:$B$161,2,0)</f>
        <v>Canada</v>
      </c>
    </row>
    <row r="4026" spans="1:8" x14ac:dyDescent="0.3">
      <c r="A4026" s="3">
        <v>46247.850960648153</v>
      </c>
      <c r="B4026" s="1">
        <v>6.3</v>
      </c>
      <c r="C4026" s="1">
        <v>5.46</v>
      </c>
      <c r="D4026" s="1">
        <v>0.54</v>
      </c>
      <c r="E4026" s="1" t="s">
        <v>132</v>
      </c>
      <c r="F4026" s="1" t="s">
        <v>132</v>
      </c>
      <c r="G4026" s="1" t="s">
        <v>132</v>
      </c>
      <c r="H4026" s="1" t="str">
        <f>VLOOKUP(F4026,Countries!$A$1:$B$161,2,0)</f>
        <v>Canada</v>
      </c>
    </row>
    <row r="4027" spans="1:8" x14ac:dyDescent="0.3">
      <c r="A4027" s="3">
        <v>46247.850173611107</v>
      </c>
      <c r="B4027" s="1">
        <v>9.99</v>
      </c>
      <c r="C4027" s="1">
        <v>8.66</v>
      </c>
      <c r="D4027" s="1">
        <v>0.7</v>
      </c>
      <c r="E4027" s="1" t="s">
        <v>214</v>
      </c>
      <c r="F4027" s="1" t="s">
        <v>214</v>
      </c>
      <c r="G4027" s="1" t="s">
        <v>214</v>
      </c>
      <c r="H4027" s="1" t="str">
        <f>VLOOKUP(F4027,Countries!$A$1:$B$161,2,0)</f>
        <v>Peru</v>
      </c>
    </row>
    <row r="4028" spans="1:8" x14ac:dyDescent="0.3">
      <c r="A4028" s="3">
        <v>46247.847129629627</v>
      </c>
      <c r="B4028" s="1">
        <v>14.77</v>
      </c>
      <c r="C4028" s="1">
        <v>12.81</v>
      </c>
      <c r="D4028" s="1">
        <v>0.93</v>
      </c>
      <c r="E4028" s="1" t="s">
        <v>113</v>
      </c>
      <c r="F4028" s="1" t="s">
        <v>113</v>
      </c>
      <c r="G4028" s="1" t="s">
        <v>113</v>
      </c>
      <c r="H4028" s="1" t="str">
        <f>VLOOKUP(F4028,Countries!$A$1:$B$161,2,0)</f>
        <v>United States of America</v>
      </c>
    </row>
    <row r="4029" spans="1:8" x14ac:dyDescent="0.3">
      <c r="A4029" s="3">
        <v>46247.842800925922</v>
      </c>
      <c r="B4029" s="1">
        <v>14.78</v>
      </c>
      <c r="C4029" s="1">
        <v>12.82</v>
      </c>
      <c r="D4029" s="1">
        <v>0.93</v>
      </c>
      <c r="E4029" s="1" t="s">
        <v>113</v>
      </c>
      <c r="F4029" s="1" t="s">
        <v>113</v>
      </c>
      <c r="G4029" s="1" t="s">
        <v>113</v>
      </c>
      <c r="H4029" s="1" t="str">
        <f>VLOOKUP(F4029,Countries!$A$1:$B$161,2,0)</f>
        <v>United States of America</v>
      </c>
    </row>
    <row r="4030" spans="1:8" x14ac:dyDescent="0.3">
      <c r="A4030" s="3">
        <v>46247.831666666672</v>
      </c>
      <c r="B4030" s="1">
        <v>14.77</v>
      </c>
      <c r="C4030" s="1">
        <v>12.81</v>
      </c>
      <c r="D4030" s="1">
        <v>0.93</v>
      </c>
      <c r="E4030" s="1" t="s">
        <v>113</v>
      </c>
      <c r="F4030" s="1" t="s">
        <v>113</v>
      </c>
      <c r="G4030" s="1" t="s">
        <v>113</v>
      </c>
      <c r="H4030" s="1" t="str">
        <f>VLOOKUP(F4030,Countries!$A$1:$B$161,2,0)</f>
        <v>United States of America</v>
      </c>
    </row>
    <row r="4031" spans="1:8" x14ac:dyDescent="0.3">
      <c r="A4031" s="3">
        <v>46247.830046296287</v>
      </c>
      <c r="B4031" s="1">
        <v>15.43</v>
      </c>
      <c r="C4031" s="1">
        <v>13.38</v>
      </c>
      <c r="D4031" s="1">
        <v>0.95</v>
      </c>
      <c r="E4031" s="1" t="s">
        <v>130</v>
      </c>
      <c r="F4031" s="1" t="s">
        <v>130</v>
      </c>
      <c r="G4031" s="1" t="s">
        <v>130</v>
      </c>
      <c r="H4031" s="1" t="str">
        <f>VLOOKUP(F4031,Countries!$A$1:$B$161,2,0)</f>
        <v>Australia</v>
      </c>
    </row>
    <row r="4032" spans="1:8" x14ac:dyDescent="0.3">
      <c r="A4032" s="3">
        <v>46247.829282407409</v>
      </c>
      <c r="B4032" s="1">
        <v>17.36</v>
      </c>
      <c r="C4032" s="1">
        <v>15.06</v>
      </c>
      <c r="D4032" s="1">
        <v>0.93</v>
      </c>
      <c r="E4032" s="1" t="s">
        <v>119</v>
      </c>
      <c r="F4032" s="1" t="s">
        <v>119</v>
      </c>
      <c r="G4032" s="1" t="s">
        <v>119</v>
      </c>
      <c r="H4032" s="1" t="str">
        <f>VLOOKUP(F4032,Countries!$A$1:$B$161,2,0)</f>
        <v>Great Britain (United Kingdom)</v>
      </c>
    </row>
    <row r="4033" spans="1:8" x14ac:dyDescent="0.3">
      <c r="A4033" s="3">
        <v>46247.829050925917</v>
      </c>
      <c r="B4033" s="1">
        <v>6.37</v>
      </c>
      <c r="C4033" s="1">
        <v>5.52</v>
      </c>
      <c r="D4033" s="1">
        <v>0.54</v>
      </c>
      <c r="E4033" s="1" t="s">
        <v>113</v>
      </c>
      <c r="F4033" s="1" t="s">
        <v>113</v>
      </c>
      <c r="G4033" s="1" t="s">
        <v>113</v>
      </c>
      <c r="H4033" s="1" t="str">
        <f>VLOOKUP(F4033,Countries!$A$1:$B$161,2,0)</f>
        <v>United States of America</v>
      </c>
    </row>
    <row r="4034" spans="1:8" x14ac:dyDescent="0.3">
      <c r="A4034" s="3">
        <v>46247.82603009259</v>
      </c>
      <c r="B4034" s="1">
        <v>73.930000000000007</v>
      </c>
      <c r="C4034" s="1">
        <v>64.12</v>
      </c>
      <c r="D4034" s="1">
        <v>3.61</v>
      </c>
      <c r="E4034" s="1" t="s">
        <v>113</v>
      </c>
      <c r="F4034" s="1" t="s">
        <v>113</v>
      </c>
      <c r="G4034" s="1" t="s">
        <v>113</v>
      </c>
      <c r="H4034" s="1" t="str">
        <f>VLOOKUP(F4034,Countries!$A$1:$B$161,2,0)</f>
        <v>United States of America</v>
      </c>
    </row>
    <row r="4035" spans="1:8" x14ac:dyDescent="0.3">
      <c r="A4035" s="3">
        <v>46247.824513888889</v>
      </c>
      <c r="B4035" s="1">
        <v>14.77</v>
      </c>
      <c r="C4035" s="1">
        <v>12.81</v>
      </c>
      <c r="D4035" s="1">
        <v>0.93</v>
      </c>
      <c r="E4035" s="1" t="s">
        <v>113</v>
      </c>
      <c r="F4035" s="1" t="s">
        <v>113</v>
      </c>
      <c r="G4035" s="1" t="s">
        <v>113</v>
      </c>
      <c r="H4035" s="1" t="str">
        <f>VLOOKUP(F4035,Countries!$A$1:$B$161,2,0)</f>
        <v>United States of America</v>
      </c>
    </row>
    <row r="4036" spans="1:8" x14ac:dyDescent="0.3">
      <c r="A4036" s="3">
        <v>46247.823159722233</v>
      </c>
      <c r="B4036" s="1">
        <v>6.37</v>
      </c>
      <c r="C4036" s="1">
        <v>5.52</v>
      </c>
      <c r="D4036" s="1">
        <v>0.54</v>
      </c>
      <c r="E4036" s="1" t="s">
        <v>113</v>
      </c>
      <c r="F4036" s="1" t="s">
        <v>113</v>
      </c>
      <c r="G4036" s="1" t="s">
        <v>113</v>
      </c>
      <c r="H4036" s="1" t="str">
        <f>VLOOKUP(F4036,Countries!$A$1:$B$161,2,0)</f>
        <v>United States of America</v>
      </c>
    </row>
    <row r="4037" spans="1:8" x14ac:dyDescent="0.3">
      <c r="A4037" s="3">
        <v>46247.821608796286</v>
      </c>
      <c r="B4037" s="1">
        <v>1.99</v>
      </c>
      <c r="C4037" s="1">
        <v>1.73</v>
      </c>
      <c r="D4037" s="1">
        <v>0.34</v>
      </c>
      <c r="E4037" s="1" t="s">
        <v>113</v>
      </c>
      <c r="F4037" s="1" t="s">
        <v>113</v>
      </c>
      <c r="G4037" s="1" t="s">
        <v>113</v>
      </c>
      <c r="H4037" s="1" t="str">
        <f>VLOOKUP(F4037,Countries!$A$1:$B$161,2,0)</f>
        <v>United States of America</v>
      </c>
    </row>
    <row r="4038" spans="1:8" x14ac:dyDescent="0.3">
      <c r="A4038" s="3">
        <v>46247.817743055559</v>
      </c>
      <c r="B4038" s="1">
        <v>36.96</v>
      </c>
      <c r="C4038" s="1">
        <v>32.06</v>
      </c>
      <c r="D4038" s="1">
        <v>1.93</v>
      </c>
      <c r="E4038" s="1" t="s">
        <v>113</v>
      </c>
      <c r="F4038" s="1" t="s">
        <v>113</v>
      </c>
      <c r="G4038" s="1" t="s">
        <v>113</v>
      </c>
      <c r="H4038" s="1" t="str">
        <f>VLOOKUP(F4038,Countries!$A$1:$B$161,2,0)</f>
        <v>United States of America</v>
      </c>
    </row>
    <row r="4039" spans="1:8" x14ac:dyDescent="0.3">
      <c r="A4039" s="3">
        <v>46247.817210648151</v>
      </c>
      <c r="B4039" s="1">
        <v>126.12</v>
      </c>
      <c r="C4039" s="1">
        <v>109.39</v>
      </c>
      <c r="D4039" s="1">
        <v>6</v>
      </c>
      <c r="E4039" s="1" t="s">
        <v>196</v>
      </c>
      <c r="F4039" s="1" t="s">
        <v>196</v>
      </c>
      <c r="G4039" s="1" t="s">
        <v>196</v>
      </c>
      <c r="H4039" s="1" t="str">
        <f>VLOOKUP(F4039,Countries!$A$1:$B$161,2,0)</f>
        <v>Kazakhstan</v>
      </c>
    </row>
    <row r="4040" spans="1:8" x14ac:dyDescent="0.3">
      <c r="A4040" s="3">
        <v>46247.815057870372</v>
      </c>
      <c r="B4040" s="1">
        <v>17.36</v>
      </c>
      <c r="C4040" s="1">
        <v>15.06</v>
      </c>
      <c r="D4040" s="1">
        <v>0.93</v>
      </c>
      <c r="E4040" s="1" t="s">
        <v>119</v>
      </c>
      <c r="F4040" s="1" t="s">
        <v>119</v>
      </c>
      <c r="G4040" s="1" t="s">
        <v>119</v>
      </c>
      <c r="H4040" s="1" t="str">
        <f>VLOOKUP(F4040,Countries!$A$1:$B$161,2,0)</f>
        <v>Great Britain (United Kingdom)</v>
      </c>
    </row>
    <row r="4041" spans="1:8" x14ac:dyDescent="0.3">
      <c r="A4041" s="3">
        <v>46247.814756944441</v>
      </c>
      <c r="B4041" s="1">
        <v>14.77</v>
      </c>
      <c r="C4041" s="1">
        <v>12.81</v>
      </c>
      <c r="D4041" s="1">
        <v>0.93</v>
      </c>
      <c r="E4041" s="1" t="s">
        <v>113</v>
      </c>
      <c r="F4041" s="1" t="s">
        <v>113</v>
      </c>
      <c r="G4041" s="1" t="s">
        <v>113</v>
      </c>
      <c r="H4041" s="1" t="str">
        <f>VLOOKUP(F4041,Countries!$A$1:$B$161,2,0)</f>
        <v>United States of America</v>
      </c>
    </row>
    <row r="4042" spans="1:8" x14ac:dyDescent="0.3">
      <c r="A4042" s="3">
        <v>46247.813692129632</v>
      </c>
      <c r="B4042" s="1">
        <v>17.739999999999998</v>
      </c>
      <c r="C4042" s="1">
        <v>15.39</v>
      </c>
      <c r="D4042" s="1">
        <v>1.06</v>
      </c>
      <c r="E4042" s="1" t="s">
        <v>113</v>
      </c>
      <c r="F4042" s="1" t="s">
        <v>113</v>
      </c>
      <c r="G4042" s="1" t="s">
        <v>113</v>
      </c>
      <c r="H4042" s="1" t="str">
        <f>VLOOKUP(F4042,Countries!$A$1:$B$161,2,0)</f>
        <v>United States of America</v>
      </c>
    </row>
    <row r="4043" spans="1:8" x14ac:dyDescent="0.3">
      <c r="A4043" s="3">
        <v>46247.810497685183</v>
      </c>
      <c r="B4043" s="1">
        <v>6.37</v>
      </c>
      <c r="C4043" s="1">
        <v>5.52</v>
      </c>
      <c r="D4043" s="1">
        <v>0.54</v>
      </c>
      <c r="E4043" s="1" t="s">
        <v>113</v>
      </c>
      <c r="F4043" s="1" t="s">
        <v>113</v>
      </c>
      <c r="G4043" s="1" t="s">
        <v>113</v>
      </c>
      <c r="H4043" s="1" t="str">
        <f>VLOOKUP(F4043,Countries!$A$1:$B$161,2,0)</f>
        <v>United States of America</v>
      </c>
    </row>
    <row r="4044" spans="1:8" x14ac:dyDescent="0.3">
      <c r="A4044" s="3">
        <v>46247.810428240737</v>
      </c>
      <c r="B4044" s="1">
        <v>10.62</v>
      </c>
      <c r="C4044" s="1">
        <v>9.2100000000000009</v>
      </c>
      <c r="D4044" s="1">
        <v>0.73</v>
      </c>
      <c r="E4044" s="1" t="s">
        <v>113</v>
      </c>
      <c r="F4044" s="1" t="s">
        <v>113</v>
      </c>
      <c r="G4044" s="1" t="s">
        <v>113</v>
      </c>
      <c r="H4044" s="1" t="str">
        <f>VLOOKUP(F4044,Countries!$A$1:$B$161,2,0)</f>
        <v>United States of America</v>
      </c>
    </row>
    <row r="4045" spans="1:8" x14ac:dyDescent="0.3">
      <c r="A4045" s="3">
        <v>46247.809814814813</v>
      </c>
      <c r="B4045" s="1">
        <v>17.36</v>
      </c>
      <c r="C4045" s="1">
        <v>15.06</v>
      </c>
      <c r="D4045" s="1">
        <v>0.93</v>
      </c>
      <c r="E4045" s="1" t="s">
        <v>119</v>
      </c>
      <c r="F4045" s="1" t="s">
        <v>119</v>
      </c>
      <c r="G4045" s="1" t="s">
        <v>119</v>
      </c>
      <c r="H4045" s="1" t="str">
        <f>VLOOKUP(F4045,Countries!$A$1:$B$161,2,0)</f>
        <v>Great Britain (United Kingdom)</v>
      </c>
    </row>
    <row r="4046" spans="1:8" x14ac:dyDescent="0.3">
      <c r="A4046" s="3">
        <v>46247.809664351851</v>
      </c>
      <c r="B4046" s="1">
        <v>17.36</v>
      </c>
      <c r="C4046" s="1">
        <v>15.06</v>
      </c>
      <c r="D4046" s="1">
        <v>0.93</v>
      </c>
      <c r="E4046" s="1" t="s">
        <v>119</v>
      </c>
      <c r="F4046" s="1" t="s">
        <v>119</v>
      </c>
      <c r="G4046" s="1" t="s">
        <v>119</v>
      </c>
      <c r="H4046" s="1" t="str">
        <f>VLOOKUP(F4046,Countries!$A$1:$B$161,2,0)</f>
        <v>Great Britain (United Kingdom)</v>
      </c>
    </row>
    <row r="4047" spans="1:8" x14ac:dyDescent="0.3">
      <c r="A4047" s="3">
        <v>46247.803437499999</v>
      </c>
      <c r="B4047" s="1">
        <v>48.18</v>
      </c>
      <c r="C4047" s="1">
        <v>41.79</v>
      </c>
      <c r="D4047" s="1">
        <v>2.4500000000000002</v>
      </c>
      <c r="E4047" s="1" t="s">
        <v>165</v>
      </c>
      <c r="F4047" s="1" t="s">
        <v>165</v>
      </c>
      <c r="G4047" s="1" t="s">
        <v>165</v>
      </c>
      <c r="H4047" s="1" t="str">
        <f>VLOOKUP(F4047,Countries!$A$1:$B$161,2,0)</f>
        <v>Israel</v>
      </c>
    </row>
    <row r="4048" spans="1:8" x14ac:dyDescent="0.3">
      <c r="A4048" s="3">
        <v>46247.801365740743</v>
      </c>
      <c r="B4048" s="1">
        <v>7.48</v>
      </c>
      <c r="C4048" s="1">
        <v>6.49</v>
      </c>
      <c r="D4048" s="1">
        <v>0.48</v>
      </c>
      <c r="E4048" s="1" t="s">
        <v>123</v>
      </c>
      <c r="F4048" s="1" t="s">
        <v>123</v>
      </c>
      <c r="G4048" s="1" t="s">
        <v>123</v>
      </c>
      <c r="H4048" s="1" t="str">
        <f>VLOOKUP(F4048,Countries!$A$1:$B$161,2,0)</f>
        <v>France</v>
      </c>
    </row>
    <row r="4049" spans="1:8" x14ac:dyDescent="0.3">
      <c r="A4049" s="3">
        <v>46247.801076388889</v>
      </c>
      <c r="B4049" s="1">
        <v>12.04</v>
      </c>
      <c r="C4049" s="1">
        <v>10.44</v>
      </c>
      <c r="D4049" s="1">
        <v>0.8</v>
      </c>
      <c r="E4049" s="1" t="s">
        <v>165</v>
      </c>
      <c r="F4049" s="1" t="s">
        <v>165</v>
      </c>
      <c r="G4049" s="1" t="s">
        <v>165</v>
      </c>
      <c r="H4049" s="1" t="str">
        <f>VLOOKUP(F4049,Countries!$A$1:$B$161,2,0)</f>
        <v>Israel</v>
      </c>
    </row>
    <row r="4050" spans="1:8" x14ac:dyDescent="0.3">
      <c r="A4050" s="3">
        <v>46247.798668981479</v>
      </c>
      <c r="B4050" s="1">
        <v>58.41</v>
      </c>
      <c r="C4050" s="1">
        <v>50.66</v>
      </c>
      <c r="D4050" s="1">
        <v>2.91</v>
      </c>
      <c r="E4050" s="1" t="s">
        <v>132</v>
      </c>
      <c r="F4050" s="1" t="s">
        <v>132</v>
      </c>
      <c r="G4050" s="1" t="s">
        <v>132</v>
      </c>
      <c r="H4050" s="1" t="str">
        <f>VLOOKUP(F4050,Countries!$A$1:$B$161,2,0)</f>
        <v>Canada</v>
      </c>
    </row>
    <row r="4051" spans="1:8" x14ac:dyDescent="0.3">
      <c r="A4051" s="3">
        <v>46247.795717592591</v>
      </c>
      <c r="B4051" s="1">
        <v>6.3</v>
      </c>
      <c r="C4051" s="1">
        <v>5.46</v>
      </c>
      <c r="D4051" s="1">
        <v>0.54</v>
      </c>
      <c r="E4051" s="1" t="s">
        <v>132</v>
      </c>
      <c r="F4051" s="1" t="s">
        <v>132</v>
      </c>
      <c r="G4051" s="1" t="s">
        <v>132</v>
      </c>
      <c r="H4051" s="1" t="str">
        <f>VLOOKUP(F4051,Countries!$A$1:$B$161,2,0)</f>
        <v>Canada</v>
      </c>
    </row>
    <row r="4052" spans="1:8" x14ac:dyDescent="0.3">
      <c r="A4052" s="3">
        <v>46247.793217592603</v>
      </c>
      <c r="B4052" s="1">
        <v>13.9</v>
      </c>
      <c r="C4052" s="1">
        <v>12.06</v>
      </c>
      <c r="D4052" s="1">
        <v>0.88</v>
      </c>
      <c r="E4052" s="1" t="s">
        <v>202</v>
      </c>
      <c r="F4052" s="1" t="s">
        <v>202</v>
      </c>
      <c r="G4052" s="1" t="s">
        <v>202</v>
      </c>
      <c r="H4052" s="1" t="str">
        <f>VLOOKUP(F4052,Countries!$A$1:$B$161,2,0)</f>
        <v>Lebanon</v>
      </c>
    </row>
    <row r="4053" spans="1:8" x14ac:dyDescent="0.3">
      <c r="A4053" s="3">
        <v>46247.788090277783</v>
      </c>
      <c r="B4053" s="1">
        <v>6.3</v>
      </c>
      <c r="C4053" s="1">
        <v>5.46</v>
      </c>
      <c r="D4053" s="1">
        <v>0.54</v>
      </c>
      <c r="E4053" s="1" t="s">
        <v>143</v>
      </c>
      <c r="F4053" s="1" t="s">
        <v>143</v>
      </c>
      <c r="G4053" s="1" t="s">
        <v>143</v>
      </c>
      <c r="H4053" s="1" t="str">
        <f>VLOOKUP(F4053,Countries!$A$1:$B$161,2,0)</f>
        <v>United Arab Emirates</v>
      </c>
    </row>
    <row r="4054" spans="1:8" x14ac:dyDescent="0.3">
      <c r="A4054" s="3">
        <v>46247.784849537027</v>
      </c>
      <c r="B4054" s="1">
        <v>3.28</v>
      </c>
      <c r="C4054" s="1">
        <v>2.85</v>
      </c>
      <c r="D4054" s="1">
        <v>0.4</v>
      </c>
      <c r="E4054" s="1" t="s">
        <v>152</v>
      </c>
      <c r="F4054" s="1" t="s">
        <v>152</v>
      </c>
      <c r="G4054" s="1" t="s">
        <v>152</v>
      </c>
      <c r="H4054" s="1" t="str">
        <f>VLOOKUP(F4054,Countries!$A$1:$B$161,2,0)</f>
        <v>Singapore</v>
      </c>
    </row>
    <row r="4055" spans="1:8" x14ac:dyDescent="0.3">
      <c r="A4055" s="3">
        <v>46247.780104166668</v>
      </c>
      <c r="B4055" s="1">
        <v>2.11</v>
      </c>
      <c r="C4055" s="1">
        <v>1.83</v>
      </c>
      <c r="D4055" s="1">
        <v>0.35</v>
      </c>
      <c r="E4055" s="1" t="s">
        <v>113</v>
      </c>
      <c r="F4055" s="1" t="s">
        <v>113</v>
      </c>
      <c r="G4055" s="1" t="s">
        <v>113</v>
      </c>
      <c r="H4055" s="1" t="str">
        <f>VLOOKUP(F4055,Countries!$A$1:$B$161,2,0)</f>
        <v>United States of America</v>
      </c>
    </row>
    <row r="4056" spans="1:8" x14ac:dyDescent="0.3">
      <c r="A4056" s="3">
        <v>46247.773657407408</v>
      </c>
      <c r="B4056" s="1">
        <v>6.37</v>
      </c>
      <c r="C4056" s="1">
        <v>5.53</v>
      </c>
      <c r="D4056" s="1">
        <v>0.54</v>
      </c>
      <c r="E4056" s="1" t="s">
        <v>113</v>
      </c>
      <c r="F4056" s="1" t="s">
        <v>113</v>
      </c>
      <c r="G4056" s="1" t="s">
        <v>113</v>
      </c>
      <c r="H4056" s="1" t="str">
        <f>VLOOKUP(F4056,Countries!$A$1:$B$161,2,0)</f>
        <v>United States of America</v>
      </c>
    </row>
    <row r="4057" spans="1:8" x14ac:dyDescent="0.3">
      <c r="A4057" s="3">
        <v>46247.769328703696</v>
      </c>
      <c r="B4057" s="1">
        <v>2.99</v>
      </c>
      <c r="C4057" s="1">
        <v>2.59</v>
      </c>
      <c r="D4057" s="1">
        <v>0.38</v>
      </c>
      <c r="E4057" s="1" t="s">
        <v>113</v>
      </c>
      <c r="F4057" s="1" t="s">
        <v>113</v>
      </c>
      <c r="G4057" s="1" t="s">
        <v>113</v>
      </c>
      <c r="H4057" s="1" t="str">
        <f>VLOOKUP(F4057,Countries!$A$1:$B$161,2,0)</f>
        <v>United States of America</v>
      </c>
    </row>
    <row r="4058" spans="1:8" x14ac:dyDescent="0.3">
      <c r="A4058" s="3">
        <v>46247.76525462963</v>
      </c>
      <c r="B4058" s="1">
        <v>3.78</v>
      </c>
      <c r="C4058" s="1">
        <v>3.28</v>
      </c>
      <c r="D4058" s="1">
        <v>0.37</v>
      </c>
      <c r="E4058" s="1" t="s">
        <v>116</v>
      </c>
      <c r="F4058" s="1" t="s">
        <v>116</v>
      </c>
      <c r="G4058" s="1" t="s">
        <v>116</v>
      </c>
      <c r="H4058" s="1" t="str">
        <f>VLOOKUP(F4058,Countries!$A$1:$B$161,2,0)</f>
        <v>Spain</v>
      </c>
    </row>
    <row r="4059" spans="1:8" x14ac:dyDescent="0.3">
      <c r="A4059" s="3">
        <v>46247.759409722217</v>
      </c>
      <c r="B4059" s="1">
        <v>2.99</v>
      </c>
      <c r="C4059" s="1">
        <v>2.59</v>
      </c>
      <c r="D4059" s="1">
        <v>0.38</v>
      </c>
      <c r="E4059" s="1" t="s">
        <v>113</v>
      </c>
      <c r="F4059" s="1" t="s">
        <v>113</v>
      </c>
      <c r="G4059" s="1" t="s">
        <v>113</v>
      </c>
      <c r="H4059" s="1" t="str">
        <f>VLOOKUP(F4059,Countries!$A$1:$B$161,2,0)</f>
        <v>United States of America</v>
      </c>
    </row>
    <row r="4060" spans="1:8" x14ac:dyDescent="0.3">
      <c r="A4060" s="3">
        <v>46247.751643518517</v>
      </c>
      <c r="B4060" s="1">
        <v>7.58</v>
      </c>
      <c r="C4060" s="1">
        <v>6.57</v>
      </c>
      <c r="D4060" s="1">
        <v>0.48</v>
      </c>
      <c r="E4060" s="1" t="s">
        <v>116</v>
      </c>
      <c r="F4060" s="1" t="s">
        <v>116</v>
      </c>
      <c r="G4060" s="1" t="s">
        <v>116</v>
      </c>
      <c r="H4060" s="1" t="str">
        <f>VLOOKUP(F4060,Countries!$A$1:$B$161,2,0)</f>
        <v>Spain</v>
      </c>
    </row>
    <row r="4061" spans="1:8" x14ac:dyDescent="0.3">
      <c r="A4061" s="3">
        <v>46247.745555555557</v>
      </c>
      <c r="B4061" s="1">
        <v>3.28</v>
      </c>
      <c r="C4061" s="1">
        <v>2.84</v>
      </c>
      <c r="D4061" s="1">
        <v>0.4</v>
      </c>
      <c r="E4061" s="1" t="s">
        <v>152</v>
      </c>
      <c r="F4061" s="1" t="s">
        <v>152</v>
      </c>
      <c r="G4061" s="1" t="s">
        <v>152</v>
      </c>
      <c r="H4061" s="1" t="str">
        <f>VLOOKUP(F4061,Countries!$A$1:$B$161,2,0)</f>
        <v>Singapore</v>
      </c>
    </row>
    <row r="4062" spans="1:8" x14ac:dyDescent="0.3">
      <c r="A4062" s="3">
        <v>46247.742407407408</v>
      </c>
      <c r="B4062" s="1">
        <v>19.98</v>
      </c>
      <c r="C4062" s="1">
        <v>17.329999999999998</v>
      </c>
      <c r="D4062" s="1">
        <v>0.86</v>
      </c>
      <c r="E4062" s="1" t="s">
        <v>123</v>
      </c>
      <c r="F4062" s="1" t="s">
        <v>123</v>
      </c>
      <c r="G4062" s="1" t="s">
        <v>123</v>
      </c>
      <c r="H4062" s="1" t="str">
        <f>VLOOKUP(F4062,Countries!$A$1:$B$161,2,0)</f>
        <v>France</v>
      </c>
    </row>
    <row r="4063" spans="1:8" x14ac:dyDescent="0.3">
      <c r="A4063" s="3">
        <v>46247.734768518523</v>
      </c>
      <c r="B4063" s="1">
        <v>7.98</v>
      </c>
      <c r="C4063" s="1">
        <v>6.92</v>
      </c>
      <c r="D4063" s="1">
        <v>0.49</v>
      </c>
      <c r="E4063" s="1" t="s">
        <v>116</v>
      </c>
      <c r="F4063" s="1" t="s">
        <v>133</v>
      </c>
      <c r="G4063" s="1" t="s">
        <v>133</v>
      </c>
      <c r="H4063" s="1" t="str">
        <f>VLOOKUP(F4063,Countries!$A$1:$B$161,2,0)</f>
        <v>Denmark</v>
      </c>
    </row>
    <row r="4064" spans="1:8" x14ac:dyDescent="0.3">
      <c r="A4064" s="3">
        <v>46247.733287037037</v>
      </c>
      <c r="B4064" s="1">
        <v>6.65</v>
      </c>
      <c r="C4064" s="1">
        <v>5.77</v>
      </c>
      <c r="D4064" s="1">
        <v>0.56000000000000005</v>
      </c>
      <c r="E4064" s="1" t="s">
        <v>121</v>
      </c>
      <c r="F4064" s="1" t="s">
        <v>121</v>
      </c>
      <c r="G4064" s="1" t="s">
        <v>121</v>
      </c>
      <c r="H4064" s="1" t="str">
        <f>VLOOKUP(F4064,Countries!$A$1:$B$161,2,0)</f>
        <v>Japan</v>
      </c>
    </row>
    <row r="4065" spans="1:8" x14ac:dyDescent="0.3">
      <c r="A4065" s="3">
        <v>46247.728634259263</v>
      </c>
      <c r="B4065" s="1">
        <v>7.48</v>
      </c>
      <c r="C4065" s="1">
        <v>6.49</v>
      </c>
      <c r="D4065" s="1">
        <v>0.48</v>
      </c>
      <c r="E4065" s="1" t="s">
        <v>123</v>
      </c>
      <c r="F4065" s="1" t="s">
        <v>123</v>
      </c>
      <c r="G4065" s="1" t="s">
        <v>123</v>
      </c>
      <c r="H4065" s="1" t="str">
        <f>VLOOKUP(F4065,Countries!$A$1:$B$161,2,0)</f>
        <v>France</v>
      </c>
    </row>
    <row r="4066" spans="1:8" x14ac:dyDescent="0.3">
      <c r="A4066" s="3">
        <v>46247.720775462964</v>
      </c>
      <c r="B4066" s="1">
        <v>14.62</v>
      </c>
      <c r="C4066" s="1">
        <v>12.68</v>
      </c>
      <c r="D4066" s="1">
        <v>0.91</v>
      </c>
      <c r="E4066" s="1" t="s">
        <v>132</v>
      </c>
      <c r="F4066" s="1" t="s">
        <v>132</v>
      </c>
      <c r="G4066" s="1" t="s">
        <v>132</v>
      </c>
      <c r="H4066" s="1" t="str">
        <f>VLOOKUP(F4066,Countries!$A$1:$B$161,2,0)</f>
        <v>Canada</v>
      </c>
    </row>
    <row r="4067" spans="1:8" x14ac:dyDescent="0.3">
      <c r="A4067" s="3">
        <v>46247.716504629629</v>
      </c>
      <c r="B4067" s="1">
        <v>6.37</v>
      </c>
      <c r="C4067" s="1">
        <v>5.52</v>
      </c>
      <c r="D4067" s="1">
        <v>0.54</v>
      </c>
      <c r="E4067" s="1" t="s">
        <v>113</v>
      </c>
      <c r="F4067" s="1" t="s">
        <v>113</v>
      </c>
      <c r="G4067" s="1" t="s">
        <v>113</v>
      </c>
      <c r="H4067" s="1" t="str">
        <f>VLOOKUP(F4067,Countries!$A$1:$B$161,2,0)</f>
        <v>United States of America</v>
      </c>
    </row>
    <row r="4068" spans="1:8" x14ac:dyDescent="0.3">
      <c r="A4068" s="3">
        <v>46247.709236111114</v>
      </c>
      <c r="B4068" s="1">
        <v>6.37</v>
      </c>
      <c r="C4068" s="1">
        <v>5.52</v>
      </c>
      <c r="D4068" s="1">
        <v>0.54</v>
      </c>
      <c r="E4068" s="1" t="s">
        <v>113</v>
      </c>
      <c r="F4068" s="1" t="s">
        <v>113</v>
      </c>
      <c r="G4068" s="1" t="s">
        <v>113</v>
      </c>
      <c r="H4068" s="1" t="str">
        <f>VLOOKUP(F4068,Countries!$A$1:$B$161,2,0)</f>
        <v>United States of America</v>
      </c>
    </row>
    <row r="4069" spans="1:8" x14ac:dyDescent="0.3">
      <c r="A4069" s="3">
        <v>46247.706932870373</v>
      </c>
      <c r="B4069" s="1">
        <v>6.37</v>
      </c>
      <c r="C4069" s="1">
        <v>5.52</v>
      </c>
      <c r="D4069" s="1">
        <v>0.54</v>
      </c>
      <c r="E4069" s="1" t="s">
        <v>113</v>
      </c>
      <c r="F4069" s="1" t="s">
        <v>113</v>
      </c>
      <c r="G4069" s="1" t="s">
        <v>113</v>
      </c>
      <c r="H4069" s="1" t="str">
        <f>VLOOKUP(F4069,Countries!$A$1:$B$161,2,0)</f>
        <v>United States of America</v>
      </c>
    </row>
    <row r="4070" spans="1:8" x14ac:dyDescent="0.3">
      <c r="A4070" s="3">
        <v>46247.702766203707</v>
      </c>
      <c r="B4070" s="1">
        <v>6.37</v>
      </c>
      <c r="C4070" s="1">
        <v>5.52</v>
      </c>
      <c r="D4070" s="1">
        <v>0.54</v>
      </c>
      <c r="E4070" s="1" t="s">
        <v>113</v>
      </c>
      <c r="F4070" s="1" t="s">
        <v>113</v>
      </c>
      <c r="G4070" s="1" t="s">
        <v>113</v>
      </c>
      <c r="H4070" s="1" t="str">
        <f>VLOOKUP(F4070,Countries!$A$1:$B$161,2,0)</f>
        <v>United States of America</v>
      </c>
    </row>
    <row r="4071" spans="1:8" x14ac:dyDescent="0.3">
      <c r="A4071" s="3">
        <v>46247.693935185183</v>
      </c>
      <c r="B4071" s="1">
        <v>6.37</v>
      </c>
      <c r="C4071" s="1">
        <v>5.52</v>
      </c>
      <c r="D4071" s="1">
        <v>0.54</v>
      </c>
      <c r="E4071" s="1" t="s">
        <v>113</v>
      </c>
      <c r="F4071" s="1" t="s">
        <v>113</v>
      </c>
      <c r="G4071" s="1" t="s">
        <v>113</v>
      </c>
      <c r="H4071" s="1" t="str">
        <f>VLOOKUP(F4071,Countries!$A$1:$B$161,2,0)</f>
        <v>United States of America</v>
      </c>
    </row>
    <row r="4072" spans="1:8" x14ac:dyDescent="0.3">
      <c r="A4072" s="3">
        <v>46247.68822916667</v>
      </c>
      <c r="B4072" s="1">
        <v>3.99</v>
      </c>
      <c r="C4072" s="1">
        <v>3.46</v>
      </c>
      <c r="D4072" s="1">
        <v>0.43</v>
      </c>
      <c r="E4072" s="1" t="s">
        <v>165</v>
      </c>
      <c r="F4072" s="1" t="s">
        <v>165</v>
      </c>
      <c r="G4072" s="1" t="s">
        <v>165</v>
      </c>
      <c r="H4072" s="1" t="str">
        <f>VLOOKUP(F4072,Countries!$A$1:$B$161,2,0)</f>
        <v>Israel</v>
      </c>
    </row>
    <row r="4073" spans="1:8" x14ac:dyDescent="0.3">
      <c r="A4073" s="3">
        <v>46247.684895833343</v>
      </c>
      <c r="B4073" s="1">
        <v>3.88</v>
      </c>
      <c r="C4073" s="1">
        <v>3.36</v>
      </c>
      <c r="D4073" s="1">
        <v>0.37</v>
      </c>
      <c r="E4073" s="1" t="s">
        <v>180</v>
      </c>
      <c r="F4073" s="1" t="s">
        <v>180</v>
      </c>
      <c r="G4073" s="1" t="s">
        <v>180</v>
      </c>
      <c r="H4073" s="1" t="str">
        <f>VLOOKUP(F4073,Countries!$A$1:$B$161,2,0)</f>
        <v>Portugal</v>
      </c>
    </row>
    <row r="4074" spans="1:8" x14ac:dyDescent="0.3">
      <c r="A4074" s="3">
        <v>46247.683807870373</v>
      </c>
      <c r="B4074" s="1">
        <v>14.62</v>
      </c>
      <c r="C4074" s="1">
        <v>12.68</v>
      </c>
      <c r="D4074" s="1">
        <v>0.91</v>
      </c>
      <c r="E4074" s="1" t="s">
        <v>132</v>
      </c>
      <c r="F4074" s="1" t="s">
        <v>132</v>
      </c>
      <c r="G4074" s="1" t="s">
        <v>132</v>
      </c>
      <c r="H4074" s="1" t="str">
        <f>VLOOKUP(F4074,Countries!$A$1:$B$161,2,0)</f>
        <v>Canada</v>
      </c>
    </row>
    <row r="4075" spans="1:8" x14ac:dyDescent="0.3">
      <c r="A4075" s="3">
        <v>46247.672453703701</v>
      </c>
      <c r="B4075" s="1">
        <v>10.99</v>
      </c>
      <c r="C4075" s="1">
        <v>9.5299999999999994</v>
      </c>
      <c r="D4075" s="1">
        <v>0.75</v>
      </c>
      <c r="E4075" s="1" t="s">
        <v>113</v>
      </c>
      <c r="F4075" s="1" t="s">
        <v>113</v>
      </c>
      <c r="G4075" s="1" t="s">
        <v>113</v>
      </c>
      <c r="H4075" s="1" t="str">
        <f>VLOOKUP(F4075,Countries!$A$1:$B$161,2,0)</f>
        <v>United States of America</v>
      </c>
    </row>
    <row r="4076" spans="1:8" x14ac:dyDescent="0.3">
      <c r="A4076" s="3">
        <v>46247.672222222223</v>
      </c>
      <c r="B4076" s="1">
        <v>3.18</v>
      </c>
      <c r="C4076" s="1">
        <v>2.76</v>
      </c>
      <c r="D4076" s="1">
        <v>0.4</v>
      </c>
      <c r="E4076" s="1" t="s">
        <v>113</v>
      </c>
      <c r="F4076" s="1" t="s">
        <v>113</v>
      </c>
      <c r="G4076" s="1" t="s">
        <v>113</v>
      </c>
      <c r="H4076" s="1" t="str">
        <f>VLOOKUP(F4076,Countries!$A$1:$B$161,2,0)</f>
        <v>United States of America</v>
      </c>
    </row>
    <row r="4077" spans="1:8" x14ac:dyDescent="0.3">
      <c r="A4077" s="3">
        <v>46247.670069444437</v>
      </c>
      <c r="B4077" s="1">
        <v>6.3</v>
      </c>
      <c r="C4077" s="1">
        <v>5.46</v>
      </c>
      <c r="D4077" s="1">
        <v>0.54</v>
      </c>
      <c r="E4077" s="1" t="s">
        <v>132</v>
      </c>
      <c r="F4077" s="1" t="s">
        <v>132</v>
      </c>
      <c r="G4077" s="1" t="s">
        <v>132</v>
      </c>
      <c r="H4077" s="1" t="str">
        <f>VLOOKUP(F4077,Countries!$A$1:$B$161,2,0)</f>
        <v>Canada</v>
      </c>
    </row>
    <row r="4078" spans="1:8" x14ac:dyDescent="0.3">
      <c r="A4078" s="3">
        <v>46247.667222222219</v>
      </c>
      <c r="B4078" s="1">
        <v>6.37</v>
      </c>
      <c r="C4078" s="1">
        <v>5.52</v>
      </c>
      <c r="D4078" s="1">
        <v>0.44</v>
      </c>
      <c r="E4078" s="1" t="s">
        <v>116</v>
      </c>
      <c r="F4078" s="1" t="s">
        <v>116</v>
      </c>
      <c r="G4078" s="1" t="s">
        <v>116</v>
      </c>
      <c r="H4078" s="1" t="str">
        <f>VLOOKUP(F4078,Countries!$A$1:$B$161,2,0)</f>
        <v>Spain</v>
      </c>
    </row>
    <row r="4079" spans="1:8" x14ac:dyDescent="0.3">
      <c r="A4079" s="3">
        <v>46247.664386574077</v>
      </c>
      <c r="B4079" s="1">
        <v>5.3</v>
      </c>
      <c r="C4079" s="1">
        <v>4.59</v>
      </c>
      <c r="D4079" s="1">
        <v>0.49</v>
      </c>
      <c r="E4079" s="1" t="s">
        <v>113</v>
      </c>
      <c r="F4079" s="1" t="s">
        <v>113</v>
      </c>
      <c r="G4079" s="1" t="s">
        <v>113</v>
      </c>
      <c r="H4079" s="1" t="str">
        <f>VLOOKUP(F4079,Countries!$A$1:$B$161,2,0)</f>
        <v>United States of America</v>
      </c>
    </row>
    <row r="4080" spans="1:8" x14ac:dyDescent="0.3">
      <c r="A4080" s="3">
        <v>46247.662303240737</v>
      </c>
      <c r="B4080" s="1">
        <v>58.41</v>
      </c>
      <c r="C4080" s="1">
        <v>50.6</v>
      </c>
      <c r="D4080" s="1">
        <v>2.9</v>
      </c>
      <c r="E4080" s="1" t="s">
        <v>132</v>
      </c>
      <c r="F4080" s="1" t="s">
        <v>132</v>
      </c>
      <c r="G4080" s="1" t="s">
        <v>132</v>
      </c>
      <c r="H4080" s="1" t="str">
        <f>VLOOKUP(F4080,Countries!$A$1:$B$161,2,0)</f>
        <v>Canada</v>
      </c>
    </row>
    <row r="4081" spans="1:8" x14ac:dyDescent="0.3">
      <c r="A4081" s="3">
        <v>46247.655266203707</v>
      </c>
      <c r="B4081" s="1">
        <v>6.37</v>
      </c>
      <c r="C4081" s="1">
        <v>5.52</v>
      </c>
      <c r="D4081" s="1">
        <v>0.54</v>
      </c>
      <c r="E4081" s="1" t="s">
        <v>113</v>
      </c>
      <c r="F4081" s="1" t="s">
        <v>113</v>
      </c>
      <c r="G4081" s="1" t="s">
        <v>113</v>
      </c>
      <c r="H4081" s="1" t="str">
        <f>VLOOKUP(F4081,Countries!$A$1:$B$161,2,0)</f>
        <v>United States of America</v>
      </c>
    </row>
    <row r="4082" spans="1:8" x14ac:dyDescent="0.3">
      <c r="A4082" s="3">
        <v>46247.655219907407</v>
      </c>
      <c r="B4082" s="1">
        <v>3.39</v>
      </c>
      <c r="C4082" s="1">
        <v>2.94</v>
      </c>
      <c r="D4082" s="1">
        <v>0.41</v>
      </c>
      <c r="E4082" s="1" t="s">
        <v>114</v>
      </c>
      <c r="F4082" s="1" t="s">
        <v>114</v>
      </c>
      <c r="G4082" s="1" t="s">
        <v>114</v>
      </c>
      <c r="H4082" s="1" t="str">
        <f>VLOOKUP(F4082,Countries!$A$1:$B$161,2,0)</f>
        <v>Philippines</v>
      </c>
    </row>
    <row r="4083" spans="1:8" x14ac:dyDescent="0.3">
      <c r="A4083" s="3">
        <v>46247.651701388888</v>
      </c>
      <c r="B4083" s="1">
        <v>17.36</v>
      </c>
      <c r="C4083" s="1">
        <v>15.04</v>
      </c>
      <c r="D4083" s="1">
        <v>0.93</v>
      </c>
      <c r="E4083" s="1" t="s">
        <v>119</v>
      </c>
      <c r="F4083" s="1" t="s">
        <v>119</v>
      </c>
      <c r="G4083" s="1" t="s">
        <v>119</v>
      </c>
      <c r="H4083" s="1" t="str">
        <f>VLOOKUP(F4083,Countries!$A$1:$B$161,2,0)</f>
        <v>Great Britain (United Kingdom)</v>
      </c>
    </row>
    <row r="4084" spans="1:8" x14ac:dyDescent="0.3">
      <c r="A4084" s="3">
        <v>46247.647233796299</v>
      </c>
      <c r="B4084" s="1">
        <v>17.739999999999998</v>
      </c>
      <c r="C4084" s="1">
        <v>15.37</v>
      </c>
      <c r="D4084" s="1">
        <v>1.06</v>
      </c>
      <c r="E4084" s="1" t="s">
        <v>113</v>
      </c>
      <c r="F4084" s="1" t="s">
        <v>113</v>
      </c>
      <c r="G4084" s="1" t="s">
        <v>113</v>
      </c>
      <c r="H4084" s="1" t="str">
        <f>VLOOKUP(F4084,Countries!$A$1:$B$161,2,0)</f>
        <v>United States of America</v>
      </c>
    </row>
    <row r="4085" spans="1:8" x14ac:dyDescent="0.3">
      <c r="A4085" s="3">
        <v>46247.645486111112</v>
      </c>
      <c r="B4085" s="1">
        <v>17.36</v>
      </c>
      <c r="C4085" s="1">
        <v>15.04</v>
      </c>
      <c r="D4085" s="1">
        <v>0.93</v>
      </c>
      <c r="E4085" s="1" t="s">
        <v>119</v>
      </c>
      <c r="F4085" s="1" t="s">
        <v>119</v>
      </c>
      <c r="G4085" s="1" t="s">
        <v>119</v>
      </c>
      <c r="H4085" s="1" t="str">
        <f>VLOOKUP(F4085,Countries!$A$1:$B$161,2,0)</f>
        <v>Great Britain (United Kingdom)</v>
      </c>
    </row>
    <row r="4086" spans="1:8" x14ac:dyDescent="0.3">
      <c r="A4086" s="3">
        <v>46247.64434027778</v>
      </c>
      <c r="B4086" s="1">
        <v>6.37</v>
      </c>
      <c r="C4086" s="1">
        <v>5.52</v>
      </c>
      <c r="D4086" s="1">
        <v>0.54</v>
      </c>
      <c r="E4086" s="1" t="s">
        <v>113</v>
      </c>
      <c r="F4086" s="1" t="s">
        <v>113</v>
      </c>
      <c r="G4086" s="1" t="s">
        <v>113</v>
      </c>
      <c r="H4086" s="1" t="str">
        <f>VLOOKUP(F4086,Countries!$A$1:$B$161,2,0)</f>
        <v>United States of America</v>
      </c>
    </row>
    <row r="4087" spans="1:8" x14ac:dyDescent="0.3">
      <c r="A4087" s="3">
        <v>46247.64402777778</v>
      </c>
      <c r="B4087" s="1">
        <v>10.62</v>
      </c>
      <c r="C4087" s="1">
        <v>9.1999999999999993</v>
      </c>
      <c r="D4087" s="1">
        <v>0.73</v>
      </c>
      <c r="E4087" s="1" t="s">
        <v>113</v>
      </c>
      <c r="F4087" s="1" t="s">
        <v>113</v>
      </c>
      <c r="G4087" s="1" t="s">
        <v>113</v>
      </c>
      <c r="H4087" s="1" t="str">
        <f>VLOOKUP(F4087,Countries!$A$1:$B$161,2,0)</f>
        <v>United States of America</v>
      </c>
    </row>
    <row r="4088" spans="1:8" x14ac:dyDescent="0.3">
      <c r="A4088" s="3">
        <v>46247.643912037027</v>
      </c>
      <c r="B4088" s="1">
        <v>10.62</v>
      </c>
      <c r="C4088" s="1">
        <v>9.1999999999999993</v>
      </c>
      <c r="D4088" s="1">
        <v>0.73</v>
      </c>
      <c r="E4088" s="1" t="s">
        <v>113</v>
      </c>
      <c r="F4088" s="1" t="s">
        <v>113</v>
      </c>
      <c r="G4088" s="1" t="s">
        <v>113</v>
      </c>
      <c r="H4088" s="1" t="str">
        <f>VLOOKUP(F4088,Countries!$A$1:$B$161,2,0)</f>
        <v>United States of America</v>
      </c>
    </row>
    <row r="4089" spans="1:8" x14ac:dyDescent="0.3">
      <c r="A4089" s="3">
        <v>46247.639143518521</v>
      </c>
      <c r="B4089" s="1">
        <v>7.77</v>
      </c>
      <c r="C4089" s="1">
        <v>6.73</v>
      </c>
      <c r="D4089" s="1">
        <v>0.48</v>
      </c>
      <c r="E4089" s="1" t="s">
        <v>137</v>
      </c>
      <c r="F4089" s="1" t="s">
        <v>137</v>
      </c>
      <c r="G4089" s="1" t="s">
        <v>137</v>
      </c>
      <c r="H4089" s="1" t="str">
        <f>VLOOKUP(F4089,Countries!$A$1:$B$161,2,0)</f>
        <v>Poland</v>
      </c>
    </row>
    <row r="4090" spans="1:8" x14ac:dyDescent="0.3">
      <c r="A4090" s="3">
        <v>46247.638101851851</v>
      </c>
      <c r="B4090" s="1">
        <v>14.77</v>
      </c>
      <c r="C4090" s="1">
        <v>12.79</v>
      </c>
      <c r="D4090" s="1">
        <v>0.93</v>
      </c>
      <c r="E4090" s="1" t="s">
        <v>113</v>
      </c>
      <c r="F4090" s="1" t="s">
        <v>113</v>
      </c>
      <c r="G4090" s="1" t="s">
        <v>113</v>
      </c>
      <c r="H4090" s="1" t="str">
        <f>VLOOKUP(F4090,Countries!$A$1:$B$161,2,0)</f>
        <v>United States of America</v>
      </c>
    </row>
    <row r="4091" spans="1:8" x14ac:dyDescent="0.3">
      <c r="A4091" s="3">
        <v>46247.636840277781</v>
      </c>
      <c r="B4091" s="1">
        <v>17.36</v>
      </c>
      <c r="C4091" s="1">
        <v>15.04</v>
      </c>
      <c r="D4091" s="1">
        <v>0.93</v>
      </c>
      <c r="E4091" s="1" t="s">
        <v>119</v>
      </c>
      <c r="F4091" s="1" t="s">
        <v>119</v>
      </c>
      <c r="G4091" s="1" t="s">
        <v>119</v>
      </c>
      <c r="H4091" s="1" t="str">
        <f>VLOOKUP(F4091,Countries!$A$1:$B$161,2,0)</f>
        <v>Great Britain (United Kingdom)</v>
      </c>
    </row>
    <row r="4092" spans="1:8" x14ac:dyDescent="0.3">
      <c r="A4092" s="3">
        <v>46247.631527777783</v>
      </c>
      <c r="B4092" s="1">
        <v>12.48</v>
      </c>
      <c r="C4092" s="1">
        <v>10.81</v>
      </c>
      <c r="D4092" s="1">
        <v>0.74</v>
      </c>
      <c r="E4092" s="1" t="s">
        <v>119</v>
      </c>
      <c r="F4092" s="1" t="s">
        <v>119</v>
      </c>
      <c r="G4092" s="1" t="s">
        <v>119</v>
      </c>
      <c r="H4092" s="1" t="str">
        <f>VLOOKUP(F4092,Countries!$A$1:$B$161,2,0)</f>
        <v>Great Britain (United Kingdom)</v>
      </c>
    </row>
    <row r="4093" spans="1:8" x14ac:dyDescent="0.3">
      <c r="A4093" s="3">
        <v>46247.626539351862</v>
      </c>
      <c r="B4093" s="1">
        <v>2.11</v>
      </c>
      <c r="C4093" s="1">
        <v>1.83</v>
      </c>
      <c r="D4093" s="1">
        <v>0.35</v>
      </c>
      <c r="E4093" s="1" t="s">
        <v>113</v>
      </c>
      <c r="F4093" s="1" t="s">
        <v>113</v>
      </c>
      <c r="G4093" s="1" t="s">
        <v>113</v>
      </c>
      <c r="H4093" s="1" t="str">
        <f>VLOOKUP(F4093,Countries!$A$1:$B$161,2,0)</f>
        <v>United States of America</v>
      </c>
    </row>
    <row r="4094" spans="1:8" x14ac:dyDescent="0.3">
      <c r="A4094" s="3">
        <v>46247.62300925926</v>
      </c>
      <c r="B4094" s="1">
        <v>18.03</v>
      </c>
      <c r="C4094" s="1">
        <v>15.63</v>
      </c>
      <c r="D4094" s="1">
        <v>0.79</v>
      </c>
      <c r="E4094" s="1" t="s">
        <v>137</v>
      </c>
      <c r="F4094" s="1" t="s">
        <v>137</v>
      </c>
      <c r="G4094" s="1" t="s">
        <v>137</v>
      </c>
      <c r="H4094" s="1" t="str">
        <f>VLOOKUP(F4094,Countries!$A$1:$B$161,2,0)</f>
        <v>Poland</v>
      </c>
    </row>
    <row r="4095" spans="1:8" x14ac:dyDescent="0.3">
      <c r="A4095" s="3">
        <v>46247.622071759259</v>
      </c>
      <c r="B4095" s="1">
        <v>6.37</v>
      </c>
      <c r="C4095" s="1">
        <v>5.52</v>
      </c>
      <c r="D4095" s="1">
        <v>0.54</v>
      </c>
      <c r="E4095" s="1" t="s">
        <v>113</v>
      </c>
      <c r="F4095" s="1" t="s">
        <v>113</v>
      </c>
      <c r="G4095" s="1" t="s">
        <v>113</v>
      </c>
      <c r="H4095" s="1" t="str">
        <f>VLOOKUP(F4095,Countries!$A$1:$B$161,2,0)</f>
        <v>United States of America</v>
      </c>
    </row>
    <row r="4096" spans="1:8" x14ac:dyDescent="0.3">
      <c r="A4096" s="3">
        <v>46247.61959490741</v>
      </c>
      <c r="B4096" s="1">
        <v>4.99</v>
      </c>
      <c r="C4096" s="1">
        <v>4.33</v>
      </c>
      <c r="D4096" s="1">
        <v>0.48</v>
      </c>
      <c r="E4096" s="1" t="s">
        <v>202</v>
      </c>
      <c r="F4096" s="1" t="s">
        <v>202</v>
      </c>
      <c r="G4096" s="1" t="s">
        <v>202</v>
      </c>
      <c r="H4096" s="1" t="str">
        <f>VLOOKUP(F4096,Countries!$A$1:$B$161,2,0)</f>
        <v>Lebanon</v>
      </c>
    </row>
    <row r="4097" spans="1:8" x14ac:dyDescent="0.3">
      <c r="A4097" s="3">
        <v>46247.614803240736</v>
      </c>
      <c r="B4097" s="1">
        <v>7.48</v>
      </c>
      <c r="C4097" s="1">
        <v>6.48</v>
      </c>
      <c r="D4097" s="1">
        <v>0.54</v>
      </c>
      <c r="E4097" s="1" t="s">
        <v>119</v>
      </c>
      <c r="F4097" s="1" t="s">
        <v>119</v>
      </c>
      <c r="G4097" s="1" t="s">
        <v>119</v>
      </c>
      <c r="H4097" s="1" t="str">
        <f>VLOOKUP(F4097,Countries!$A$1:$B$161,2,0)</f>
        <v>Great Britain (United Kingdom)</v>
      </c>
    </row>
    <row r="4098" spans="1:8" x14ac:dyDescent="0.3">
      <c r="A4098" s="3">
        <v>46247.606863425928</v>
      </c>
      <c r="B4098" s="1">
        <v>3.99</v>
      </c>
      <c r="C4098" s="1">
        <v>3.46</v>
      </c>
      <c r="D4098" s="1">
        <v>0.43</v>
      </c>
      <c r="E4098" s="1" t="s">
        <v>113</v>
      </c>
      <c r="F4098" s="1" t="s">
        <v>113</v>
      </c>
      <c r="G4098" s="1" t="s">
        <v>113</v>
      </c>
      <c r="H4098" s="1" t="str">
        <f>VLOOKUP(F4098,Countries!$A$1:$B$161,2,0)</f>
        <v>United States of America</v>
      </c>
    </row>
    <row r="4099" spans="1:8" x14ac:dyDescent="0.3">
      <c r="A4099" s="3">
        <v>46247.600219907406</v>
      </c>
      <c r="B4099" s="1">
        <v>7.77</v>
      </c>
      <c r="C4099" s="1">
        <v>6.74</v>
      </c>
      <c r="D4099" s="1">
        <v>0.48</v>
      </c>
      <c r="E4099" s="1" t="s">
        <v>137</v>
      </c>
      <c r="F4099" s="1" t="s">
        <v>137</v>
      </c>
      <c r="G4099" s="1" t="s">
        <v>137</v>
      </c>
      <c r="H4099" s="1" t="str">
        <f>VLOOKUP(F4099,Countries!$A$1:$B$161,2,0)</f>
        <v>Poland</v>
      </c>
    </row>
    <row r="4100" spans="1:8" x14ac:dyDescent="0.3">
      <c r="A4100" s="3">
        <v>46247.585636574076</v>
      </c>
      <c r="B4100" s="1">
        <v>6.3</v>
      </c>
      <c r="C4100" s="1">
        <v>5.46</v>
      </c>
      <c r="D4100" s="1">
        <v>0.54</v>
      </c>
      <c r="E4100" s="1" t="s">
        <v>132</v>
      </c>
      <c r="F4100" s="1" t="s">
        <v>132</v>
      </c>
      <c r="G4100" s="1" t="s">
        <v>132</v>
      </c>
      <c r="H4100" s="1" t="str">
        <f>VLOOKUP(F4100,Countries!$A$1:$B$161,2,0)</f>
        <v>Canada</v>
      </c>
    </row>
    <row r="4101" spans="1:8" x14ac:dyDescent="0.3">
      <c r="A4101" s="3">
        <v>46247.572870370372</v>
      </c>
      <c r="B4101" s="1">
        <v>2.99</v>
      </c>
      <c r="C4101" s="1">
        <v>2.59</v>
      </c>
      <c r="D4101" s="1">
        <v>0.38</v>
      </c>
      <c r="E4101" s="1" t="s">
        <v>130</v>
      </c>
      <c r="F4101" s="1" t="s">
        <v>130</v>
      </c>
      <c r="G4101" s="1" t="s">
        <v>130</v>
      </c>
      <c r="H4101" s="1" t="str">
        <f>VLOOKUP(F4101,Countries!$A$1:$B$161,2,0)</f>
        <v>Australia</v>
      </c>
    </row>
    <row r="4102" spans="1:8" x14ac:dyDescent="0.3">
      <c r="A4102" s="3">
        <v>46247.561585648153</v>
      </c>
      <c r="B4102" s="1">
        <v>2.21</v>
      </c>
      <c r="C4102" s="1">
        <v>1.91</v>
      </c>
      <c r="D4102" s="1">
        <v>0.35</v>
      </c>
      <c r="E4102" s="1" t="s">
        <v>130</v>
      </c>
      <c r="F4102" s="1" t="s">
        <v>130</v>
      </c>
      <c r="G4102" s="1" t="s">
        <v>130</v>
      </c>
      <c r="H4102" s="1" t="str">
        <f>VLOOKUP(F4102,Countries!$A$1:$B$161,2,0)</f>
        <v>Australia</v>
      </c>
    </row>
    <row r="4103" spans="1:8" x14ac:dyDescent="0.3">
      <c r="A4103" s="3">
        <v>46247.554918981477</v>
      </c>
      <c r="B4103" s="1">
        <v>42.54</v>
      </c>
      <c r="C4103" s="1">
        <v>36.86</v>
      </c>
      <c r="D4103" s="1">
        <v>2.19</v>
      </c>
      <c r="E4103" s="1" t="s">
        <v>113</v>
      </c>
      <c r="F4103" s="1" t="s">
        <v>113</v>
      </c>
      <c r="G4103" s="1" t="s">
        <v>113</v>
      </c>
      <c r="H4103" s="1" t="str">
        <f>VLOOKUP(F4103,Countries!$A$1:$B$161,2,0)</f>
        <v>United States of America</v>
      </c>
    </row>
    <row r="4104" spans="1:8" x14ac:dyDescent="0.3">
      <c r="A4104" s="3">
        <v>46247.55097222222</v>
      </c>
      <c r="B4104" s="1">
        <v>14.62</v>
      </c>
      <c r="C4104" s="1">
        <v>12.67</v>
      </c>
      <c r="D4104" s="1">
        <v>0.91</v>
      </c>
      <c r="E4104" s="1" t="s">
        <v>132</v>
      </c>
      <c r="F4104" s="1" t="s">
        <v>132</v>
      </c>
      <c r="G4104" s="1" t="s">
        <v>132</v>
      </c>
      <c r="H4104" s="1" t="str">
        <f>VLOOKUP(F4104,Countries!$A$1:$B$161,2,0)</f>
        <v>Canada</v>
      </c>
    </row>
    <row r="4105" spans="1:8" x14ac:dyDescent="0.3">
      <c r="A4105" s="3">
        <v>46247.542905092603</v>
      </c>
      <c r="B4105" s="1">
        <v>35.64</v>
      </c>
      <c r="C4105" s="1">
        <v>30.9</v>
      </c>
      <c r="D4105" s="1">
        <v>1.33</v>
      </c>
      <c r="E4105" s="1" t="s">
        <v>124</v>
      </c>
      <c r="F4105" s="1" t="s">
        <v>124</v>
      </c>
      <c r="G4105" s="1" t="s">
        <v>124</v>
      </c>
      <c r="H4105" s="1" t="str">
        <f>VLOOKUP(F4105,Countries!$A$1:$B$161,2,0)</f>
        <v>Italy</v>
      </c>
    </row>
    <row r="4106" spans="1:8" x14ac:dyDescent="0.3">
      <c r="A4106" s="3">
        <v>46247.538344907407</v>
      </c>
      <c r="B4106" s="1">
        <v>7.77</v>
      </c>
      <c r="C4106" s="1">
        <v>6.74</v>
      </c>
      <c r="D4106" s="1">
        <v>0.48</v>
      </c>
      <c r="E4106" s="1" t="s">
        <v>137</v>
      </c>
      <c r="F4106" s="1" t="s">
        <v>137</v>
      </c>
      <c r="G4106" s="1" t="s">
        <v>137</v>
      </c>
      <c r="H4106" s="1" t="str">
        <f>VLOOKUP(F4106,Countries!$A$1:$B$161,2,0)</f>
        <v>Poland</v>
      </c>
    </row>
    <row r="4107" spans="1:8" x14ac:dyDescent="0.3">
      <c r="A4107" s="3">
        <v>46247.537673611107</v>
      </c>
      <c r="B4107" s="1">
        <v>2.99</v>
      </c>
      <c r="C4107" s="1">
        <v>2.59</v>
      </c>
      <c r="D4107" s="1">
        <v>0.38</v>
      </c>
      <c r="E4107" s="1" t="s">
        <v>113</v>
      </c>
      <c r="F4107" s="1" t="s">
        <v>113</v>
      </c>
      <c r="G4107" s="1" t="s">
        <v>113</v>
      </c>
      <c r="H4107" s="1" t="str">
        <f>VLOOKUP(F4107,Countries!$A$1:$B$161,2,0)</f>
        <v>United States of America</v>
      </c>
    </row>
    <row r="4108" spans="1:8" x14ac:dyDescent="0.3">
      <c r="A4108" s="3">
        <v>46247.523842592593</v>
      </c>
      <c r="B4108" s="1">
        <v>6.37</v>
      </c>
      <c r="C4108" s="1">
        <v>5.52</v>
      </c>
      <c r="D4108" s="1">
        <v>0.54</v>
      </c>
      <c r="E4108" s="1" t="s">
        <v>113</v>
      </c>
      <c r="F4108" s="1" t="s">
        <v>113</v>
      </c>
      <c r="G4108" s="1" t="s">
        <v>113</v>
      </c>
      <c r="H4108" s="1" t="str">
        <f>VLOOKUP(F4108,Countries!$A$1:$B$161,2,0)</f>
        <v>United States of America</v>
      </c>
    </row>
    <row r="4109" spans="1:8" x14ac:dyDescent="0.3">
      <c r="A4109" s="3">
        <v>46247.516435185193</v>
      </c>
      <c r="B4109" s="1">
        <v>101.25</v>
      </c>
      <c r="C4109" s="1">
        <v>87.78</v>
      </c>
      <c r="D4109" s="1">
        <v>3.33</v>
      </c>
      <c r="E4109" s="1" t="s">
        <v>151</v>
      </c>
      <c r="F4109" s="1" t="s">
        <v>151</v>
      </c>
      <c r="G4109" s="1" t="s">
        <v>151</v>
      </c>
      <c r="H4109" s="1" t="str">
        <f>VLOOKUP(F4109,Countries!$A$1:$B$161,2,0)</f>
        <v>Netherlands (Holland)</v>
      </c>
    </row>
    <row r="4110" spans="1:8" x14ac:dyDescent="0.3">
      <c r="A4110" s="3">
        <v>46247.501620370371</v>
      </c>
      <c r="B4110" s="1">
        <v>1.99</v>
      </c>
      <c r="C4110" s="1">
        <v>1.73</v>
      </c>
      <c r="D4110" s="1">
        <v>0.34</v>
      </c>
      <c r="E4110" s="1" t="s">
        <v>113</v>
      </c>
      <c r="F4110" s="1" t="s">
        <v>113</v>
      </c>
      <c r="G4110" s="1" t="s">
        <v>113</v>
      </c>
      <c r="H4110" s="1" t="str">
        <f>VLOOKUP(F4110,Countries!$A$1:$B$161,2,0)</f>
        <v>United States of America</v>
      </c>
    </row>
    <row r="4111" spans="1:8" x14ac:dyDescent="0.3">
      <c r="A4111" s="3">
        <v>46247.500347222223</v>
      </c>
      <c r="B4111" s="1">
        <v>29.57</v>
      </c>
      <c r="C4111" s="1">
        <v>25.63</v>
      </c>
      <c r="D4111" s="1">
        <v>1.59</v>
      </c>
      <c r="E4111" s="1" t="s">
        <v>113</v>
      </c>
      <c r="F4111" s="1" t="s">
        <v>113</v>
      </c>
      <c r="G4111" s="1" t="s">
        <v>113</v>
      </c>
      <c r="H4111" s="1" t="str">
        <f>VLOOKUP(F4111,Countries!$A$1:$B$161,2,0)</f>
        <v>United States of America</v>
      </c>
    </row>
    <row r="4112" spans="1:8" x14ac:dyDescent="0.3">
      <c r="A4112" s="3">
        <v>46247.500300925924</v>
      </c>
      <c r="B4112" s="1">
        <v>3.39</v>
      </c>
      <c r="C4112" s="1">
        <v>2.94</v>
      </c>
      <c r="D4112" s="1">
        <v>0.41</v>
      </c>
      <c r="E4112" s="1" t="s">
        <v>114</v>
      </c>
      <c r="F4112" s="1" t="s">
        <v>114</v>
      </c>
      <c r="G4112" s="1" t="s">
        <v>114</v>
      </c>
      <c r="H4112" s="1" t="str">
        <f>VLOOKUP(F4112,Countries!$A$1:$B$161,2,0)</f>
        <v>Philippines</v>
      </c>
    </row>
    <row r="4113" spans="1:8" x14ac:dyDescent="0.3">
      <c r="A4113" s="3">
        <v>46247.500069444453</v>
      </c>
      <c r="B4113" s="1">
        <v>58.41</v>
      </c>
      <c r="C4113" s="1">
        <v>50.63</v>
      </c>
      <c r="D4113" s="1">
        <v>2.91</v>
      </c>
      <c r="E4113" s="1" t="s">
        <v>132</v>
      </c>
      <c r="F4113" s="1" t="s">
        <v>132</v>
      </c>
      <c r="G4113" s="1" t="s">
        <v>132</v>
      </c>
      <c r="H4113" s="1" t="str">
        <f>VLOOKUP(F4113,Countries!$A$1:$B$161,2,0)</f>
        <v>Canada</v>
      </c>
    </row>
    <row r="4114" spans="1:8" x14ac:dyDescent="0.3">
      <c r="A4114" s="3">
        <v>46247.499791666669</v>
      </c>
      <c r="B4114" s="1">
        <v>14.77</v>
      </c>
      <c r="C4114" s="1">
        <v>12.8</v>
      </c>
      <c r="D4114" s="1">
        <v>0.93</v>
      </c>
      <c r="E4114" s="1" t="s">
        <v>113</v>
      </c>
      <c r="F4114" s="1" t="s">
        <v>113</v>
      </c>
      <c r="G4114" s="1" t="s">
        <v>113</v>
      </c>
      <c r="H4114" s="1" t="str">
        <f>VLOOKUP(F4114,Countries!$A$1:$B$161,2,0)</f>
        <v>United States of America</v>
      </c>
    </row>
    <row r="4115" spans="1:8" x14ac:dyDescent="0.3">
      <c r="A4115" s="3">
        <v>46247.499699074076</v>
      </c>
      <c r="B4115" s="1">
        <v>14.77</v>
      </c>
      <c r="C4115" s="1">
        <v>12.8</v>
      </c>
      <c r="D4115" s="1">
        <v>0.93</v>
      </c>
      <c r="E4115" s="1" t="s">
        <v>113</v>
      </c>
      <c r="F4115" s="1" t="s">
        <v>113</v>
      </c>
      <c r="G4115" s="1" t="s">
        <v>113</v>
      </c>
      <c r="H4115" s="1" t="str">
        <f>VLOOKUP(F4115,Countries!$A$1:$B$161,2,0)</f>
        <v>United States of America</v>
      </c>
    </row>
    <row r="4116" spans="1:8" x14ac:dyDescent="0.3">
      <c r="A4116" s="3">
        <v>46247.498414351852</v>
      </c>
      <c r="B4116" s="1">
        <v>6.37</v>
      </c>
      <c r="C4116" s="1">
        <v>5.52</v>
      </c>
      <c r="D4116" s="1">
        <v>0.54</v>
      </c>
      <c r="E4116" s="1" t="s">
        <v>113</v>
      </c>
      <c r="F4116" s="1" t="s">
        <v>113</v>
      </c>
      <c r="G4116" s="1" t="s">
        <v>113</v>
      </c>
      <c r="H4116" s="1" t="str">
        <f>VLOOKUP(F4116,Countries!$A$1:$B$161,2,0)</f>
        <v>United States of America</v>
      </c>
    </row>
    <row r="4117" spans="1:8" x14ac:dyDescent="0.3">
      <c r="A4117" s="3">
        <v>46247.497997685183</v>
      </c>
      <c r="B4117" s="1">
        <v>2.2599999999999998</v>
      </c>
      <c r="C4117" s="1">
        <v>1.96</v>
      </c>
      <c r="D4117" s="1">
        <v>0.35</v>
      </c>
      <c r="E4117" s="1" t="s">
        <v>114</v>
      </c>
      <c r="F4117" s="1" t="s">
        <v>114</v>
      </c>
      <c r="G4117" s="1" t="s">
        <v>114</v>
      </c>
      <c r="H4117" s="1" t="str">
        <f>VLOOKUP(F4117,Countries!$A$1:$B$161,2,0)</f>
        <v>Philippines</v>
      </c>
    </row>
    <row r="4118" spans="1:8" x14ac:dyDescent="0.3">
      <c r="A4118" s="3">
        <v>46247.494074074071</v>
      </c>
      <c r="B4118" s="1">
        <v>36.96</v>
      </c>
      <c r="C4118" s="1">
        <v>32.04</v>
      </c>
      <c r="D4118" s="1">
        <v>1.93</v>
      </c>
      <c r="E4118" s="1" t="s">
        <v>113</v>
      </c>
      <c r="F4118" s="1" t="s">
        <v>113</v>
      </c>
      <c r="G4118" s="1" t="s">
        <v>113</v>
      </c>
      <c r="H4118" s="1" t="str">
        <f>VLOOKUP(F4118,Countries!$A$1:$B$161,2,0)</f>
        <v>United States of America</v>
      </c>
    </row>
    <row r="4119" spans="1:8" x14ac:dyDescent="0.3">
      <c r="A4119" s="3">
        <v>46247.492025462961</v>
      </c>
      <c r="B4119" s="1">
        <v>6.37</v>
      </c>
      <c r="C4119" s="1">
        <v>5.52</v>
      </c>
      <c r="D4119" s="1">
        <v>0.54</v>
      </c>
      <c r="E4119" s="1" t="s">
        <v>113</v>
      </c>
      <c r="F4119" s="1" t="s">
        <v>113</v>
      </c>
      <c r="G4119" s="1" t="s">
        <v>113</v>
      </c>
      <c r="H4119" s="1" t="str">
        <f>VLOOKUP(F4119,Countries!$A$1:$B$161,2,0)</f>
        <v>United States of America</v>
      </c>
    </row>
    <row r="4120" spans="1:8" x14ac:dyDescent="0.3">
      <c r="A4120" s="3">
        <v>46247.490740740737</v>
      </c>
      <c r="B4120" s="1">
        <v>14.62</v>
      </c>
      <c r="C4120" s="1">
        <v>12.67</v>
      </c>
      <c r="D4120" s="1">
        <v>0.91</v>
      </c>
      <c r="E4120" s="1" t="s">
        <v>132</v>
      </c>
      <c r="F4120" s="1" t="s">
        <v>132</v>
      </c>
      <c r="G4120" s="1" t="s">
        <v>132</v>
      </c>
      <c r="H4120" s="1" t="str">
        <f>VLOOKUP(F4120,Countries!$A$1:$B$161,2,0)</f>
        <v>Canada</v>
      </c>
    </row>
    <row r="4121" spans="1:8" x14ac:dyDescent="0.3">
      <c r="A4121" s="3">
        <v>46247.469074074077</v>
      </c>
      <c r="B4121" s="1">
        <v>14.77</v>
      </c>
      <c r="C4121" s="1">
        <v>12.8</v>
      </c>
      <c r="D4121" s="1">
        <v>0.93</v>
      </c>
      <c r="E4121" s="1" t="s">
        <v>113</v>
      </c>
      <c r="F4121" s="1" t="s">
        <v>113</v>
      </c>
      <c r="G4121" s="1" t="s">
        <v>113</v>
      </c>
      <c r="H4121" s="1" t="str">
        <f>VLOOKUP(F4121,Countries!$A$1:$B$161,2,0)</f>
        <v>United States of America</v>
      </c>
    </row>
    <row r="4122" spans="1:8" x14ac:dyDescent="0.3">
      <c r="A4122" s="3">
        <v>46247.458391203712</v>
      </c>
      <c r="B4122" s="1">
        <v>36.96</v>
      </c>
      <c r="C4122" s="1">
        <v>32.049999999999997</v>
      </c>
      <c r="D4122" s="1">
        <v>1.93</v>
      </c>
      <c r="E4122" s="1" t="s">
        <v>113</v>
      </c>
      <c r="F4122" s="1" t="s">
        <v>113</v>
      </c>
      <c r="G4122" s="1" t="s">
        <v>113</v>
      </c>
      <c r="H4122" s="1" t="str">
        <f>VLOOKUP(F4122,Countries!$A$1:$B$161,2,0)</f>
        <v>United States of America</v>
      </c>
    </row>
    <row r="4123" spans="1:8" x14ac:dyDescent="0.3">
      <c r="A4123" s="3">
        <v>46247.438206018523</v>
      </c>
      <c r="B4123" s="1">
        <v>36.96</v>
      </c>
      <c r="C4123" s="1">
        <v>32.049999999999997</v>
      </c>
      <c r="D4123" s="1">
        <v>1.93</v>
      </c>
      <c r="E4123" s="1" t="s">
        <v>113</v>
      </c>
      <c r="F4123" s="1" t="s">
        <v>113</v>
      </c>
      <c r="G4123" s="1" t="s">
        <v>113</v>
      </c>
      <c r="H4123" s="1" t="str">
        <f>VLOOKUP(F4123,Countries!$A$1:$B$161,2,0)</f>
        <v>United States of America</v>
      </c>
    </row>
    <row r="4124" spans="1:8" x14ac:dyDescent="0.3">
      <c r="A4124" s="3">
        <v>46247.43445601852</v>
      </c>
      <c r="B4124" s="1">
        <v>2.11</v>
      </c>
      <c r="C4124" s="1">
        <v>1.83</v>
      </c>
      <c r="D4124" s="1">
        <v>0.35</v>
      </c>
      <c r="E4124" s="1" t="s">
        <v>113</v>
      </c>
      <c r="F4124" s="1" t="s">
        <v>113</v>
      </c>
      <c r="G4124" s="1" t="s">
        <v>113</v>
      </c>
      <c r="H4124" s="1" t="str">
        <f>VLOOKUP(F4124,Countries!$A$1:$B$161,2,0)</f>
        <v>United States of America</v>
      </c>
    </row>
    <row r="4125" spans="1:8" x14ac:dyDescent="0.3">
      <c r="A4125" s="3">
        <v>46247.432372685187</v>
      </c>
      <c r="B4125" s="1">
        <v>6.37</v>
      </c>
      <c r="C4125" s="1">
        <v>5.52</v>
      </c>
      <c r="D4125" s="1">
        <v>0.54</v>
      </c>
      <c r="E4125" s="1" t="s">
        <v>113</v>
      </c>
      <c r="F4125" s="1" t="s">
        <v>113</v>
      </c>
      <c r="G4125" s="1" t="s">
        <v>113</v>
      </c>
      <c r="H4125" s="1" t="str">
        <f>VLOOKUP(F4125,Countries!$A$1:$B$161,2,0)</f>
        <v>United States of America</v>
      </c>
    </row>
    <row r="4126" spans="1:8" x14ac:dyDescent="0.3">
      <c r="A4126" s="3">
        <v>46247.421018518522</v>
      </c>
      <c r="B4126" s="1">
        <v>2.48</v>
      </c>
      <c r="C4126" s="1">
        <v>2.15</v>
      </c>
      <c r="D4126" s="1">
        <v>0.32</v>
      </c>
      <c r="E4126" s="1" t="s">
        <v>146</v>
      </c>
      <c r="F4126" s="1" t="s">
        <v>123</v>
      </c>
      <c r="G4126" s="1" t="s">
        <v>123</v>
      </c>
      <c r="H4126" s="1" t="str">
        <f>VLOOKUP(F4126,Countries!$A$1:$B$161,2,0)</f>
        <v>France</v>
      </c>
    </row>
    <row r="4127" spans="1:8" x14ac:dyDescent="0.3">
      <c r="A4127" s="3">
        <v>46247.418194444443</v>
      </c>
      <c r="B4127" s="1">
        <v>15.78</v>
      </c>
      <c r="C4127" s="1">
        <v>13.69</v>
      </c>
      <c r="D4127" s="1">
        <v>0.96</v>
      </c>
      <c r="E4127" s="1" t="s">
        <v>196</v>
      </c>
      <c r="F4127" s="1" t="s">
        <v>196</v>
      </c>
      <c r="G4127" s="1" t="s">
        <v>196</v>
      </c>
      <c r="H4127" s="1" t="str">
        <f>VLOOKUP(F4127,Countries!$A$1:$B$161,2,0)</f>
        <v>Kazakhstan</v>
      </c>
    </row>
    <row r="4128" spans="1:8" x14ac:dyDescent="0.3">
      <c r="A4128" s="3">
        <v>46247.399537037039</v>
      </c>
      <c r="B4128" s="1">
        <v>6.65</v>
      </c>
      <c r="C4128" s="1">
        <v>5.77</v>
      </c>
      <c r="D4128" s="1">
        <v>0.56000000000000005</v>
      </c>
      <c r="E4128" s="1" t="s">
        <v>121</v>
      </c>
      <c r="F4128" s="1" t="s">
        <v>121</v>
      </c>
      <c r="G4128" s="1" t="s">
        <v>121</v>
      </c>
      <c r="H4128" s="1" t="str">
        <f>VLOOKUP(F4128,Countries!$A$1:$B$161,2,0)</f>
        <v>Japan</v>
      </c>
    </row>
    <row r="4129" spans="1:8" x14ac:dyDescent="0.3">
      <c r="A4129" s="3">
        <v>46247.39434027778</v>
      </c>
      <c r="B4129" s="1">
        <v>1.99</v>
      </c>
      <c r="C4129" s="1">
        <v>1.73</v>
      </c>
      <c r="D4129" s="1">
        <v>0.34</v>
      </c>
      <c r="E4129" s="1" t="s">
        <v>113</v>
      </c>
      <c r="F4129" s="1" t="s">
        <v>113</v>
      </c>
      <c r="G4129" s="1" t="s">
        <v>113</v>
      </c>
      <c r="H4129" s="1" t="str">
        <f>VLOOKUP(F4129,Countries!$A$1:$B$161,2,0)</f>
        <v>United States of America</v>
      </c>
    </row>
    <row r="4130" spans="1:8" x14ac:dyDescent="0.3">
      <c r="A4130" s="3">
        <v>46247.388773148137</v>
      </c>
      <c r="B4130" s="1">
        <v>1.99</v>
      </c>
      <c r="C4130" s="1">
        <v>1.73</v>
      </c>
      <c r="D4130" s="1">
        <v>0.31</v>
      </c>
      <c r="E4130" s="1" t="s">
        <v>123</v>
      </c>
      <c r="F4130" s="1" t="s">
        <v>123</v>
      </c>
      <c r="G4130" s="1" t="s">
        <v>123</v>
      </c>
      <c r="H4130" s="1" t="str">
        <f>VLOOKUP(F4130,Countries!$A$1:$B$161,2,0)</f>
        <v>France</v>
      </c>
    </row>
    <row r="4131" spans="1:8" x14ac:dyDescent="0.3">
      <c r="A4131" s="3">
        <v>46247.365208333344</v>
      </c>
      <c r="B4131" s="1">
        <v>7.99</v>
      </c>
      <c r="C4131" s="1">
        <v>6.93</v>
      </c>
      <c r="D4131" s="1">
        <v>0.62</v>
      </c>
      <c r="E4131" s="1" t="s">
        <v>136</v>
      </c>
      <c r="F4131" s="1" t="s">
        <v>136</v>
      </c>
      <c r="G4131" s="1" t="s">
        <v>136</v>
      </c>
      <c r="H4131" s="1" t="str">
        <f>VLOOKUP(F4131,Countries!$A$1:$B$161,2,0)</f>
        <v>Turkey</v>
      </c>
    </row>
    <row r="4132" spans="1:8" x14ac:dyDescent="0.3">
      <c r="A4132" s="3">
        <v>46247.357199074067</v>
      </c>
      <c r="B4132" s="1">
        <v>1.99</v>
      </c>
      <c r="C4132" s="1">
        <v>1.73</v>
      </c>
      <c r="D4132" s="1">
        <v>0.34</v>
      </c>
      <c r="E4132" s="1" t="s">
        <v>113</v>
      </c>
      <c r="F4132" s="1" t="s">
        <v>113</v>
      </c>
      <c r="G4132" s="1" t="s">
        <v>113</v>
      </c>
      <c r="H4132" s="1" t="str">
        <f>VLOOKUP(F4132,Countries!$A$1:$B$161,2,0)</f>
        <v>United States of America</v>
      </c>
    </row>
    <row r="4133" spans="1:8" x14ac:dyDescent="0.3">
      <c r="A4133" s="3">
        <v>46247.351805555547</v>
      </c>
      <c r="B4133" s="1">
        <v>42.54</v>
      </c>
      <c r="C4133" s="1">
        <v>36.909999999999997</v>
      </c>
      <c r="D4133" s="1">
        <v>2.19</v>
      </c>
      <c r="E4133" s="1" t="s">
        <v>113</v>
      </c>
      <c r="F4133" s="1" t="s">
        <v>113</v>
      </c>
      <c r="G4133" s="1" t="s">
        <v>113</v>
      </c>
      <c r="H4133" s="1" t="str">
        <f>VLOOKUP(F4133,Countries!$A$1:$B$161,2,0)</f>
        <v>United States of America</v>
      </c>
    </row>
    <row r="4134" spans="1:8" x14ac:dyDescent="0.3">
      <c r="A4134" s="3">
        <v>46247.334155092591</v>
      </c>
      <c r="B4134" s="1">
        <v>7.58</v>
      </c>
      <c r="C4134" s="1">
        <v>6.58</v>
      </c>
      <c r="D4134" s="1">
        <v>0.59</v>
      </c>
      <c r="E4134" s="1" t="s">
        <v>113</v>
      </c>
      <c r="F4134" s="1" t="s">
        <v>113</v>
      </c>
      <c r="G4134" s="1" t="s">
        <v>113</v>
      </c>
      <c r="H4134" s="1" t="str">
        <f>VLOOKUP(F4134,Countries!$A$1:$B$161,2,0)</f>
        <v>United States of America</v>
      </c>
    </row>
    <row r="4135" spans="1:8" x14ac:dyDescent="0.3">
      <c r="A4135" s="3">
        <v>46247.315208333333</v>
      </c>
      <c r="B4135" s="1">
        <v>42.54</v>
      </c>
      <c r="C4135" s="1">
        <v>36.93</v>
      </c>
      <c r="D4135" s="1">
        <v>2.19</v>
      </c>
      <c r="E4135" s="1" t="s">
        <v>113</v>
      </c>
      <c r="F4135" s="1" t="s">
        <v>113</v>
      </c>
      <c r="G4135" s="1" t="s">
        <v>113</v>
      </c>
      <c r="H4135" s="1" t="str">
        <f>VLOOKUP(F4135,Countries!$A$1:$B$161,2,0)</f>
        <v>United States of America</v>
      </c>
    </row>
    <row r="4136" spans="1:8" x14ac:dyDescent="0.3">
      <c r="A4136" s="3">
        <v>46247.310671296298</v>
      </c>
      <c r="B4136" s="1">
        <v>4.24</v>
      </c>
      <c r="C4136" s="1">
        <v>3.68</v>
      </c>
      <c r="D4136" s="1">
        <v>0.44</v>
      </c>
      <c r="E4136" s="1" t="s">
        <v>113</v>
      </c>
      <c r="F4136" s="1" t="s">
        <v>113</v>
      </c>
      <c r="G4136" s="1" t="s">
        <v>113</v>
      </c>
      <c r="H4136" s="1" t="str">
        <f>VLOOKUP(F4136,Countries!$A$1:$B$161,2,0)</f>
        <v>United States of America</v>
      </c>
    </row>
    <row r="4137" spans="1:8" x14ac:dyDescent="0.3">
      <c r="A4137" s="3">
        <v>46247.310162037043</v>
      </c>
      <c r="B4137" s="1">
        <v>6.37</v>
      </c>
      <c r="C4137" s="1">
        <v>5.53</v>
      </c>
      <c r="D4137" s="1">
        <v>0.54</v>
      </c>
      <c r="E4137" s="1" t="s">
        <v>113</v>
      </c>
      <c r="F4137" s="1" t="s">
        <v>113</v>
      </c>
      <c r="G4137" s="1" t="s">
        <v>113</v>
      </c>
      <c r="H4137" s="1" t="str">
        <f>VLOOKUP(F4137,Countries!$A$1:$B$161,2,0)</f>
        <v>United States of America</v>
      </c>
    </row>
    <row r="4138" spans="1:8" x14ac:dyDescent="0.3">
      <c r="A4138" s="3">
        <v>46247.304456018523</v>
      </c>
      <c r="B4138" s="1">
        <v>6.3</v>
      </c>
      <c r="C4138" s="1">
        <v>5.47</v>
      </c>
      <c r="D4138" s="1">
        <v>0.54</v>
      </c>
      <c r="E4138" s="1" t="s">
        <v>132</v>
      </c>
      <c r="F4138" s="1" t="s">
        <v>132</v>
      </c>
      <c r="G4138" s="1" t="s">
        <v>132</v>
      </c>
      <c r="H4138" s="1" t="str">
        <f>VLOOKUP(F4138,Countries!$A$1:$B$161,2,0)</f>
        <v>Canada</v>
      </c>
    </row>
    <row r="4139" spans="1:8" x14ac:dyDescent="0.3">
      <c r="A4139" s="3">
        <v>46247.298136574071</v>
      </c>
      <c r="B4139" s="1">
        <v>6.58</v>
      </c>
      <c r="C4139" s="1">
        <v>5.71</v>
      </c>
      <c r="D4139" s="1">
        <v>0.55000000000000004</v>
      </c>
      <c r="E4139" s="1" t="s">
        <v>152</v>
      </c>
      <c r="F4139" s="1" t="s">
        <v>152</v>
      </c>
      <c r="G4139" s="1" t="s">
        <v>152</v>
      </c>
      <c r="H4139" s="1" t="str">
        <f>VLOOKUP(F4139,Countries!$A$1:$B$161,2,0)</f>
        <v>Singapore</v>
      </c>
    </row>
    <row r="4140" spans="1:8" x14ac:dyDescent="0.3">
      <c r="A4140" s="3">
        <v>46247.293055555558</v>
      </c>
      <c r="B4140" s="1">
        <v>5.99</v>
      </c>
      <c r="C4140" s="1">
        <v>5.2</v>
      </c>
      <c r="D4140" s="1">
        <v>0.52</v>
      </c>
      <c r="E4140" s="1" t="s">
        <v>113</v>
      </c>
      <c r="F4140" s="1" t="s">
        <v>113</v>
      </c>
      <c r="G4140" s="1" t="s">
        <v>113</v>
      </c>
      <c r="H4140" s="1" t="str">
        <f>VLOOKUP(F4140,Countries!$A$1:$B$161,2,0)</f>
        <v>United States of America</v>
      </c>
    </row>
    <row r="4141" spans="1:8" x14ac:dyDescent="0.3">
      <c r="A4141" s="3">
        <v>46247.280034722222</v>
      </c>
      <c r="B4141" s="1">
        <v>6.37</v>
      </c>
      <c r="C4141" s="1">
        <v>5.53</v>
      </c>
      <c r="D4141" s="1">
        <v>0.54</v>
      </c>
      <c r="E4141" s="1" t="s">
        <v>113</v>
      </c>
      <c r="F4141" s="1" t="s">
        <v>113</v>
      </c>
      <c r="G4141" s="1" t="s">
        <v>113</v>
      </c>
      <c r="H4141" s="1" t="str">
        <f>VLOOKUP(F4141,Countries!$A$1:$B$161,2,0)</f>
        <v>United States of America</v>
      </c>
    </row>
    <row r="4142" spans="1:8" x14ac:dyDescent="0.3">
      <c r="A4142" s="3">
        <v>46247.27207175926</v>
      </c>
      <c r="B4142" s="1">
        <v>2.11</v>
      </c>
      <c r="C4142" s="1">
        <v>1.83</v>
      </c>
      <c r="D4142" s="1">
        <v>0.35</v>
      </c>
      <c r="E4142" s="1" t="s">
        <v>113</v>
      </c>
      <c r="F4142" s="1" t="s">
        <v>113</v>
      </c>
      <c r="G4142" s="1" t="s">
        <v>113</v>
      </c>
      <c r="H4142" s="1" t="str">
        <f>VLOOKUP(F4142,Countries!$A$1:$B$161,2,0)</f>
        <v>United States of America</v>
      </c>
    </row>
    <row r="4143" spans="1:8" x14ac:dyDescent="0.3">
      <c r="A4143" s="3">
        <v>46247.270798611113</v>
      </c>
      <c r="B4143" s="1">
        <v>42.54</v>
      </c>
      <c r="C4143" s="1">
        <v>36.909999999999997</v>
      </c>
      <c r="D4143" s="1">
        <v>2.19</v>
      </c>
      <c r="E4143" s="1" t="s">
        <v>113</v>
      </c>
      <c r="F4143" s="1" t="s">
        <v>113</v>
      </c>
      <c r="G4143" s="1" t="s">
        <v>113</v>
      </c>
      <c r="H4143" s="1" t="str">
        <f>VLOOKUP(F4143,Countries!$A$1:$B$161,2,0)</f>
        <v>United States of America</v>
      </c>
    </row>
    <row r="4144" spans="1:8" x14ac:dyDescent="0.3">
      <c r="A4144" s="3">
        <v>46247.26835648148</v>
      </c>
      <c r="B4144" s="1">
        <v>10.62</v>
      </c>
      <c r="C4144" s="1">
        <v>9.2100000000000009</v>
      </c>
      <c r="D4144" s="1">
        <v>0.73</v>
      </c>
      <c r="E4144" s="1" t="s">
        <v>113</v>
      </c>
      <c r="F4144" s="1" t="s">
        <v>113</v>
      </c>
      <c r="G4144" s="1" t="s">
        <v>113</v>
      </c>
      <c r="H4144" s="1" t="str">
        <f>VLOOKUP(F4144,Countries!$A$1:$B$161,2,0)</f>
        <v>United States of America</v>
      </c>
    </row>
    <row r="4145" spans="1:8" x14ac:dyDescent="0.3">
      <c r="A4145" s="3">
        <v>46247.261608796303</v>
      </c>
      <c r="B4145" s="1">
        <v>4.24</v>
      </c>
      <c r="C4145" s="1">
        <v>3.68</v>
      </c>
      <c r="D4145" s="1">
        <v>0.44</v>
      </c>
      <c r="E4145" s="1" t="s">
        <v>113</v>
      </c>
      <c r="F4145" s="1" t="s">
        <v>113</v>
      </c>
      <c r="G4145" s="1" t="s">
        <v>113</v>
      </c>
      <c r="H4145" s="1" t="str">
        <f>VLOOKUP(F4145,Countries!$A$1:$B$161,2,0)</f>
        <v>United States of America</v>
      </c>
    </row>
    <row r="4146" spans="1:8" x14ac:dyDescent="0.3">
      <c r="A4146" s="3">
        <v>46247.258946759262</v>
      </c>
      <c r="B4146" s="1">
        <v>6.37</v>
      </c>
      <c r="C4146" s="1">
        <v>5.53</v>
      </c>
      <c r="D4146" s="1">
        <v>0.54</v>
      </c>
      <c r="E4146" s="1" t="s">
        <v>113</v>
      </c>
      <c r="F4146" s="1" t="s">
        <v>113</v>
      </c>
      <c r="G4146" s="1" t="s">
        <v>113</v>
      </c>
      <c r="H4146" s="1" t="str">
        <f>VLOOKUP(F4146,Countries!$A$1:$B$161,2,0)</f>
        <v>United States of America</v>
      </c>
    </row>
    <row r="4147" spans="1:8" x14ac:dyDescent="0.3">
      <c r="A4147" s="3">
        <v>46247.229745370372</v>
      </c>
      <c r="B4147" s="1">
        <v>2.65</v>
      </c>
      <c r="C4147" s="1">
        <v>2.2999999999999998</v>
      </c>
      <c r="D4147" s="1">
        <v>0.33</v>
      </c>
      <c r="E4147" s="1" t="s">
        <v>184</v>
      </c>
      <c r="F4147" s="1" t="s">
        <v>133</v>
      </c>
      <c r="G4147" s="1" t="s">
        <v>133</v>
      </c>
      <c r="H4147" s="1" t="str">
        <f>VLOOKUP(F4147,Countries!$A$1:$B$161,2,0)</f>
        <v>Denmark</v>
      </c>
    </row>
    <row r="4148" spans="1:8" x14ac:dyDescent="0.3">
      <c r="A4148" s="3">
        <v>46247.223425925928</v>
      </c>
      <c r="B4148" s="1">
        <v>17.010000000000002</v>
      </c>
      <c r="C4148" s="1">
        <v>14.76</v>
      </c>
      <c r="D4148" s="1">
        <v>1.03</v>
      </c>
      <c r="E4148" s="1" t="s">
        <v>113</v>
      </c>
      <c r="F4148" s="1" t="s">
        <v>113</v>
      </c>
      <c r="G4148" s="1" t="s">
        <v>113</v>
      </c>
      <c r="H4148" s="1" t="str">
        <f>VLOOKUP(F4148,Countries!$A$1:$B$161,2,0)</f>
        <v>United States of America</v>
      </c>
    </row>
    <row r="4149" spans="1:8" x14ac:dyDescent="0.3">
      <c r="A4149" s="3">
        <v>46247.221967592603</v>
      </c>
      <c r="B4149" s="1">
        <v>6.3</v>
      </c>
      <c r="C4149" s="1">
        <v>5.47</v>
      </c>
      <c r="D4149" s="1">
        <v>0.54</v>
      </c>
      <c r="E4149" s="1" t="s">
        <v>143</v>
      </c>
      <c r="F4149" s="1" t="s">
        <v>143</v>
      </c>
      <c r="G4149" s="1" t="s">
        <v>143</v>
      </c>
      <c r="H4149" s="1" t="str">
        <f>VLOOKUP(F4149,Countries!$A$1:$B$161,2,0)</f>
        <v>United Arab Emirates</v>
      </c>
    </row>
    <row r="4150" spans="1:8" x14ac:dyDescent="0.3">
      <c r="A4150" s="3">
        <v>46247.199166666673</v>
      </c>
      <c r="B4150" s="1">
        <v>6.37</v>
      </c>
      <c r="C4150" s="1">
        <v>5.53</v>
      </c>
      <c r="D4150" s="1">
        <v>0.5</v>
      </c>
      <c r="E4150" s="1" t="s">
        <v>119</v>
      </c>
      <c r="F4150" s="1" t="s">
        <v>119</v>
      </c>
      <c r="G4150" s="1" t="s">
        <v>119</v>
      </c>
      <c r="H4150" s="1" t="str">
        <f>VLOOKUP(F4150,Countries!$A$1:$B$161,2,0)</f>
        <v>Great Britain (United Kingdom)</v>
      </c>
    </row>
    <row r="4151" spans="1:8" x14ac:dyDescent="0.3">
      <c r="A4151" s="3">
        <v>46247.196736111109</v>
      </c>
      <c r="B4151" s="1">
        <v>26.59</v>
      </c>
      <c r="C4151" s="1">
        <v>23.08</v>
      </c>
      <c r="D4151" s="1">
        <v>1.46</v>
      </c>
      <c r="E4151" s="1" t="s">
        <v>113</v>
      </c>
      <c r="F4151" s="1" t="s">
        <v>113</v>
      </c>
      <c r="G4151" s="1" t="s">
        <v>113</v>
      </c>
      <c r="H4151" s="1" t="str">
        <f>VLOOKUP(F4151,Countries!$A$1:$B$161,2,0)</f>
        <v>United States of America</v>
      </c>
    </row>
    <row r="4152" spans="1:8" x14ac:dyDescent="0.3">
      <c r="A4152" s="3">
        <v>46247.195729166669</v>
      </c>
      <c r="B4152" s="1">
        <v>6.37</v>
      </c>
      <c r="C4152" s="1">
        <v>5.53</v>
      </c>
      <c r="D4152" s="1">
        <v>0.54</v>
      </c>
      <c r="E4152" s="1" t="s">
        <v>113</v>
      </c>
      <c r="F4152" s="1" t="s">
        <v>113</v>
      </c>
      <c r="G4152" s="1" t="s">
        <v>113</v>
      </c>
      <c r="H4152" s="1" t="str">
        <f>VLOOKUP(F4152,Countries!$A$1:$B$161,2,0)</f>
        <v>United States of America</v>
      </c>
    </row>
    <row r="4153" spans="1:8" x14ac:dyDescent="0.3">
      <c r="A4153" s="3">
        <v>46247.195543981477</v>
      </c>
      <c r="B4153" s="1">
        <v>42.54</v>
      </c>
      <c r="C4153" s="1">
        <v>36.92</v>
      </c>
      <c r="D4153" s="1">
        <v>2.19</v>
      </c>
      <c r="E4153" s="1" t="s">
        <v>113</v>
      </c>
      <c r="F4153" s="1" t="s">
        <v>113</v>
      </c>
      <c r="G4153" s="1" t="s">
        <v>113</v>
      </c>
      <c r="H4153" s="1" t="str">
        <f>VLOOKUP(F4153,Countries!$A$1:$B$161,2,0)</f>
        <v>United States of America</v>
      </c>
    </row>
    <row r="4154" spans="1:8" x14ac:dyDescent="0.3">
      <c r="A4154" s="3">
        <v>46247.192453703698</v>
      </c>
      <c r="B4154" s="1">
        <v>10.62</v>
      </c>
      <c r="C4154" s="1">
        <v>9.2200000000000006</v>
      </c>
      <c r="D4154" s="1">
        <v>0.73</v>
      </c>
      <c r="E4154" s="1" t="s">
        <v>113</v>
      </c>
      <c r="F4154" s="1" t="s">
        <v>113</v>
      </c>
      <c r="G4154" s="1" t="s">
        <v>113</v>
      </c>
      <c r="H4154" s="1" t="str">
        <f>VLOOKUP(F4154,Countries!$A$1:$B$161,2,0)</f>
        <v>United States of America</v>
      </c>
    </row>
    <row r="4155" spans="1:8" x14ac:dyDescent="0.3">
      <c r="A4155" s="3">
        <v>46247.191087962958</v>
      </c>
      <c r="B4155" s="1">
        <v>26.59</v>
      </c>
      <c r="C4155" s="1">
        <v>23.08</v>
      </c>
      <c r="D4155" s="1">
        <v>1.46</v>
      </c>
      <c r="E4155" s="1" t="s">
        <v>113</v>
      </c>
      <c r="F4155" s="1" t="s">
        <v>113</v>
      </c>
      <c r="G4155" s="1" t="s">
        <v>113</v>
      </c>
      <c r="H4155" s="1" t="str">
        <f>VLOOKUP(F4155,Countries!$A$1:$B$161,2,0)</f>
        <v>United States of America</v>
      </c>
    </row>
    <row r="4156" spans="1:8" x14ac:dyDescent="0.3">
      <c r="A4156" s="3">
        <v>46247.189664351848</v>
      </c>
      <c r="B4156" s="1">
        <v>16.34</v>
      </c>
      <c r="C4156" s="1">
        <v>14.18</v>
      </c>
      <c r="D4156" s="1">
        <v>0.99</v>
      </c>
      <c r="E4156" s="1" t="s">
        <v>160</v>
      </c>
      <c r="F4156" s="1" t="s">
        <v>160</v>
      </c>
      <c r="G4156" s="1" t="s">
        <v>160</v>
      </c>
      <c r="H4156" s="1" t="str">
        <f>VLOOKUP(F4156,Countries!$A$1:$B$161,2,0)</f>
        <v>New Zealand</v>
      </c>
    </row>
    <row r="4157" spans="1:8" x14ac:dyDescent="0.3">
      <c r="A4157" s="3">
        <v>46247.18954861111</v>
      </c>
      <c r="B4157" s="1">
        <v>5.99</v>
      </c>
      <c r="C4157" s="1">
        <v>5.2</v>
      </c>
      <c r="D4157" s="1">
        <v>0.52</v>
      </c>
      <c r="E4157" s="1" t="s">
        <v>113</v>
      </c>
      <c r="F4157" s="1" t="s">
        <v>129</v>
      </c>
      <c r="G4157" s="1" t="s">
        <v>129</v>
      </c>
      <c r="H4157" s="1" t="str">
        <f>VLOOKUP(F4157,Countries!$A$1:$B$161,2,0)</f>
        <v>Qatar</v>
      </c>
    </row>
    <row r="4158" spans="1:8" x14ac:dyDescent="0.3">
      <c r="A4158" s="3">
        <v>46247.18886574074</v>
      </c>
      <c r="B4158" s="1">
        <v>6.37</v>
      </c>
      <c r="C4158" s="1">
        <v>5.53</v>
      </c>
      <c r="D4158" s="1">
        <v>0.54</v>
      </c>
      <c r="E4158" s="1" t="s">
        <v>113</v>
      </c>
      <c r="F4158" s="1" t="s">
        <v>113</v>
      </c>
      <c r="G4158" s="1" t="s">
        <v>113</v>
      </c>
      <c r="H4158" s="1" t="str">
        <f>VLOOKUP(F4158,Countries!$A$1:$B$161,2,0)</f>
        <v>United States of America</v>
      </c>
    </row>
    <row r="4159" spans="1:8" x14ac:dyDescent="0.3">
      <c r="A4159" s="3">
        <v>46247.165335648147</v>
      </c>
      <c r="B4159" s="1">
        <v>3.32</v>
      </c>
      <c r="C4159" s="1">
        <v>2.88</v>
      </c>
      <c r="D4159" s="1">
        <v>0.4</v>
      </c>
      <c r="E4159" s="1" t="s">
        <v>113</v>
      </c>
      <c r="F4159" s="1" t="s">
        <v>113</v>
      </c>
      <c r="G4159" s="1" t="s">
        <v>113</v>
      </c>
      <c r="H4159" s="1" t="str">
        <f>VLOOKUP(F4159,Countries!$A$1:$B$161,2,0)</f>
        <v>United States of America</v>
      </c>
    </row>
    <row r="4160" spans="1:8" x14ac:dyDescent="0.3">
      <c r="A4160" s="3">
        <v>46247.164525462962</v>
      </c>
      <c r="B4160" s="1">
        <v>14.77</v>
      </c>
      <c r="C4160" s="1">
        <v>12.82</v>
      </c>
      <c r="D4160" s="1">
        <v>0.93</v>
      </c>
      <c r="E4160" s="1" t="s">
        <v>113</v>
      </c>
      <c r="F4160" s="1" t="s">
        <v>113</v>
      </c>
      <c r="G4160" s="1" t="s">
        <v>113</v>
      </c>
      <c r="H4160" s="1" t="str">
        <f>VLOOKUP(F4160,Countries!$A$1:$B$161,2,0)</f>
        <v>United States of America</v>
      </c>
    </row>
    <row r="4161" spans="1:8" x14ac:dyDescent="0.3">
      <c r="A4161" s="3">
        <v>46247.16101851852</v>
      </c>
      <c r="B4161" s="1">
        <v>6.37</v>
      </c>
      <c r="C4161" s="1">
        <v>5.53</v>
      </c>
      <c r="D4161" s="1">
        <v>0.54</v>
      </c>
      <c r="E4161" s="1" t="s">
        <v>113</v>
      </c>
      <c r="F4161" s="1" t="s">
        <v>113</v>
      </c>
      <c r="G4161" s="1" t="s">
        <v>113</v>
      </c>
      <c r="H4161" s="1" t="str">
        <f>VLOOKUP(F4161,Countries!$A$1:$B$161,2,0)</f>
        <v>United States of America</v>
      </c>
    </row>
    <row r="4162" spans="1:8" x14ac:dyDescent="0.3">
      <c r="A4162" s="3">
        <v>46247.160162037027</v>
      </c>
      <c r="B4162" s="1">
        <v>22.18</v>
      </c>
      <c r="C4162" s="1">
        <v>19.25</v>
      </c>
      <c r="D4162" s="1">
        <v>1.27</v>
      </c>
      <c r="E4162" s="1" t="s">
        <v>113</v>
      </c>
      <c r="F4162" s="1" t="s">
        <v>113</v>
      </c>
      <c r="G4162" s="1" t="s">
        <v>113</v>
      </c>
      <c r="H4162" s="1" t="str">
        <f>VLOOKUP(F4162,Countries!$A$1:$B$161,2,0)</f>
        <v>United States of America</v>
      </c>
    </row>
    <row r="4163" spans="1:8" x14ac:dyDescent="0.3">
      <c r="A4163" s="3">
        <v>46247.15388888889</v>
      </c>
      <c r="B4163" s="1">
        <v>58.41</v>
      </c>
      <c r="C4163" s="1">
        <v>50.7</v>
      </c>
      <c r="D4163" s="1">
        <v>2.91</v>
      </c>
      <c r="E4163" s="1" t="s">
        <v>132</v>
      </c>
      <c r="F4163" s="1" t="s">
        <v>132</v>
      </c>
      <c r="G4163" s="1" t="s">
        <v>132</v>
      </c>
      <c r="H4163" s="1" t="str">
        <f>VLOOKUP(F4163,Countries!$A$1:$B$161,2,0)</f>
        <v>Canada</v>
      </c>
    </row>
    <row r="4164" spans="1:8" x14ac:dyDescent="0.3">
      <c r="A4164" s="3">
        <v>46247.152442129627</v>
      </c>
      <c r="B4164" s="1">
        <v>14.77</v>
      </c>
      <c r="C4164" s="1">
        <v>12.82</v>
      </c>
      <c r="D4164" s="1">
        <v>0.93</v>
      </c>
      <c r="E4164" s="1" t="s">
        <v>113</v>
      </c>
      <c r="F4164" s="1" t="s">
        <v>113</v>
      </c>
      <c r="G4164" s="1" t="s">
        <v>113</v>
      </c>
      <c r="H4164" s="1" t="str">
        <f>VLOOKUP(F4164,Countries!$A$1:$B$161,2,0)</f>
        <v>United States of America</v>
      </c>
    </row>
    <row r="4165" spans="1:8" x14ac:dyDescent="0.3">
      <c r="A4165" s="3">
        <v>46247.142314814817</v>
      </c>
      <c r="B4165" s="1">
        <v>6.65</v>
      </c>
      <c r="C4165" s="1">
        <v>5.77</v>
      </c>
      <c r="D4165" s="1">
        <v>0.56000000000000005</v>
      </c>
      <c r="E4165" s="1" t="s">
        <v>130</v>
      </c>
      <c r="F4165" s="1" t="s">
        <v>130</v>
      </c>
      <c r="G4165" s="1" t="s">
        <v>130</v>
      </c>
      <c r="H4165" s="1" t="str">
        <f>VLOOKUP(F4165,Countries!$A$1:$B$161,2,0)</f>
        <v>Australia</v>
      </c>
    </row>
    <row r="4166" spans="1:8" x14ac:dyDescent="0.3">
      <c r="A4166" s="3">
        <v>46247.131620370368</v>
      </c>
      <c r="B4166" s="1">
        <v>79.989999999999995</v>
      </c>
      <c r="C4166" s="1">
        <v>69.430000000000007</v>
      </c>
      <c r="D4166" s="1">
        <v>3.9</v>
      </c>
      <c r="E4166" s="1" t="s">
        <v>113</v>
      </c>
      <c r="F4166" s="1" t="s">
        <v>113</v>
      </c>
      <c r="G4166" s="1" t="s">
        <v>113</v>
      </c>
      <c r="H4166" s="1" t="str">
        <f>VLOOKUP(F4166,Countries!$A$1:$B$161,2,0)</f>
        <v>United States of America</v>
      </c>
    </row>
    <row r="4167" spans="1:8" x14ac:dyDescent="0.3">
      <c r="A4167" s="3">
        <v>46247.128541666672</v>
      </c>
      <c r="B4167" s="1">
        <v>6.65</v>
      </c>
      <c r="C4167" s="1">
        <v>5.77</v>
      </c>
      <c r="D4167" s="1">
        <v>0.56000000000000005</v>
      </c>
      <c r="E4167" s="1" t="s">
        <v>171</v>
      </c>
      <c r="F4167" s="1" t="s">
        <v>171</v>
      </c>
      <c r="G4167" s="1" t="s">
        <v>171</v>
      </c>
      <c r="H4167" s="1" t="str">
        <f>VLOOKUP(F4167,Countries!$A$1:$B$161,2,0)</f>
        <v>Korea (South)</v>
      </c>
    </row>
    <row r="4168" spans="1:8" x14ac:dyDescent="0.3">
      <c r="A4168" s="3">
        <v>46247.111493055563</v>
      </c>
      <c r="B4168" s="1">
        <v>6.37</v>
      </c>
      <c r="C4168" s="1">
        <v>5.53</v>
      </c>
      <c r="D4168" s="1">
        <v>0.54</v>
      </c>
      <c r="E4168" s="1" t="s">
        <v>113</v>
      </c>
      <c r="F4168" s="1" t="s">
        <v>113</v>
      </c>
      <c r="G4168" s="1" t="s">
        <v>113</v>
      </c>
      <c r="H4168" s="1" t="str">
        <f>VLOOKUP(F4168,Countries!$A$1:$B$161,2,0)</f>
        <v>United States of America</v>
      </c>
    </row>
    <row r="4169" spans="1:8" x14ac:dyDescent="0.3">
      <c r="A4169" s="3">
        <v>46247.104074074072</v>
      </c>
      <c r="B4169" s="1">
        <v>2.99</v>
      </c>
      <c r="C4169" s="1">
        <v>2.59</v>
      </c>
      <c r="D4169" s="1">
        <v>0.38</v>
      </c>
      <c r="E4169" s="1" t="s">
        <v>202</v>
      </c>
      <c r="F4169" s="1" t="s">
        <v>202</v>
      </c>
      <c r="G4169" s="1" t="s">
        <v>202</v>
      </c>
      <c r="H4169" s="1" t="str">
        <f>VLOOKUP(F4169,Countries!$A$1:$B$161,2,0)</f>
        <v>Lebanon</v>
      </c>
    </row>
    <row r="4170" spans="1:8" x14ac:dyDescent="0.3">
      <c r="A4170" s="3">
        <v>46247.09878472222</v>
      </c>
      <c r="B4170" s="1">
        <v>3.32</v>
      </c>
      <c r="C4170" s="1">
        <v>2.88</v>
      </c>
      <c r="D4170" s="1">
        <v>0.4</v>
      </c>
      <c r="E4170" s="1" t="s">
        <v>130</v>
      </c>
      <c r="F4170" s="1" t="s">
        <v>130</v>
      </c>
      <c r="G4170" s="1" t="s">
        <v>130</v>
      </c>
      <c r="H4170" s="1" t="str">
        <f>VLOOKUP(F4170,Countries!$A$1:$B$161,2,0)</f>
        <v>Australia</v>
      </c>
    </row>
    <row r="4171" spans="1:8" x14ac:dyDescent="0.3">
      <c r="A4171" s="3">
        <v>46247.097407407397</v>
      </c>
      <c r="B4171" s="1">
        <v>7.48</v>
      </c>
      <c r="C4171" s="1">
        <v>6.49</v>
      </c>
      <c r="D4171" s="1">
        <v>0.54</v>
      </c>
      <c r="E4171" s="1" t="s">
        <v>119</v>
      </c>
      <c r="F4171" s="1" t="s">
        <v>119</v>
      </c>
      <c r="G4171" s="1" t="s">
        <v>119</v>
      </c>
      <c r="H4171" s="1" t="str">
        <f>VLOOKUP(F4171,Countries!$A$1:$B$161,2,0)</f>
        <v>Great Britain (United Kingdom)</v>
      </c>
    </row>
    <row r="4172" spans="1:8" x14ac:dyDescent="0.3">
      <c r="A4172" s="3">
        <v>46247.08898148148</v>
      </c>
      <c r="B4172" s="1">
        <v>4.24</v>
      </c>
      <c r="C4172" s="1">
        <v>3.68</v>
      </c>
      <c r="D4172" s="1">
        <v>0.44</v>
      </c>
      <c r="E4172" s="1" t="s">
        <v>113</v>
      </c>
      <c r="F4172" s="1" t="s">
        <v>113</v>
      </c>
      <c r="G4172" s="1" t="s">
        <v>113</v>
      </c>
      <c r="H4172" s="1" t="str">
        <f>VLOOKUP(F4172,Countries!$A$1:$B$161,2,0)</f>
        <v>United States of America</v>
      </c>
    </row>
    <row r="4173" spans="1:8" x14ac:dyDescent="0.3">
      <c r="A4173" s="3">
        <v>46247.0862037037</v>
      </c>
      <c r="B4173" s="1">
        <v>6.37</v>
      </c>
      <c r="C4173" s="1">
        <v>5.53</v>
      </c>
      <c r="D4173" s="1">
        <v>0.54</v>
      </c>
      <c r="E4173" s="1" t="s">
        <v>113</v>
      </c>
      <c r="F4173" s="1" t="s">
        <v>113</v>
      </c>
      <c r="G4173" s="1" t="s">
        <v>113</v>
      </c>
      <c r="H4173" s="1" t="str">
        <f>VLOOKUP(F4173,Countries!$A$1:$B$161,2,0)</f>
        <v>United States of America</v>
      </c>
    </row>
    <row r="4174" spans="1:8" x14ac:dyDescent="0.3">
      <c r="A4174" s="3">
        <v>46247.0859375</v>
      </c>
      <c r="B4174" s="1">
        <v>1.99</v>
      </c>
      <c r="C4174" s="1">
        <v>1.73</v>
      </c>
      <c r="D4174" s="1">
        <v>0.34</v>
      </c>
      <c r="E4174" s="1" t="s">
        <v>148</v>
      </c>
      <c r="F4174" s="1" t="s">
        <v>148</v>
      </c>
      <c r="G4174" s="1" t="s">
        <v>148</v>
      </c>
      <c r="H4174" s="1" t="str">
        <f>VLOOKUP(F4174,Countries!$A$1:$B$161,2,0)</f>
        <v>Honduras</v>
      </c>
    </row>
    <row r="4175" spans="1:8" x14ac:dyDescent="0.3">
      <c r="A4175" s="3">
        <v>46247.085069444453</v>
      </c>
      <c r="B4175" s="1">
        <v>59.03</v>
      </c>
      <c r="C4175" s="1">
        <v>51.2</v>
      </c>
      <c r="D4175" s="1">
        <v>2.93</v>
      </c>
      <c r="E4175" s="1" t="s">
        <v>113</v>
      </c>
      <c r="F4175" s="1" t="s">
        <v>113</v>
      </c>
      <c r="G4175" s="1" t="s">
        <v>113</v>
      </c>
      <c r="H4175" s="1" t="str">
        <f>VLOOKUP(F4175,Countries!$A$1:$B$161,2,0)</f>
        <v>United States of America</v>
      </c>
    </row>
    <row r="4176" spans="1:8" x14ac:dyDescent="0.3">
      <c r="A4176" s="3">
        <v>46247.082708333342</v>
      </c>
      <c r="B4176" s="1">
        <v>10.51</v>
      </c>
      <c r="C4176" s="1">
        <v>9.1199999999999992</v>
      </c>
      <c r="D4176" s="1">
        <v>0.73</v>
      </c>
      <c r="E4176" s="1" t="s">
        <v>132</v>
      </c>
      <c r="F4176" s="1" t="s">
        <v>132</v>
      </c>
      <c r="G4176" s="1" t="s">
        <v>132</v>
      </c>
      <c r="H4176" s="1" t="str">
        <f>VLOOKUP(F4176,Countries!$A$1:$B$161,2,0)</f>
        <v>Canada</v>
      </c>
    </row>
    <row r="4177" spans="1:8" x14ac:dyDescent="0.3">
      <c r="A4177" s="3">
        <v>46247.081608796303</v>
      </c>
      <c r="B4177" s="1">
        <v>7.58</v>
      </c>
      <c r="C4177" s="1">
        <v>6.58</v>
      </c>
      <c r="D4177" s="1">
        <v>0.48</v>
      </c>
      <c r="E4177" s="1" t="s">
        <v>116</v>
      </c>
      <c r="F4177" s="1" t="s">
        <v>116</v>
      </c>
      <c r="G4177" s="1" t="s">
        <v>116</v>
      </c>
      <c r="H4177" s="1" t="str">
        <f>VLOOKUP(F4177,Countries!$A$1:$B$161,2,0)</f>
        <v>Spain</v>
      </c>
    </row>
    <row r="4178" spans="1:8" x14ac:dyDescent="0.3">
      <c r="A4178" s="3">
        <v>46247.080312500002</v>
      </c>
      <c r="B4178" s="1">
        <v>7.77</v>
      </c>
      <c r="C4178" s="1">
        <v>6.74</v>
      </c>
      <c r="D4178" s="1">
        <v>0.48</v>
      </c>
      <c r="E4178" s="1" t="s">
        <v>137</v>
      </c>
      <c r="F4178" s="1" t="s">
        <v>137</v>
      </c>
      <c r="G4178" s="1" t="s">
        <v>137</v>
      </c>
      <c r="H4178" s="1" t="str">
        <f>VLOOKUP(F4178,Countries!$A$1:$B$161,2,0)</f>
        <v>Poland</v>
      </c>
    </row>
    <row r="4179" spans="1:8" x14ac:dyDescent="0.3">
      <c r="A4179" s="3">
        <v>46247.078587962962</v>
      </c>
      <c r="B4179" s="1">
        <v>6.3</v>
      </c>
      <c r="C4179" s="1">
        <v>5.46</v>
      </c>
      <c r="D4179" s="1">
        <v>0.54</v>
      </c>
      <c r="E4179" s="1" t="s">
        <v>143</v>
      </c>
      <c r="F4179" s="1" t="s">
        <v>143</v>
      </c>
      <c r="G4179" s="1" t="s">
        <v>143</v>
      </c>
      <c r="H4179" s="1" t="str">
        <f>VLOOKUP(F4179,Countries!$A$1:$B$161,2,0)</f>
        <v>United Arab Emirates</v>
      </c>
    </row>
    <row r="4180" spans="1:8" x14ac:dyDescent="0.3">
      <c r="A4180" s="3">
        <v>46247.069039351853</v>
      </c>
      <c r="B4180" s="1">
        <v>6.37</v>
      </c>
      <c r="C4180" s="1">
        <v>5.53</v>
      </c>
      <c r="D4180" s="1">
        <v>0.54</v>
      </c>
      <c r="E4180" s="1" t="s">
        <v>113</v>
      </c>
      <c r="F4180" s="1" t="s">
        <v>113</v>
      </c>
      <c r="G4180" s="1" t="s">
        <v>113</v>
      </c>
      <c r="H4180" s="1" t="str">
        <f>VLOOKUP(F4180,Countries!$A$1:$B$161,2,0)</f>
        <v>United States of America</v>
      </c>
    </row>
    <row r="4181" spans="1:8" x14ac:dyDescent="0.3">
      <c r="A4181" s="3">
        <v>46247.067662037043</v>
      </c>
      <c r="B4181" s="1">
        <v>3.88</v>
      </c>
      <c r="C4181" s="1">
        <v>3.37</v>
      </c>
      <c r="D4181" s="1">
        <v>0.37</v>
      </c>
      <c r="E4181" s="1" t="s">
        <v>117</v>
      </c>
      <c r="F4181" s="1" t="s">
        <v>117</v>
      </c>
      <c r="G4181" s="1" t="s">
        <v>117</v>
      </c>
      <c r="H4181" s="1" t="str">
        <f>VLOOKUP(F4181,Countries!$A$1:$B$161,2,0)</f>
        <v>Slovak Republic</v>
      </c>
    </row>
    <row r="4182" spans="1:8" x14ac:dyDescent="0.3">
      <c r="A4182" s="3">
        <v>46247.062488425923</v>
      </c>
      <c r="B4182" s="1">
        <v>3.35</v>
      </c>
      <c r="C4182" s="1">
        <v>2.91</v>
      </c>
      <c r="D4182" s="1">
        <v>0.4</v>
      </c>
      <c r="E4182" s="1" t="s">
        <v>114</v>
      </c>
      <c r="F4182" s="1" t="s">
        <v>114</v>
      </c>
      <c r="G4182" s="1" t="s">
        <v>114</v>
      </c>
      <c r="H4182" s="1" t="str">
        <f>VLOOKUP(F4182,Countries!$A$1:$B$161,2,0)</f>
        <v>Philippines</v>
      </c>
    </row>
    <row r="4183" spans="1:8" x14ac:dyDescent="0.3">
      <c r="A4183" s="3">
        <v>46247.050833333327</v>
      </c>
      <c r="B4183" s="1">
        <v>2.11</v>
      </c>
      <c r="C4183" s="1">
        <v>1.83</v>
      </c>
      <c r="D4183" s="1">
        <v>0.35</v>
      </c>
      <c r="E4183" s="1" t="s">
        <v>113</v>
      </c>
      <c r="F4183" s="1" t="s">
        <v>113</v>
      </c>
      <c r="G4183" s="1" t="s">
        <v>113</v>
      </c>
      <c r="H4183" s="1" t="str">
        <f>VLOOKUP(F4183,Countries!$A$1:$B$161,2,0)</f>
        <v>United States of America</v>
      </c>
    </row>
    <row r="4184" spans="1:8" x14ac:dyDescent="0.3">
      <c r="A4184" s="3">
        <v>46247.050150462957</v>
      </c>
      <c r="B4184" s="1">
        <v>3.99</v>
      </c>
      <c r="C4184" s="1">
        <v>3.46</v>
      </c>
      <c r="D4184" s="1">
        <v>0.43</v>
      </c>
      <c r="E4184" s="1" t="s">
        <v>113</v>
      </c>
      <c r="F4184" s="1" t="s">
        <v>113</v>
      </c>
      <c r="G4184" s="1" t="s">
        <v>113</v>
      </c>
      <c r="H4184" s="1" t="str">
        <f>VLOOKUP(F4184,Countries!$A$1:$B$161,2,0)</f>
        <v>United States of America</v>
      </c>
    </row>
    <row r="4185" spans="1:8" x14ac:dyDescent="0.3">
      <c r="A4185" s="3">
        <v>46247.046689814822</v>
      </c>
      <c r="B4185" s="1">
        <v>7.58</v>
      </c>
      <c r="C4185" s="1">
        <v>6.58</v>
      </c>
      <c r="D4185" s="1">
        <v>0.48</v>
      </c>
      <c r="E4185" s="1" t="s">
        <v>116</v>
      </c>
      <c r="F4185" s="1" t="s">
        <v>116</v>
      </c>
      <c r="G4185" s="1" t="s">
        <v>116</v>
      </c>
      <c r="H4185" s="1" t="str">
        <f>VLOOKUP(F4185,Countries!$A$1:$B$161,2,0)</f>
        <v>Spain</v>
      </c>
    </row>
    <row r="4186" spans="1:8" x14ac:dyDescent="0.3">
      <c r="A4186" s="3">
        <v>46247.032175925917</v>
      </c>
      <c r="B4186" s="1">
        <v>3.18</v>
      </c>
      <c r="C4186" s="1">
        <v>2.76</v>
      </c>
      <c r="D4186" s="1">
        <v>0.4</v>
      </c>
      <c r="E4186" s="1" t="s">
        <v>113</v>
      </c>
      <c r="F4186" s="1" t="s">
        <v>113</v>
      </c>
      <c r="G4186" s="1" t="s">
        <v>113</v>
      </c>
      <c r="H4186" s="1" t="str">
        <f>VLOOKUP(F4186,Countries!$A$1:$B$161,2,0)</f>
        <v>United States of America</v>
      </c>
    </row>
    <row r="4187" spans="1:8" x14ac:dyDescent="0.3">
      <c r="A4187" s="3">
        <v>46247.019456018519</v>
      </c>
      <c r="B4187" s="1">
        <v>3.32</v>
      </c>
      <c r="C4187" s="1">
        <v>2.88</v>
      </c>
      <c r="D4187" s="1">
        <v>0.4</v>
      </c>
      <c r="E4187" s="1" t="s">
        <v>121</v>
      </c>
      <c r="F4187" s="1" t="s">
        <v>121</v>
      </c>
      <c r="G4187" s="1" t="s">
        <v>121</v>
      </c>
      <c r="H4187" s="1" t="str">
        <f>VLOOKUP(F4187,Countries!$A$1:$B$161,2,0)</f>
        <v>Japan</v>
      </c>
    </row>
    <row r="4188" spans="1:8" x14ac:dyDescent="0.3">
      <c r="A4188" s="3">
        <v>46247.014085648138</v>
      </c>
      <c r="B4188" s="1">
        <v>17.14</v>
      </c>
      <c r="C4188" s="1">
        <v>14.87</v>
      </c>
      <c r="D4188" s="1">
        <v>0.77</v>
      </c>
      <c r="E4188" s="1" t="s">
        <v>159</v>
      </c>
      <c r="F4188" s="1" t="s">
        <v>159</v>
      </c>
      <c r="G4188" s="1" t="s">
        <v>159</v>
      </c>
      <c r="H4188" s="1" t="str">
        <f>VLOOKUP(F4188,Countries!$A$1:$B$161,2,0)</f>
        <v>Romania</v>
      </c>
    </row>
    <row r="4189" spans="1:8" x14ac:dyDescent="0.3">
      <c r="A4189" s="3">
        <v>46247.006099537037</v>
      </c>
      <c r="B4189" s="1">
        <v>7.21</v>
      </c>
      <c r="C4189" s="1">
        <v>6.25</v>
      </c>
      <c r="D4189" s="1">
        <v>0.57999999999999996</v>
      </c>
      <c r="E4189" s="1" t="s">
        <v>165</v>
      </c>
      <c r="F4189" s="1" t="s">
        <v>165</v>
      </c>
      <c r="G4189" s="1" t="s">
        <v>165</v>
      </c>
      <c r="H4189" s="1" t="str">
        <f>VLOOKUP(F4189,Countries!$A$1:$B$161,2,0)</f>
        <v>Israel</v>
      </c>
    </row>
    <row r="4190" spans="1:8" x14ac:dyDescent="0.3">
      <c r="A4190" s="3">
        <v>46247.003784722219</v>
      </c>
      <c r="B4190" s="1">
        <v>12.33</v>
      </c>
      <c r="C4190" s="1">
        <v>10.7</v>
      </c>
      <c r="D4190" s="1">
        <v>0.62</v>
      </c>
      <c r="E4190" s="1" t="s">
        <v>159</v>
      </c>
      <c r="F4190" s="1" t="s">
        <v>159</v>
      </c>
      <c r="G4190" s="1" t="s">
        <v>159</v>
      </c>
      <c r="H4190" s="1" t="str">
        <f>VLOOKUP(F4190,Countries!$A$1:$B$161,2,0)</f>
        <v>Romania</v>
      </c>
    </row>
    <row r="4191" spans="1:8" x14ac:dyDescent="0.3">
      <c r="A4191" s="3">
        <v>46247.003506944442</v>
      </c>
      <c r="B4191" s="1">
        <v>6.37</v>
      </c>
      <c r="C4191" s="1">
        <v>5.53</v>
      </c>
      <c r="D4191" s="1">
        <v>0.54</v>
      </c>
      <c r="E4191" s="1" t="s">
        <v>113</v>
      </c>
      <c r="F4191" s="1" t="s">
        <v>113</v>
      </c>
      <c r="G4191" s="1" t="s">
        <v>113</v>
      </c>
      <c r="H4191" s="1" t="str">
        <f>VLOOKUP(F4191,Countries!$A$1:$B$161,2,0)</f>
        <v>United States of America</v>
      </c>
    </row>
    <row r="4192" spans="1:8" x14ac:dyDescent="0.3">
      <c r="A4192" s="3">
        <v>46247.002754629633</v>
      </c>
      <c r="B4192" s="1">
        <v>12.64</v>
      </c>
      <c r="C4192" s="1">
        <v>10.96</v>
      </c>
      <c r="D4192" s="1">
        <v>0.63</v>
      </c>
      <c r="E4192" s="1" t="s">
        <v>116</v>
      </c>
      <c r="F4192" s="1" t="s">
        <v>116</v>
      </c>
      <c r="G4192" s="1" t="s">
        <v>116</v>
      </c>
      <c r="H4192" s="1" t="str">
        <f>VLOOKUP(F4192,Countries!$A$1:$B$161,2,0)</f>
        <v>Spain</v>
      </c>
    </row>
    <row r="4193" spans="1:8" x14ac:dyDescent="0.3">
      <c r="A4193" s="3">
        <v>46246.990578703713</v>
      </c>
      <c r="B4193" s="1">
        <v>3.18</v>
      </c>
      <c r="C4193" s="1">
        <v>2.76</v>
      </c>
      <c r="D4193" s="1">
        <v>0.4</v>
      </c>
      <c r="E4193" s="1" t="s">
        <v>113</v>
      </c>
      <c r="F4193" s="1" t="s">
        <v>113</v>
      </c>
      <c r="G4193" s="1" t="s">
        <v>113</v>
      </c>
      <c r="H4193" s="1" t="str">
        <f>VLOOKUP(F4193,Countries!$A$1:$B$161,2,0)</f>
        <v>United States of America</v>
      </c>
    </row>
    <row r="4194" spans="1:8" x14ac:dyDescent="0.3">
      <c r="A4194" s="3">
        <v>46246.988993055558</v>
      </c>
      <c r="B4194" s="1">
        <v>12.64</v>
      </c>
      <c r="C4194" s="1">
        <v>10.97</v>
      </c>
      <c r="D4194" s="1">
        <v>0.63</v>
      </c>
      <c r="E4194" s="1" t="s">
        <v>116</v>
      </c>
      <c r="F4194" s="1" t="s">
        <v>116</v>
      </c>
      <c r="G4194" s="1" t="s">
        <v>116</v>
      </c>
      <c r="H4194" s="1" t="str">
        <f>VLOOKUP(F4194,Countries!$A$1:$B$161,2,0)</f>
        <v>Spain</v>
      </c>
    </row>
    <row r="4195" spans="1:8" x14ac:dyDescent="0.3">
      <c r="A4195" s="3">
        <v>46246.984363425923</v>
      </c>
      <c r="B4195" s="1">
        <v>6.37</v>
      </c>
      <c r="C4195" s="1">
        <v>5.53</v>
      </c>
      <c r="D4195" s="1">
        <v>0.54</v>
      </c>
      <c r="E4195" s="1" t="s">
        <v>113</v>
      </c>
      <c r="F4195" s="1" t="s">
        <v>113</v>
      </c>
      <c r="G4195" s="1" t="s">
        <v>113</v>
      </c>
      <c r="H4195" s="1" t="str">
        <f>VLOOKUP(F4195,Countries!$A$1:$B$161,2,0)</f>
        <v>United States of America</v>
      </c>
    </row>
    <row r="4196" spans="1:8" x14ac:dyDescent="0.3">
      <c r="A4196" s="3">
        <v>46246.982638888891</v>
      </c>
      <c r="B4196" s="1">
        <v>10.62</v>
      </c>
      <c r="C4196" s="1">
        <v>9.2100000000000009</v>
      </c>
      <c r="D4196" s="1">
        <v>0.73</v>
      </c>
      <c r="E4196" s="1" t="s">
        <v>113</v>
      </c>
      <c r="F4196" s="1" t="s">
        <v>113</v>
      </c>
      <c r="G4196" s="1" t="s">
        <v>113</v>
      </c>
      <c r="H4196" s="1" t="str">
        <f>VLOOKUP(F4196,Countries!$A$1:$B$161,2,0)</f>
        <v>United States of America</v>
      </c>
    </row>
    <row r="4197" spans="1:8" x14ac:dyDescent="0.3">
      <c r="A4197" s="3">
        <v>46246.97347222222</v>
      </c>
      <c r="B4197" s="1">
        <v>4.33</v>
      </c>
      <c r="C4197" s="1">
        <v>3.76</v>
      </c>
      <c r="D4197" s="1">
        <v>0.45</v>
      </c>
      <c r="E4197" s="1" t="s">
        <v>115</v>
      </c>
      <c r="F4197" s="1" t="s">
        <v>115</v>
      </c>
      <c r="G4197" s="1" t="s">
        <v>115</v>
      </c>
      <c r="H4197" s="1" t="str">
        <f>VLOOKUP(F4197,Countries!$A$1:$B$161,2,0)</f>
        <v>Switzerland</v>
      </c>
    </row>
    <row r="4198" spans="1:8" x14ac:dyDescent="0.3">
      <c r="A4198" s="3">
        <v>46246.972696759258</v>
      </c>
      <c r="B4198" s="1">
        <v>6.37</v>
      </c>
      <c r="C4198" s="1">
        <v>5.53</v>
      </c>
      <c r="D4198" s="1">
        <v>0.44</v>
      </c>
      <c r="E4198" s="1" t="s">
        <v>178</v>
      </c>
      <c r="F4198" s="1" t="s">
        <v>178</v>
      </c>
      <c r="G4198" s="1" t="s">
        <v>178</v>
      </c>
      <c r="H4198" s="1" t="str">
        <f>VLOOKUP(F4198,Countries!$A$1:$B$161,2,0)</f>
        <v>Sweden</v>
      </c>
    </row>
    <row r="4199" spans="1:8" x14ac:dyDescent="0.3">
      <c r="A4199" s="3">
        <v>46246.970891203702</v>
      </c>
      <c r="B4199" s="1">
        <v>7.58</v>
      </c>
      <c r="C4199" s="1">
        <v>6.58</v>
      </c>
      <c r="D4199" s="1">
        <v>0.48</v>
      </c>
      <c r="E4199" s="1" t="s">
        <v>116</v>
      </c>
      <c r="F4199" s="1" t="s">
        <v>116</v>
      </c>
      <c r="G4199" s="1" t="s">
        <v>116</v>
      </c>
      <c r="H4199" s="1" t="str">
        <f>VLOOKUP(F4199,Countries!$A$1:$B$161,2,0)</f>
        <v>Spain</v>
      </c>
    </row>
    <row r="4200" spans="1:8" x14ac:dyDescent="0.3">
      <c r="A4200" s="3">
        <v>46246.969733796293</v>
      </c>
      <c r="B4200" s="1">
        <v>17.579999999999998</v>
      </c>
      <c r="C4200" s="1">
        <v>15.25</v>
      </c>
      <c r="D4200" s="1">
        <v>0.79</v>
      </c>
      <c r="E4200" s="1" t="s">
        <v>116</v>
      </c>
      <c r="F4200" s="1" t="s">
        <v>116</v>
      </c>
      <c r="G4200" s="1" t="s">
        <v>116</v>
      </c>
      <c r="H4200" s="1" t="str">
        <f>VLOOKUP(F4200,Countries!$A$1:$B$161,2,0)</f>
        <v>Spain</v>
      </c>
    </row>
    <row r="4201" spans="1:8" x14ac:dyDescent="0.3">
      <c r="A4201" s="3">
        <v>46246.968356481477</v>
      </c>
      <c r="B4201" s="1">
        <v>10.85</v>
      </c>
      <c r="C4201" s="1">
        <v>9.41</v>
      </c>
      <c r="D4201" s="1">
        <v>0.75</v>
      </c>
      <c r="E4201" s="1" t="s">
        <v>115</v>
      </c>
      <c r="F4201" s="1" t="s">
        <v>115</v>
      </c>
      <c r="G4201" s="1" t="s">
        <v>115</v>
      </c>
      <c r="H4201" s="1" t="str">
        <f>VLOOKUP(F4201,Countries!$A$1:$B$161,2,0)</f>
        <v>Switzerland</v>
      </c>
    </row>
    <row r="4202" spans="1:8" x14ac:dyDescent="0.3">
      <c r="A4202" s="3">
        <v>46246.961712962962</v>
      </c>
      <c r="B4202" s="1">
        <v>10.85</v>
      </c>
      <c r="C4202" s="1">
        <v>9.41</v>
      </c>
      <c r="D4202" s="1">
        <v>0.75</v>
      </c>
      <c r="E4202" s="1" t="s">
        <v>115</v>
      </c>
      <c r="F4202" s="1" t="s">
        <v>115</v>
      </c>
      <c r="G4202" s="1" t="s">
        <v>115</v>
      </c>
      <c r="H4202" s="1" t="str">
        <f>VLOOKUP(F4202,Countries!$A$1:$B$161,2,0)</f>
        <v>Switzerland</v>
      </c>
    </row>
    <row r="4203" spans="1:8" x14ac:dyDescent="0.3">
      <c r="A4203" s="3">
        <v>46246.959768518522</v>
      </c>
      <c r="B4203" s="1">
        <v>6.37</v>
      </c>
      <c r="C4203" s="1">
        <v>5.53</v>
      </c>
      <c r="D4203" s="1">
        <v>0.54</v>
      </c>
      <c r="E4203" s="1" t="s">
        <v>113</v>
      </c>
      <c r="F4203" s="1" t="s">
        <v>113</v>
      </c>
      <c r="G4203" s="1" t="s">
        <v>113</v>
      </c>
      <c r="H4203" s="1" t="str">
        <f>VLOOKUP(F4203,Countries!$A$1:$B$161,2,0)</f>
        <v>United States of America</v>
      </c>
    </row>
    <row r="4204" spans="1:8" x14ac:dyDescent="0.3">
      <c r="A4204" s="3">
        <v>46246.95722222222</v>
      </c>
      <c r="B4204" s="1">
        <v>10.85</v>
      </c>
      <c r="C4204" s="1">
        <v>9.42</v>
      </c>
      <c r="D4204" s="1">
        <v>0.75</v>
      </c>
      <c r="E4204" s="1" t="s">
        <v>115</v>
      </c>
      <c r="F4204" s="1" t="s">
        <v>115</v>
      </c>
      <c r="G4204" s="1" t="s">
        <v>115</v>
      </c>
      <c r="H4204" s="1" t="str">
        <f>VLOOKUP(F4204,Countries!$A$1:$B$161,2,0)</f>
        <v>Switzerland</v>
      </c>
    </row>
    <row r="4205" spans="1:8" x14ac:dyDescent="0.3">
      <c r="A4205" s="3">
        <v>46246.954722222217</v>
      </c>
      <c r="B4205" s="1">
        <v>7.67</v>
      </c>
      <c r="C4205" s="1">
        <v>6.66</v>
      </c>
      <c r="D4205" s="1">
        <v>0.48</v>
      </c>
      <c r="E4205" s="1" t="s">
        <v>124</v>
      </c>
      <c r="F4205" s="1" t="s">
        <v>124</v>
      </c>
      <c r="G4205" s="1" t="s">
        <v>124</v>
      </c>
      <c r="H4205" s="1" t="str">
        <f>VLOOKUP(F4205,Countries!$A$1:$B$161,2,0)</f>
        <v>Italy</v>
      </c>
    </row>
    <row r="4206" spans="1:8" x14ac:dyDescent="0.3">
      <c r="A4206" s="3">
        <v>46246.950590277767</v>
      </c>
      <c r="B4206" s="1">
        <v>10.85</v>
      </c>
      <c r="C4206" s="1">
        <v>9.42</v>
      </c>
      <c r="D4206" s="1">
        <v>0.75</v>
      </c>
      <c r="E4206" s="1" t="s">
        <v>115</v>
      </c>
      <c r="F4206" s="1" t="s">
        <v>115</v>
      </c>
      <c r="G4206" s="1" t="s">
        <v>115</v>
      </c>
      <c r="H4206" s="1" t="str">
        <f>VLOOKUP(F4206,Countries!$A$1:$B$161,2,0)</f>
        <v>Switzerland</v>
      </c>
    </row>
    <row r="4207" spans="1:8" x14ac:dyDescent="0.3">
      <c r="A4207" s="3">
        <v>46246.946423611109</v>
      </c>
      <c r="B4207" s="1">
        <v>6.37</v>
      </c>
      <c r="C4207" s="1">
        <v>5.53</v>
      </c>
      <c r="D4207" s="1">
        <v>0.54</v>
      </c>
      <c r="E4207" s="1" t="s">
        <v>113</v>
      </c>
      <c r="F4207" s="1" t="s">
        <v>113</v>
      </c>
      <c r="G4207" s="1" t="s">
        <v>113</v>
      </c>
      <c r="H4207" s="1" t="str">
        <f>VLOOKUP(F4207,Countries!$A$1:$B$161,2,0)</f>
        <v>United States of America</v>
      </c>
    </row>
    <row r="4208" spans="1:8" x14ac:dyDescent="0.3">
      <c r="A4208" s="3">
        <v>46246.945844907408</v>
      </c>
      <c r="B4208" s="1">
        <v>10.85</v>
      </c>
      <c r="C4208" s="1">
        <v>9.42</v>
      </c>
      <c r="D4208" s="1">
        <v>0.75</v>
      </c>
      <c r="E4208" s="1" t="s">
        <v>115</v>
      </c>
      <c r="F4208" s="1" t="s">
        <v>115</v>
      </c>
      <c r="G4208" s="1" t="s">
        <v>115</v>
      </c>
      <c r="H4208" s="1" t="str">
        <f>VLOOKUP(F4208,Countries!$A$1:$B$161,2,0)</f>
        <v>Switzerland</v>
      </c>
    </row>
    <row r="4209" spans="1:8" x14ac:dyDescent="0.3">
      <c r="A4209" s="3">
        <v>46246.942743055559</v>
      </c>
      <c r="B4209" s="1">
        <v>10.85</v>
      </c>
      <c r="C4209" s="1">
        <v>9.42</v>
      </c>
      <c r="D4209" s="1">
        <v>0.75</v>
      </c>
      <c r="E4209" s="1" t="s">
        <v>115</v>
      </c>
      <c r="F4209" s="1" t="s">
        <v>115</v>
      </c>
      <c r="G4209" s="1" t="s">
        <v>115</v>
      </c>
      <c r="H4209" s="1" t="str">
        <f>VLOOKUP(F4209,Countries!$A$1:$B$161,2,0)</f>
        <v>Switzerland</v>
      </c>
    </row>
    <row r="4210" spans="1:8" x14ac:dyDescent="0.3">
      <c r="A4210" s="3">
        <v>46246.938101851847</v>
      </c>
      <c r="B4210" s="1">
        <v>14.77</v>
      </c>
      <c r="C4210" s="1">
        <v>12.82</v>
      </c>
      <c r="D4210" s="1">
        <v>0.93</v>
      </c>
      <c r="E4210" s="1" t="s">
        <v>113</v>
      </c>
      <c r="F4210" s="1" t="s">
        <v>113</v>
      </c>
      <c r="G4210" s="1" t="s">
        <v>113</v>
      </c>
      <c r="H4210" s="1" t="str">
        <f>VLOOKUP(F4210,Countries!$A$1:$B$161,2,0)</f>
        <v>United States of America</v>
      </c>
    </row>
    <row r="4211" spans="1:8" x14ac:dyDescent="0.3">
      <c r="A4211" s="3">
        <v>46246.936562499999</v>
      </c>
      <c r="B4211" s="1">
        <v>10.85</v>
      </c>
      <c r="C4211" s="1">
        <v>9.42</v>
      </c>
      <c r="D4211" s="1">
        <v>0.75</v>
      </c>
      <c r="E4211" s="1" t="s">
        <v>115</v>
      </c>
      <c r="F4211" s="1" t="s">
        <v>115</v>
      </c>
      <c r="G4211" s="1" t="s">
        <v>115</v>
      </c>
      <c r="H4211" s="1" t="str">
        <f>VLOOKUP(F4211,Countries!$A$1:$B$161,2,0)</f>
        <v>Switzerland</v>
      </c>
    </row>
    <row r="4212" spans="1:8" x14ac:dyDescent="0.3">
      <c r="A4212" s="3">
        <v>46246.936168981483</v>
      </c>
      <c r="B4212" s="1">
        <v>6.37</v>
      </c>
      <c r="C4212" s="1">
        <v>5.53</v>
      </c>
      <c r="D4212" s="1">
        <v>0.54</v>
      </c>
      <c r="E4212" s="1" t="s">
        <v>113</v>
      </c>
      <c r="F4212" s="1" t="s">
        <v>113</v>
      </c>
      <c r="G4212" s="1" t="s">
        <v>113</v>
      </c>
      <c r="H4212" s="1" t="str">
        <f>VLOOKUP(F4212,Countries!$A$1:$B$161,2,0)</f>
        <v>United States of America</v>
      </c>
    </row>
    <row r="4213" spans="1:8" x14ac:dyDescent="0.3">
      <c r="A4213" s="3">
        <v>46246.928333333337</v>
      </c>
      <c r="B4213" s="1">
        <v>6.37</v>
      </c>
      <c r="C4213" s="1">
        <v>5.53</v>
      </c>
      <c r="D4213" s="1">
        <v>0.54</v>
      </c>
      <c r="E4213" s="1" t="s">
        <v>113</v>
      </c>
      <c r="F4213" s="1" t="s">
        <v>113</v>
      </c>
      <c r="G4213" s="1" t="s">
        <v>113</v>
      </c>
      <c r="H4213" s="1" t="str">
        <f>VLOOKUP(F4213,Countries!$A$1:$B$161,2,0)</f>
        <v>United States of America</v>
      </c>
    </row>
    <row r="4214" spans="1:8" x14ac:dyDescent="0.3">
      <c r="A4214" s="3">
        <v>46246.926145833328</v>
      </c>
      <c r="B4214" s="1">
        <v>10.85</v>
      </c>
      <c r="C4214" s="1">
        <v>9.42</v>
      </c>
      <c r="D4214" s="1">
        <v>0.75</v>
      </c>
      <c r="E4214" s="1" t="s">
        <v>115</v>
      </c>
      <c r="F4214" s="1" t="s">
        <v>115</v>
      </c>
      <c r="G4214" s="1" t="s">
        <v>115</v>
      </c>
      <c r="H4214" s="1" t="str">
        <f>VLOOKUP(F4214,Countries!$A$1:$B$161,2,0)</f>
        <v>Switzerland</v>
      </c>
    </row>
    <row r="4215" spans="1:8" x14ac:dyDescent="0.3">
      <c r="A4215" s="3">
        <v>46246.919849537036</v>
      </c>
      <c r="B4215" s="1">
        <v>10.85</v>
      </c>
      <c r="C4215" s="1">
        <v>9.42</v>
      </c>
      <c r="D4215" s="1">
        <v>0.75</v>
      </c>
      <c r="E4215" s="1" t="s">
        <v>115</v>
      </c>
      <c r="F4215" s="1" t="s">
        <v>115</v>
      </c>
      <c r="G4215" s="1" t="s">
        <v>115</v>
      </c>
      <c r="H4215" s="1" t="str">
        <f>VLOOKUP(F4215,Countries!$A$1:$B$161,2,0)</f>
        <v>Switzerland</v>
      </c>
    </row>
    <row r="4216" spans="1:8" x14ac:dyDescent="0.3">
      <c r="A4216" s="3">
        <v>46246.9140162037</v>
      </c>
      <c r="B4216" s="1">
        <v>10.85</v>
      </c>
      <c r="C4216" s="1">
        <v>9.41</v>
      </c>
      <c r="D4216" s="1">
        <v>0.75</v>
      </c>
      <c r="E4216" s="1" t="s">
        <v>115</v>
      </c>
      <c r="F4216" s="1" t="s">
        <v>115</v>
      </c>
      <c r="G4216" s="1" t="s">
        <v>115</v>
      </c>
      <c r="H4216" s="1" t="str">
        <f>VLOOKUP(F4216,Countries!$A$1:$B$161,2,0)</f>
        <v>Switzerland</v>
      </c>
    </row>
    <row r="4217" spans="1:8" x14ac:dyDescent="0.3">
      <c r="A4217" s="3">
        <v>46246.912766203714</v>
      </c>
      <c r="B4217" s="1">
        <v>14.62</v>
      </c>
      <c r="C4217" s="1">
        <v>12.68</v>
      </c>
      <c r="D4217" s="1">
        <v>0.91</v>
      </c>
      <c r="E4217" s="1" t="s">
        <v>132</v>
      </c>
      <c r="F4217" s="1" t="s">
        <v>132</v>
      </c>
      <c r="G4217" s="1" t="s">
        <v>132</v>
      </c>
      <c r="H4217" s="1" t="str">
        <f>VLOOKUP(F4217,Countries!$A$1:$B$161,2,0)</f>
        <v>Canada</v>
      </c>
    </row>
    <row r="4218" spans="1:8" x14ac:dyDescent="0.3">
      <c r="A4218" s="3">
        <v>46246.910844907397</v>
      </c>
      <c r="B4218" s="1">
        <v>6.37</v>
      </c>
      <c r="C4218" s="1">
        <v>5.53</v>
      </c>
      <c r="D4218" s="1">
        <v>0.54</v>
      </c>
      <c r="E4218" s="1" t="s">
        <v>113</v>
      </c>
      <c r="F4218" s="1" t="s">
        <v>113</v>
      </c>
      <c r="G4218" s="1" t="s">
        <v>113</v>
      </c>
      <c r="H4218" s="1" t="str">
        <f>VLOOKUP(F4218,Countries!$A$1:$B$161,2,0)</f>
        <v>United States of America</v>
      </c>
    </row>
    <row r="4219" spans="1:8" x14ac:dyDescent="0.3">
      <c r="A4219" s="3">
        <v>46246.909201388888</v>
      </c>
      <c r="B4219" s="1">
        <v>10.85</v>
      </c>
      <c r="C4219" s="1">
        <v>9.41</v>
      </c>
      <c r="D4219" s="1">
        <v>0.75</v>
      </c>
      <c r="E4219" s="1" t="s">
        <v>115</v>
      </c>
      <c r="F4219" s="1" t="s">
        <v>115</v>
      </c>
      <c r="G4219" s="1" t="s">
        <v>115</v>
      </c>
      <c r="H4219" s="1" t="str">
        <f>VLOOKUP(F4219,Countries!$A$1:$B$161,2,0)</f>
        <v>Switzerland</v>
      </c>
    </row>
    <row r="4220" spans="1:8" x14ac:dyDescent="0.3">
      <c r="A4220" s="3">
        <v>46246.906504629631</v>
      </c>
      <c r="B4220" s="1">
        <v>12.76</v>
      </c>
      <c r="C4220" s="1">
        <v>11.07</v>
      </c>
      <c r="D4220" s="1">
        <v>0.83</v>
      </c>
      <c r="E4220" s="1" t="s">
        <v>113</v>
      </c>
      <c r="F4220" s="1" t="s">
        <v>113</v>
      </c>
      <c r="G4220" s="1" t="s">
        <v>113</v>
      </c>
      <c r="H4220" s="1" t="str">
        <f>VLOOKUP(F4220,Countries!$A$1:$B$161,2,0)</f>
        <v>United States of America</v>
      </c>
    </row>
    <row r="4221" spans="1:8" x14ac:dyDescent="0.3">
      <c r="A4221" s="3">
        <v>46246.906261574077</v>
      </c>
      <c r="B4221" s="1">
        <v>12.76</v>
      </c>
      <c r="C4221" s="1">
        <v>11.07</v>
      </c>
      <c r="D4221" s="1">
        <v>0.83</v>
      </c>
      <c r="E4221" s="1" t="s">
        <v>113</v>
      </c>
      <c r="F4221" s="1" t="s">
        <v>113</v>
      </c>
      <c r="G4221" s="1" t="s">
        <v>113</v>
      </c>
      <c r="H4221" s="1" t="str">
        <f>VLOOKUP(F4221,Countries!$A$1:$B$161,2,0)</f>
        <v>United States of America</v>
      </c>
    </row>
    <row r="4222" spans="1:8" x14ac:dyDescent="0.3">
      <c r="A4222" s="3">
        <v>46246.904710648138</v>
      </c>
      <c r="B4222" s="1">
        <v>10.85</v>
      </c>
      <c r="C4222" s="1">
        <v>9.41</v>
      </c>
      <c r="D4222" s="1">
        <v>0.75</v>
      </c>
      <c r="E4222" s="1" t="s">
        <v>115</v>
      </c>
      <c r="F4222" s="1" t="s">
        <v>115</v>
      </c>
      <c r="G4222" s="1" t="s">
        <v>115</v>
      </c>
      <c r="H4222" s="1" t="str">
        <f>VLOOKUP(F4222,Countries!$A$1:$B$161,2,0)</f>
        <v>Switzerland</v>
      </c>
    </row>
    <row r="4223" spans="1:8" x14ac:dyDescent="0.3">
      <c r="A4223" s="3">
        <v>46246.903553240743</v>
      </c>
      <c r="B4223" s="1">
        <v>58.41</v>
      </c>
      <c r="C4223" s="1">
        <v>50.68</v>
      </c>
      <c r="D4223" s="1">
        <v>2.91</v>
      </c>
      <c r="E4223" s="1" t="s">
        <v>132</v>
      </c>
      <c r="F4223" s="1" t="s">
        <v>132</v>
      </c>
      <c r="G4223" s="1" t="s">
        <v>132</v>
      </c>
      <c r="H4223" s="1" t="str">
        <f>VLOOKUP(F4223,Countries!$A$1:$B$161,2,0)</f>
        <v>Canada</v>
      </c>
    </row>
    <row r="4224" spans="1:8" x14ac:dyDescent="0.3">
      <c r="A4224" s="3">
        <v>46246.901331018518</v>
      </c>
      <c r="B4224" s="1">
        <v>15.43</v>
      </c>
      <c r="C4224" s="1">
        <v>13.39</v>
      </c>
      <c r="D4224" s="1">
        <v>0.96</v>
      </c>
      <c r="E4224" s="1" t="s">
        <v>130</v>
      </c>
      <c r="F4224" s="1" t="s">
        <v>130</v>
      </c>
      <c r="G4224" s="1" t="s">
        <v>130</v>
      </c>
      <c r="H4224" s="1" t="str">
        <f>VLOOKUP(F4224,Countries!$A$1:$B$161,2,0)</f>
        <v>Australia</v>
      </c>
    </row>
    <row r="4225" spans="1:8" x14ac:dyDescent="0.3">
      <c r="A4225" s="3">
        <v>46246.899537037039</v>
      </c>
      <c r="B4225" s="1">
        <v>2.5099999999999998</v>
      </c>
      <c r="C4225" s="1">
        <v>2.1800000000000002</v>
      </c>
      <c r="D4225" s="1">
        <v>0.32</v>
      </c>
      <c r="E4225" s="1" t="s">
        <v>116</v>
      </c>
      <c r="F4225" s="1" t="s">
        <v>116</v>
      </c>
      <c r="G4225" s="1" t="s">
        <v>116</v>
      </c>
      <c r="H4225" s="1" t="str">
        <f>VLOOKUP(F4225,Countries!$A$1:$B$161,2,0)</f>
        <v>Spain</v>
      </c>
    </row>
    <row r="4226" spans="1:8" x14ac:dyDescent="0.3">
      <c r="A4226" s="3">
        <v>46246.8909375</v>
      </c>
      <c r="B4226" s="1">
        <v>2.48</v>
      </c>
      <c r="C4226" s="1">
        <v>2.15</v>
      </c>
      <c r="D4226" s="1">
        <v>0.32</v>
      </c>
      <c r="E4226" s="1" t="s">
        <v>123</v>
      </c>
      <c r="F4226" s="1" t="s">
        <v>123</v>
      </c>
      <c r="G4226" s="1" t="s">
        <v>123</v>
      </c>
      <c r="H4226" s="1" t="str">
        <f>VLOOKUP(F4226,Countries!$A$1:$B$161,2,0)</f>
        <v>France</v>
      </c>
    </row>
    <row r="4227" spans="1:8" x14ac:dyDescent="0.3">
      <c r="A4227" s="3">
        <v>46246.88108796296</v>
      </c>
      <c r="B4227" s="1">
        <v>6.65</v>
      </c>
      <c r="C4227" s="1">
        <v>5.77</v>
      </c>
      <c r="D4227" s="1">
        <v>0.56000000000000005</v>
      </c>
      <c r="E4227" s="1" t="s">
        <v>121</v>
      </c>
      <c r="F4227" s="1" t="s">
        <v>121</v>
      </c>
      <c r="G4227" s="1" t="s">
        <v>121</v>
      </c>
      <c r="H4227" s="1" t="str">
        <f>VLOOKUP(F4227,Countries!$A$1:$B$161,2,0)</f>
        <v>Japan</v>
      </c>
    </row>
    <row r="4228" spans="1:8" x14ac:dyDescent="0.3">
      <c r="A4228" s="3">
        <v>46246.878518518519</v>
      </c>
      <c r="B4228" s="1">
        <v>58.41</v>
      </c>
      <c r="C4228" s="1">
        <v>50.68</v>
      </c>
      <c r="D4228" s="1">
        <v>2.91</v>
      </c>
      <c r="E4228" s="1" t="s">
        <v>132</v>
      </c>
      <c r="F4228" s="1" t="s">
        <v>132</v>
      </c>
      <c r="G4228" s="1" t="s">
        <v>132</v>
      </c>
      <c r="H4228" s="1" t="str">
        <f>VLOOKUP(F4228,Countries!$A$1:$B$161,2,0)</f>
        <v>Canada</v>
      </c>
    </row>
    <row r="4229" spans="1:8" x14ac:dyDescent="0.3">
      <c r="A4229" s="3">
        <v>46246.878078703703</v>
      </c>
      <c r="B4229" s="1">
        <v>5.99</v>
      </c>
      <c r="C4229" s="1">
        <v>5.2</v>
      </c>
      <c r="D4229" s="1">
        <v>0.52</v>
      </c>
      <c r="E4229" s="1" t="s">
        <v>121</v>
      </c>
      <c r="F4229" s="1" t="s">
        <v>121</v>
      </c>
      <c r="G4229" s="1" t="s">
        <v>121</v>
      </c>
      <c r="H4229" s="1" t="str">
        <f>VLOOKUP(F4229,Countries!$A$1:$B$161,2,0)</f>
        <v>Japan</v>
      </c>
    </row>
    <row r="4230" spans="1:8" x14ac:dyDescent="0.3">
      <c r="A4230" s="3">
        <v>46246.876793981479</v>
      </c>
      <c r="B4230" s="1">
        <v>15.43</v>
      </c>
      <c r="C4230" s="1">
        <v>13.39</v>
      </c>
      <c r="D4230" s="1">
        <v>0.96</v>
      </c>
      <c r="E4230" s="1" t="s">
        <v>130</v>
      </c>
      <c r="F4230" s="1" t="s">
        <v>130</v>
      </c>
      <c r="G4230" s="1" t="s">
        <v>130</v>
      </c>
      <c r="H4230" s="1" t="str">
        <f>VLOOKUP(F4230,Countries!$A$1:$B$161,2,0)</f>
        <v>Australia</v>
      </c>
    </row>
    <row r="4231" spans="1:8" x14ac:dyDescent="0.3">
      <c r="A4231" s="3">
        <v>46246.866932870369</v>
      </c>
      <c r="B4231" s="1">
        <v>14.62</v>
      </c>
      <c r="C4231" s="1">
        <v>12.69</v>
      </c>
      <c r="D4231" s="1">
        <v>0.91</v>
      </c>
      <c r="E4231" s="1" t="s">
        <v>132</v>
      </c>
      <c r="F4231" s="1" t="s">
        <v>132</v>
      </c>
      <c r="G4231" s="1" t="s">
        <v>132</v>
      </c>
      <c r="H4231" s="1" t="str">
        <f>VLOOKUP(F4231,Countries!$A$1:$B$161,2,0)</f>
        <v>Canada</v>
      </c>
    </row>
    <row r="4232" spans="1:8" x14ac:dyDescent="0.3">
      <c r="A4232" s="3">
        <v>46246.863356481481</v>
      </c>
      <c r="B4232" s="1">
        <v>6.37</v>
      </c>
      <c r="C4232" s="1">
        <v>5.53</v>
      </c>
      <c r="D4232" s="1">
        <v>0.54</v>
      </c>
      <c r="E4232" s="1" t="s">
        <v>113</v>
      </c>
      <c r="F4232" s="1" t="s">
        <v>113</v>
      </c>
      <c r="G4232" s="1" t="s">
        <v>113</v>
      </c>
      <c r="H4232" s="1" t="str">
        <f>VLOOKUP(F4232,Countries!$A$1:$B$161,2,0)</f>
        <v>United States of America</v>
      </c>
    </row>
    <row r="4233" spans="1:8" x14ac:dyDescent="0.3">
      <c r="A4233" s="3">
        <v>46246.862812500003</v>
      </c>
      <c r="B4233" s="1">
        <v>3.14</v>
      </c>
      <c r="C4233" s="1">
        <v>2.73</v>
      </c>
      <c r="D4233" s="1">
        <v>0.39</v>
      </c>
      <c r="E4233" s="1" t="s">
        <v>143</v>
      </c>
      <c r="F4233" s="1" t="s">
        <v>143</v>
      </c>
      <c r="G4233" s="1" t="s">
        <v>143</v>
      </c>
      <c r="H4233" s="1" t="str">
        <f>VLOOKUP(F4233,Countries!$A$1:$B$161,2,0)</f>
        <v>United Arab Emirates</v>
      </c>
    </row>
    <row r="4234" spans="1:8" x14ac:dyDescent="0.3">
      <c r="A4234" s="3">
        <v>46246.855879629627</v>
      </c>
      <c r="B4234" s="1">
        <v>7.48</v>
      </c>
      <c r="C4234" s="1">
        <v>6.49</v>
      </c>
      <c r="D4234" s="1">
        <v>0.54</v>
      </c>
      <c r="E4234" s="1" t="s">
        <v>119</v>
      </c>
      <c r="F4234" s="1" t="s">
        <v>119</v>
      </c>
      <c r="G4234" s="1" t="s">
        <v>119</v>
      </c>
      <c r="H4234" s="1" t="str">
        <f>VLOOKUP(F4234,Countries!$A$1:$B$161,2,0)</f>
        <v>Great Britain (United Kingdom)</v>
      </c>
    </row>
    <row r="4235" spans="1:8" x14ac:dyDescent="0.3">
      <c r="A4235" s="3">
        <v>46246.853171296287</v>
      </c>
      <c r="B4235" s="1">
        <v>14.77</v>
      </c>
      <c r="C4235" s="1">
        <v>12.82</v>
      </c>
      <c r="D4235" s="1">
        <v>0.93</v>
      </c>
      <c r="E4235" s="1" t="s">
        <v>113</v>
      </c>
      <c r="F4235" s="1" t="s">
        <v>113</v>
      </c>
      <c r="G4235" s="1" t="s">
        <v>113</v>
      </c>
      <c r="H4235" s="1" t="str">
        <f>VLOOKUP(F4235,Countries!$A$1:$B$161,2,0)</f>
        <v>United States of America</v>
      </c>
    </row>
    <row r="4236" spans="1:8" x14ac:dyDescent="0.3">
      <c r="A4236" s="3">
        <v>46246.850659722222</v>
      </c>
      <c r="B4236" s="1">
        <v>10.85</v>
      </c>
      <c r="C4236" s="1">
        <v>9.42</v>
      </c>
      <c r="D4236" s="1">
        <v>0.75</v>
      </c>
      <c r="E4236" s="1" t="s">
        <v>115</v>
      </c>
      <c r="F4236" s="1" t="s">
        <v>115</v>
      </c>
      <c r="G4236" s="1" t="s">
        <v>115</v>
      </c>
      <c r="H4236" s="1" t="str">
        <f>VLOOKUP(F4236,Countries!$A$1:$B$161,2,0)</f>
        <v>Switzerland</v>
      </c>
    </row>
    <row r="4237" spans="1:8" x14ac:dyDescent="0.3">
      <c r="A4237" s="3">
        <v>46246.842731481483</v>
      </c>
      <c r="B4237" s="1">
        <v>17.36</v>
      </c>
      <c r="C4237" s="1">
        <v>15.07</v>
      </c>
      <c r="D4237" s="1">
        <v>0.78</v>
      </c>
      <c r="E4237" s="1" t="s">
        <v>123</v>
      </c>
      <c r="F4237" s="1" t="s">
        <v>123</v>
      </c>
      <c r="G4237" s="1" t="s">
        <v>123</v>
      </c>
      <c r="H4237" s="1" t="str">
        <f>VLOOKUP(F4237,Countries!$A$1:$B$161,2,0)</f>
        <v>France</v>
      </c>
    </row>
    <row r="4238" spans="1:8" x14ac:dyDescent="0.3">
      <c r="A4238" s="3">
        <v>46246.840949074067</v>
      </c>
      <c r="B4238" s="1">
        <v>10.85</v>
      </c>
      <c r="C4238" s="1">
        <v>9.42</v>
      </c>
      <c r="D4238" s="1">
        <v>0.75</v>
      </c>
      <c r="E4238" s="1" t="s">
        <v>115</v>
      </c>
      <c r="F4238" s="1" t="s">
        <v>115</v>
      </c>
      <c r="G4238" s="1" t="s">
        <v>115</v>
      </c>
      <c r="H4238" s="1" t="str">
        <f>VLOOKUP(F4238,Countries!$A$1:$B$161,2,0)</f>
        <v>Switzerland</v>
      </c>
    </row>
    <row r="4239" spans="1:8" x14ac:dyDescent="0.3">
      <c r="A4239" s="3">
        <v>46246.840416666673</v>
      </c>
      <c r="B4239" s="1">
        <v>3.73</v>
      </c>
      <c r="C4239" s="1">
        <v>3.24</v>
      </c>
      <c r="D4239" s="1">
        <v>0.39</v>
      </c>
      <c r="E4239" s="1" t="s">
        <v>119</v>
      </c>
      <c r="F4239" s="1" t="s">
        <v>119</v>
      </c>
      <c r="G4239" s="1" t="s">
        <v>119</v>
      </c>
      <c r="H4239" s="1" t="str">
        <f>VLOOKUP(F4239,Countries!$A$1:$B$161,2,0)</f>
        <v>Great Britain (United Kingdom)</v>
      </c>
    </row>
    <row r="4240" spans="1:8" x14ac:dyDescent="0.3">
      <c r="A4240" s="3">
        <v>46246.835115740738</v>
      </c>
      <c r="B4240" s="1">
        <v>10.85</v>
      </c>
      <c r="C4240" s="1">
        <v>9.42</v>
      </c>
      <c r="D4240" s="1">
        <v>0.75</v>
      </c>
      <c r="E4240" s="1" t="s">
        <v>115</v>
      </c>
      <c r="F4240" s="1" t="s">
        <v>115</v>
      </c>
      <c r="G4240" s="1" t="s">
        <v>115</v>
      </c>
      <c r="H4240" s="1" t="str">
        <f>VLOOKUP(F4240,Countries!$A$1:$B$161,2,0)</f>
        <v>Switzerland</v>
      </c>
    </row>
    <row r="4241" spans="1:8" x14ac:dyDescent="0.3">
      <c r="A4241" s="3">
        <v>46246.828530092593</v>
      </c>
      <c r="B4241" s="1">
        <v>10.85</v>
      </c>
      <c r="C4241" s="1">
        <v>9.42</v>
      </c>
      <c r="D4241" s="1">
        <v>0.75</v>
      </c>
      <c r="E4241" s="1" t="s">
        <v>115</v>
      </c>
      <c r="F4241" s="1" t="s">
        <v>115</v>
      </c>
      <c r="G4241" s="1" t="s">
        <v>115</v>
      </c>
      <c r="H4241" s="1" t="str">
        <f>VLOOKUP(F4241,Countries!$A$1:$B$161,2,0)</f>
        <v>Switzerland</v>
      </c>
    </row>
    <row r="4242" spans="1:8" x14ac:dyDescent="0.3">
      <c r="A4242" s="3">
        <v>46246.82603009259</v>
      </c>
      <c r="B4242" s="1">
        <v>12.48</v>
      </c>
      <c r="C4242" s="1">
        <v>10.83</v>
      </c>
      <c r="D4242" s="1">
        <v>0.63</v>
      </c>
      <c r="E4242" s="1" t="s">
        <v>123</v>
      </c>
      <c r="F4242" s="1" t="s">
        <v>123</v>
      </c>
      <c r="G4242" s="1" t="s">
        <v>123</v>
      </c>
      <c r="H4242" s="1" t="str">
        <f>VLOOKUP(F4242,Countries!$A$1:$B$161,2,0)</f>
        <v>France</v>
      </c>
    </row>
    <row r="4243" spans="1:8" x14ac:dyDescent="0.3">
      <c r="A4243" s="3">
        <v>46246.825775462959</v>
      </c>
      <c r="B4243" s="1">
        <v>27.8</v>
      </c>
      <c r="C4243" s="1">
        <v>24.13</v>
      </c>
      <c r="D4243" s="1">
        <v>1.51</v>
      </c>
      <c r="E4243" s="1" t="s">
        <v>142</v>
      </c>
      <c r="F4243" s="1" t="s">
        <v>142</v>
      </c>
      <c r="G4243" s="1" t="s">
        <v>142</v>
      </c>
      <c r="H4243" s="1" t="str">
        <f>VLOOKUP(F4243,Countries!$A$1:$B$161,2,0)</f>
        <v>India</v>
      </c>
    </row>
    <row r="4244" spans="1:8" x14ac:dyDescent="0.3">
      <c r="A4244" s="3">
        <v>46246.824502314812</v>
      </c>
      <c r="B4244" s="1">
        <v>6.3</v>
      </c>
      <c r="C4244" s="1">
        <v>5.47</v>
      </c>
      <c r="D4244" s="1">
        <v>0.54</v>
      </c>
      <c r="E4244" s="1" t="s">
        <v>132</v>
      </c>
      <c r="F4244" s="1" t="s">
        <v>132</v>
      </c>
      <c r="G4244" s="1" t="s">
        <v>132</v>
      </c>
      <c r="H4244" s="1" t="str">
        <f>VLOOKUP(F4244,Countries!$A$1:$B$161,2,0)</f>
        <v>Canada</v>
      </c>
    </row>
    <row r="4245" spans="1:8" x14ac:dyDescent="0.3">
      <c r="A4245" s="3">
        <v>46246.824166666673</v>
      </c>
      <c r="B4245" s="1">
        <v>6.37</v>
      </c>
      <c r="C4245" s="1">
        <v>5.53</v>
      </c>
      <c r="D4245" s="1">
        <v>0.54</v>
      </c>
      <c r="E4245" s="1" t="s">
        <v>113</v>
      </c>
      <c r="F4245" s="1" t="s">
        <v>113</v>
      </c>
      <c r="G4245" s="1" t="s">
        <v>113</v>
      </c>
      <c r="H4245" s="1" t="str">
        <f>VLOOKUP(F4245,Countries!$A$1:$B$161,2,0)</f>
        <v>United States of America</v>
      </c>
    </row>
    <row r="4246" spans="1:8" x14ac:dyDescent="0.3">
      <c r="A4246" s="3">
        <v>46246.823564814818</v>
      </c>
      <c r="B4246" s="1">
        <v>3.78</v>
      </c>
      <c r="C4246" s="1">
        <v>3.28</v>
      </c>
      <c r="D4246" s="1">
        <v>0.43</v>
      </c>
      <c r="E4246" s="1" t="s">
        <v>142</v>
      </c>
      <c r="F4246" s="1" t="s">
        <v>142</v>
      </c>
      <c r="G4246" s="1" t="s">
        <v>142</v>
      </c>
      <c r="H4246" s="1" t="str">
        <f>VLOOKUP(F4246,Countries!$A$1:$B$161,2,0)</f>
        <v>India</v>
      </c>
    </row>
    <row r="4247" spans="1:8" x14ac:dyDescent="0.3">
      <c r="A4247" s="3">
        <v>46246.821469907409</v>
      </c>
      <c r="B4247" s="1">
        <v>10.85</v>
      </c>
      <c r="C4247" s="1">
        <v>9.42</v>
      </c>
      <c r="D4247" s="1">
        <v>0.75</v>
      </c>
      <c r="E4247" s="1" t="s">
        <v>115</v>
      </c>
      <c r="F4247" s="1" t="s">
        <v>115</v>
      </c>
      <c r="G4247" s="1" t="s">
        <v>115</v>
      </c>
      <c r="H4247" s="1" t="str">
        <f>VLOOKUP(F4247,Countries!$A$1:$B$161,2,0)</f>
        <v>Switzerland</v>
      </c>
    </row>
    <row r="4248" spans="1:8" x14ac:dyDescent="0.3">
      <c r="A4248" s="3">
        <v>46246.821238425917</v>
      </c>
      <c r="B4248" s="1">
        <v>7.48</v>
      </c>
      <c r="C4248" s="1">
        <v>6.49</v>
      </c>
      <c r="D4248" s="1">
        <v>0.48</v>
      </c>
      <c r="E4248" s="1" t="s">
        <v>123</v>
      </c>
      <c r="F4248" s="1" t="s">
        <v>123</v>
      </c>
      <c r="G4248" s="1" t="s">
        <v>123</v>
      </c>
      <c r="H4248" s="1" t="str">
        <f>VLOOKUP(F4248,Countries!$A$1:$B$161,2,0)</f>
        <v>France</v>
      </c>
    </row>
    <row r="4249" spans="1:8" x14ac:dyDescent="0.3">
      <c r="A4249" s="3">
        <v>46246.819143518522</v>
      </c>
      <c r="B4249" s="1">
        <v>2.99</v>
      </c>
      <c r="C4249" s="1">
        <v>2.6</v>
      </c>
      <c r="D4249" s="1">
        <v>0.38</v>
      </c>
      <c r="E4249" s="1" t="s">
        <v>113</v>
      </c>
      <c r="F4249" s="1" t="s">
        <v>113</v>
      </c>
      <c r="G4249" s="1" t="s">
        <v>113</v>
      </c>
      <c r="H4249" s="1" t="str">
        <f>VLOOKUP(F4249,Countries!$A$1:$B$161,2,0)</f>
        <v>United States of America</v>
      </c>
    </row>
    <row r="4250" spans="1:8" x14ac:dyDescent="0.3">
      <c r="A4250" s="3">
        <v>46246.812754629631</v>
      </c>
      <c r="B4250" s="1">
        <v>58.41</v>
      </c>
      <c r="C4250" s="1">
        <v>50.69</v>
      </c>
      <c r="D4250" s="1">
        <v>2.91</v>
      </c>
      <c r="E4250" s="1" t="s">
        <v>132</v>
      </c>
      <c r="F4250" s="1" t="s">
        <v>132</v>
      </c>
      <c r="G4250" s="1" t="s">
        <v>132</v>
      </c>
      <c r="H4250" s="1" t="str">
        <f>VLOOKUP(F4250,Countries!$A$1:$B$161,2,0)</f>
        <v>Canada</v>
      </c>
    </row>
    <row r="4251" spans="1:8" x14ac:dyDescent="0.3">
      <c r="A4251" s="3">
        <v>46246.812418981477</v>
      </c>
      <c r="B4251" s="1">
        <v>10.85</v>
      </c>
      <c r="C4251" s="1">
        <v>9.42</v>
      </c>
      <c r="D4251" s="1">
        <v>0.75</v>
      </c>
      <c r="E4251" s="1" t="s">
        <v>115</v>
      </c>
      <c r="F4251" s="1" t="s">
        <v>115</v>
      </c>
      <c r="G4251" s="1" t="s">
        <v>115</v>
      </c>
      <c r="H4251" s="1" t="str">
        <f>VLOOKUP(F4251,Countries!$A$1:$B$161,2,0)</f>
        <v>Switzerland</v>
      </c>
    </row>
    <row r="4252" spans="1:8" x14ac:dyDescent="0.3">
      <c r="A4252" s="3">
        <v>46246.802141203712</v>
      </c>
      <c r="B4252" s="1">
        <v>10.85</v>
      </c>
      <c r="C4252" s="1">
        <v>9.42</v>
      </c>
      <c r="D4252" s="1">
        <v>0.75</v>
      </c>
      <c r="E4252" s="1" t="s">
        <v>115</v>
      </c>
      <c r="F4252" s="1" t="s">
        <v>115</v>
      </c>
      <c r="G4252" s="1" t="s">
        <v>115</v>
      </c>
      <c r="H4252" s="1" t="str">
        <f>VLOOKUP(F4252,Countries!$A$1:$B$161,2,0)</f>
        <v>Switzerland</v>
      </c>
    </row>
    <row r="4253" spans="1:8" x14ac:dyDescent="0.3">
      <c r="A4253" s="3">
        <v>46246.799421296288</v>
      </c>
      <c r="B4253" s="1">
        <v>14.62</v>
      </c>
      <c r="C4253" s="1">
        <v>12.69</v>
      </c>
      <c r="D4253" s="1">
        <v>0.91</v>
      </c>
      <c r="E4253" s="1" t="s">
        <v>132</v>
      </c>
      <c r="F4253" s="1" t="s">
        <v>132</v>
      </c>
      <c r="G4253" s="1" t="s">
        <v>132</v>
      </c>
      <c r="H4253" s="1" t="str">
        <f>VLOOKUP(F4253,Countries!$A$1:$B$161,2,0)</f>
        <v>Canada</v>
      </c>
    </row>
    <row r="4254" spans="1:8" x14ac:dyDescent="0.3">
      <c r="A4254" s="3">
        <v>46246.791273148148</v>
      </c>
      <c r="B4254" s="1">
        <v>10.85</v>
      </c>
      <c r="C4254" s="1">
        <v>9.42</v>
      </c>
      <c r="D4254" s="1">
        <v>0.75</v>
      </c>
      <c r="E4254" s="1" t="s">
        <v>115</v>
      </c>
      <c r="F4254" s="1" t="s">
        <v>115</v>
      </c>
      <c r="G4254" s="1" t="s">
        <v>115</v>
      </c>
      <c r="H4254" s="1" t="str">
        <f>VLOOKUP(F4254,Countries!$A$1:$B$161,2,0)</f>
        <v>Switzerland</v>
      </c>
    </row>
    <row r="4255" spans="1:8" x14ac:dyDescent="0.3">
      <c r="A4255" s="3">
        <v>46246.790462962963</v>
      </c>
      <c r="B4255" s="1">
        <v>2.11</v>
      </c>
      <c r="C4255" s="1">
        <v>1.83</v>
      </c>
      <c r="D4255" s="1">
        <v>0.35</v>
      </c>
      <c r="E4255" s="1" t="s">
        <v>113</v>
      </c>
      <c r="F4255" s="1" t="s">
        <v>113</v>
      </c>
      <c r="G4255" s="1" t="s">
        <v>113</v>
      </c>
      <c r="H4255" s="1" t="str">
        <f>VLOOKUP(F4255,Countries!$A$1:$B$161,2,0)</f>
        <v>United States of America</v>
      </c>
    </row>
    <row r="4256" spans="1:8" x14ac:dyDescent="0.3">
      <c r="A4256" s="3">
        <v>46246.788240740738</v>
      </c>
      <c r="B4256" s="1">
        <v>6.37</v>
      </c>
      <c r="C4256" s="1">
        <v>5.53</v>
      </c>
      <c r="D4256" s="1">
        <v>0.54</v>
      </c>
      <c r="E4256" s="1" t="s">
        <v>113</v>
      </c>
      <c r="F4256" s="1" t="s">
        <v>113</v>
      </c>
      <c r="G4256" s="1" t="s">
        <v>113</v>
      </c>
      <c r="H4256" s="1" t="str">
        <f>VLOOKUP(F4256,Countries!$A$1:$B$161,2,0)</f>
        <v>United States of America</v>
      </c>
    </row>
    <row r="4257" spans="1:8" x14ac:dyDescent="0.3">
      <c r="A4257" s="3">
        <v>46246.784421296303</v>
      </c>
      <c r="B4257" s="1">
        <v>14.62</v>
      </c>
      <c r="C4257" s="1">
        <v>12.69</v>
      </c>
      <c r="D4257" s="1">
        <v>0.91</v>
      </c>
      <c r="E4257" s="1" t="s">
        <v>132</v>
      </c>
      <c r="F4257" s="1" t="s">
        <v>132</v>
      </c>
      <c r="G4257" s="1" t="s">
        <v>132</v>
      </c>
      <c r="H4257" s="1" t="str">
        <f>VLOOKUP(F4257,Countries!$A$1:$B$161,2,0)</f>
        <v>Canada</v>
      </c>
    </row>
    <row r="4258" spans="1:8" x14ac:dyDescent="0.3">
      <c r="A4258" s="3">
        <v>46246.777569444443</v>
      </c>
      <c r="B4258" s="1">
        <v>14.62</v>
      </c>
      <c r="C4258" s="1">
        <v>12.69</v>
      </c>
      <c r="D4258" s="1">
        <v>0.91</v>
      </c>
      <c r="E4258" s="1" t="s">
        <v>132</v>
      </c>
      <c r="F4258" s="1" t="s">
        <v>132</v>
      </c>
      <c r="G4258" s="1" t="s">
        <v>132</v>
      </c>
      <c r="H4258" s="1" t="str">
        <f>VLOOKUP(F4258,Countries!$A$1:$B$161,2,0)</f>
        <v>Canada</v>
      </c>
    </row>
    <row r="4259" spans="1:8" x14ac:dyDescent="0.3">
      <c r="A4259" s="3">
        <v>46246.769965277781</v>
      </c>
      <c r="B4259" s="1">
        <v>14.62</v>
      </c>
      <c r="C4259" s="1">
        <v>12.69</v>
      </c>
      <c r="D4259" s="1">
        <v>0.91</v>
      </c>
      <c r="E4259" s="1" t="s">
        <v>132</v>
      </c>
      <c r="F4259" s="1" t="s">
        <v>132</v>
      </c>
      <c r="G4259" s="1" t="s">
        <v>132</v>
      </c>
      <c r="H4259" s="1" t="str">
        <f>VLOOKUP(F4259,Countries!$A$1:$B$161,2,0)</f>
        <v>Canada</v>
      </c>
    </row>
    <row r="4260" spans="1:8" x14ac:dyDescent="0.3">
      <c r="A4260" s="3">
        <v>46246.767233796287</v>
      </c>
      <c r="B4260" s="1">
        <v>6.37</v>
      </c>
      <c r="C4260" s="1">
        <v>5.53</v>
      </c>
      <c r="D4260" s="1">
        <v>0.54</v>
      </c>
      <c r="E4260" s="1" t="s">
        <v>113</v>
      </c>
      <c r="F4260" s="1" t="s">
        <v>113</v>
      </c>
      <c r="G4260" s="1" t="s">
        <v>113</v>
      </c>
      <c r="H4260" s="1" t="str">
        <f>VLOOKUP(F4260,Countries!$A$1:$B$161,2,0)</f>
        <v>United States of America</v>
      </c>
    </row>
    <row r="4261" spans="1:8" x14ac:dyDescent="0.3">
      <c r="A4261" s="3">
        <v>46246.761562500003</v>
      </c>
      <c r="B4261" s="1">
        <v>17.010000000000002</v>
      </c>
      <c r="C4261" s="1">
        <v>14.76</v>
      </c>
      <c r="D4261" s="1">
        <v>1.03</v>
      </c>
      <c r="E4261" s="1" t="s">
        <v>113</v>
      </c>
      <c r="F4261" s="1" t="s">
        <v>113</v>
      </c>
      <c r="G4261" s="1" t="s">
        <v>113</v>
      </c>
      <c r="H4261" s="1" t="str">
        <f>VLOOKUP(F4261,Countries!$A$1:$B$161,2,0)</f>
        <v>United States of America</v>
      </c>
    </row>
    <row r="4262" spans="1:8" x14ac:dyDescent="0.3">
      <c r="A4262" s="3">
        <v>46246.761550925927</v>
      </c>
      <c r="B4262" s="1">
        <v>3.69</v>
      </c>
      <c r="C4262" s="1">
        <v>3.2</v>
      </c>
      <c r="D4262" s="1">
        <v>0.36</v>
      </c>
      <c r="E4262" s="1" t="s">
        <v>159</v>
      </c>
      <c r="F4262" s="1" t="s">
        <v>159</v>
      </c>
      <c r="G4262" s="1" t="s">
        <v>159</v>
      </c>
      <c r="H4262" s="1" t="str">
        <f>VLOOKUP(F4262,Countries!$A$1:$B$161,2,0)</f>
        <v>Romania</v>
      </c>
    </row>
    <row r="4263" spans="1:8" x14ac:dyDescent="0.3">
      <c r="A4263" s="3">
        <v>46246.759583333333</v>
      </c>
      <c r="B4263" s="1">
        <v>22.18</v>
      </c>
      <c r="C4263" s="1">
        <v>19.25</v>
      </c>
      <c r="D4263" s="1">
        <v>1.27</v>
      </c>
      <c r="E4263" s="1" t="s">
        <v>113</v>
      </c>
      <c r="F4263" s="1" t="s">
        <v>113</v>
      </c>
      <c r="G4263" s="1" t="s">
        <v>113</v>
      </c>
      <c r="H4263" s="1" t="str">
        <f>VLOOKUP(F4263,Countries!$A$1:$B$161,2,0)</f>
        <v>United States of America</v>
      </c>
    </row>
    <row r="4264" spans="1:8" x14ac:dyDescent="0.3">
      <c r="A4264" s="3">
        <v>46246.759317129632</v>
      </c>
      <c r="B4264" s="1">
        <v>14.62</v>
      </c>
      <c r="C4264" s="1">
        <v>12.69</v>
      </c>
      <c r="D4264" s="1">
        <v>0.91</v>
      </c>
      <c r="E4264" s="1" t="s">
        <v>132</v>
      </c>
      <c r="F4264" s="1" t="s">
        <v>132</v>
      </c>
      <c r="G4264" s="1" t="s">
        <v>132</v>
      </c>
      <c r="H4264" s="1" t="str">
        <f>VLOOKUP(F4264,Countries!$A$1:$B$161,2,0)</f>
        <v>Canada</v>
      </c>
    </row>
    <row r="4265" spans="1:8" x14ac:dyDescent="0.3">
      <c r="A4265" s="3">
        <v>46246.754502314812</v>
      </c>
      <c r="B4265" s="1">
        <v>14.62</v>
      </c>
      <c r="C4265" s="1">
        <v>12.69</v>
      </c>
      <c r="D4265" s="1">
        <v>0.91</v>
      </c>
      <c r="E4265" s="1" t="s">
        <v>132</v>
      </c>
      <c r="F4265" s="1" t="s">
        <v>132</v>
      </c>
      <c r="G4265" s="1" t="s">
        <v>132</v>
      </c>
      <c r="H4265" s="1" t="str">
        <f>VLOOKUP(F4265,Countries!$A$1:$B$161,2,0)</f>
        <v>Canada</v>
      </c>
    </row>
    <row r="4266" spans="1:8" x14ac:dyDescent="0.3">
      <c r="A4266" s="3">
        <v>46246.749328703707</v>
      </c>
      <c r="B4266" s="1">
        <v>17.010000000000002</v>
      </c>
      <c r="C4266" s="1">
        <v>14.76</v>
      </c>
      <c r="D4266" s="1">
        <v>1.03</v>
      </c>
      <c r="E4266" s="1" t="s">
        <v>113</v>
      </c>
      <c r="F4266" s="1" t="s">
        <v>113</v>
      </c>
      <c r="G4266" s="1" t="s">
        <v>113</v>
      </c>
      <c r="H4266" s="1" t="str">
        <f>VLOOKUP(F4266,Countries!$A$1:$B$161,2,0)</f>
        <v>United States of America</v>
      </c>
    </row>
    <row r="4267" spans="1:8" x14ac:dyDescent="0.3">
      <c r="A4267" s="3">
        <v>46246.744421296287</v>
      </c>
      <c r="B4267" s="1">
        <v>14.62</v>
      </c>
      <c r="C4267" s="1">
        <v>12.68</v>
      </c>
      <c r="D4267" s="1">
        <v>0.91</v>
      </c>
      <c r="E4267" s="1" t="s">
        <v>132</v>
      </c>
      <c r="F4267" s="1" t="s">
        <v>132</v>
      </c>
      <c r="G4267" s="1" t="s">
        <v>132</v>
      </c>
      <c r="H4267" s="1" t="str">
        <f>VLOOKUP(F4267,Countries!$A$1:$B$161,2,0)</f>
        <v>Canada</v>
      </c>
    </row>
    <row r="4268" spans="1:8" x14ac:dyDescent="0.3">
      <c r="A4268" s="3">
        <v>46246.743541666663</v>
      </c>
      <c r="B4268" s="1">
        <v>14.77</v>
      </c>
      <c r="C4268" s="1">
        <v>12.81</v>
      </c>
      <c r="D4268" s="1">
        <v>0.93</v>
      </c>
      <c r="E4268" s="1" t="s">
        <v>113</v>
      </c>
      <c r="F4268" s="1" t="s">
        <v>113</v>
      </c>
      <c r="G4268" s="1" t="s">
        <v>113</v>
      </c>
      <c r="H4268" s="1" t="str">
        <f>VLOOKUP(F4268,Countries!$A$1:$B$161,2,0)</f>
        <v>United States of America</v>
      </c>
    </row>
    <row r="4269" spans="1:8" x14ac:dyDescent="0.3">
      <c r="A4269" s="3">
        <v>46246.743194444447</v>
      </c>
      <c r="B4269" s="1">
        <v>12.64</v>
      </c>
      <c r="C4269" s="1">
        <v>10.96</v>
      </c>
      <c r="D4269" s="1">
        <v>0.63</v>
      </c>
      <c r="E4269" s="1" t="s">
        <v>151</v>
      </c>
      <c r="F4269" s="1" t="s">
        <v>151</v>
      </c>
      <c r="G4269" s="1" t="s">
        <v>151</v>
      </c>
      <c r="H4269" s="1" t="str">
        <f>VLOOKUP(F4269,Countries!$A$1:$B$161,2,0)</f>
        <v>Netherlands (Holland)</v>
      </c>
    </row>
    <row r="4270" spans="1:8" x14ac:dyDescent="0.3">
      <c r="A4270" s="3">
        <v>46246.741261574083</v>
      </c>
      <c r="B4270" s="1">
        <v>7.39</v>
      </c>
      <c r="C4270" s="1">
        <v>6.41</v>
      </c>
      <c r="D4270" s="1">
        <v>0.48</v>
      </c>
      <c r="E4270" s="1" t="s">
        <v>147</v>
      </c>
      <c r="F4270" s="1" t="s">
        <v>147</v>
      </c>
      <c r="G4270" s="1" t="s">
        <v>147</v>
      </c>
      <c r="H4270" s="1" t="str">
        <f>VLOOKUP(F4270,Countries!$A$1:$B$161,2,0)</f>
        <v>Germany</v>
      </c>
    </row>
    <row r="4271" spans="1:8" x14ac:dyDescent="0.3">
      <c r="A4271" s="3">
        <v>46246.739629629628</v>
      </c>
      <c r="B4271" s="1">
        <v>96.37</v>
      </c>
      <c r="C4271" s="1">
        <v>83.6</v>
      </c>
      <c r="D4271" s="1">
        <v>4.6399999999999997</v>
      </c>
      <c r="E4271" s="1" t="s">
        <v>165</v>
      </c>
      <c r="F4271" s="1" t="s">
        <v>165</v>
      </c>
      <c r="G4271" s="1" t="s">
        <v>165</v>
      </c>
      <c r="H4271" s="1" t="str">
        <f>VLOOKUP(F4271,Countries!$A$1:$B$161,2,0)</f>
        <v>Israel</v>
      </c>
    </row>
    <row r="4272" spans="1:8" x14ac:dyDescent="0.3">
      <c r="A4272" s="3">
        <v>46246.739317129628</v>
      </c>
      <c r="B4272" s="1">
        <v>2.11</v>
      </c>
      <c r="C4272" s="1">
        <v>1.83</v>
      </c>
      <c r="D4272" s="1">
        <v>0.35</v>
      </c>
      <c r="E4272" s="1" t="s">
        <v>113</v>
      </c>
      <c r="F4272" s="1" t="s">
        <v>113</v>
      </c>
      <c r="G4272" s="1" t="s">
        <v>113</v>
      </c>
      <c r="H4272" s="1" t="str">
        <f>VLOOKUP(F4272,Countries!$A$1:$B$161,2,0)</f>
        <v>United States of America</v>
      </c>
    </row>
    <row r="4273" spans="1:8" x14ac:dyDescent="0.3">
      <c r="A4273" s="3">
        <v>46246.738819444443</v>
      </c>
      <c r="B4273" s="1">
        <v>6.58</v>
      </c>
      <c r="C4273" s="1">
        <v>5.71</v>
      </c>
      <c r="D4273" s="1">
        <v>0.55000000000000004</v>
      </c>
      <c r="E4273" s="1" t="s">
        <v>152</v>
      </c>
      <c r="F4273" s="1" t="s">
        <v>152</v>
      </c>
      <c r="G4273" s="1" t="s">
        <v>152</v>
      </c>
      <c r="H4273" s="1" t="str">
        <f>VLOOKUP(F4273,Countries!$A$1:$B$161,2,0)</f>
        <v>Singapore</v>
      </c>
    </row>
    <row r="4274" spans="1:8" x14ac:dyDescent="0.3">
      <c r="A4274" s="3">
        <v>46246.738587962973</v>
      </c>
      <c r="B4274" s="1">
        <v>12.64</v>
      </c>
      <c r="C4274" s="1">
        <v>10.96</v>
      </c>
      <c r="D4274" s="1">
        <v>0.63</v>
      </c>
      <c r="E4274" s="1" t="s">
        <v>151</v>
      </c>
      <c r="F4274" s="1" t="s">
        <v>151</v>
      </c>
      <c r="G4274" s="1" t="s">
        <v>151</v>
      </c>
      <c r="H4274" s="1" t="str">
        <f>VLOOKUP(F4274,Countries!$A$1:$B$161,2,0)</f>
        <v>Netherlands (Holland)</v>
      </c>
    </row>
    <row r="4275" spans="1:8" x14ac:dyDescent="0.3">
      <c r="A4275" s="3">
        <v>46246.731562499997</v>
      </c>
      <c r="B4275" s="1">
        <v>7.58</v>
      </c>
      <c r="C4275" s="1">
        <v>6.58</v>
      </c>
      <c r="D4275" s="1">
        <v>0.48</v>
      </c>
      <c r="E4275" s="1" t="s">
        <v>116</v>
      </c>
      <c r="F4275" s="1" t="s">
        <v>116</v>
      </c>
      <c r="G4275" s="1" t="s">
        <v>116</v>
      </c>
      <c r="H4275" s="1" t="str">
        <f>VLOOKUP(F4275,Countries!$A$1:$B$161,2,0)</f>
        <v>Spain</v>
      </c>
    </row>
    <row r="4276" spans="1:8" x14ac:dyDescent="0.3">
      <c r="A4276" s="3">
        <v>46246.731099537043</v>
      </c>
      <c r="B4276" s="1">
        <v>14.62</v>
      </c>
      <c r="C4276" s="1">
        <v>12.68</v>
      </c>
      <c r="D4276" s="1">
        <v>0.91</v>
      </c>
      <c r="E4276" s="1" t="s">
        <v>132</v>
      </c>
      <c r="F4276" s="1" t="s">
        <v>132</v>
      </c>
      <c r="G4276" s="1" t="s">
        <v>132</v>
      </c>
      <c r="H4276" s="1" t="str">
        <f>VLOOKUP(F4276,Countries!$A$1:$B$161,2,0)</f>
        <v>Canada</v>
      </c>
    </row>
    <row r="4277" spans="1:8" x14ac:dyDescent="0.3">
      <c r="A4277" s="3">
        <v>46246.726597222223</v>
      </c>
      <c r="B4277" s="1">
        <v>3.78</v>
      </c>
      <c r="C4277" s="1">
        <v>3.28</v>
      </c>
      <c r="D4277" s="1">
        <v>0.37</v>
      </c>
      <c r="E4277" s="1" t="s">
        <v>154</v>
      </c>
      <c r="F4277" s="1" t="s">
        <v>154</v>
      </c>
      <c r="G4277" s="1" t="s">
        <v>154</v>
      </c>
      <c r="H4277" s="1" t="str">
        <f>VLOOKUP(F4277,Countries!$A$1:$B$161,2,0)</f>
        <v>Belgium</v>
      </c>
    </row>
    <row r="4278" spans="1:8" x14ac:dyDescent="0.3">
      <c r="A4278" s="3">
        <v>46246.721099537041</v>
      </c>
      <c r="B4278" s="1">
        <v>14.62</v>
      </c>
      <c r="C4278" s="1">
        <v>12.68</v>
      </c>
      <c r="D4278" s="1">
        <v>0.91</v>
      </c>
      <c r="E4278" s="1" t="s">
        <v>132</v>
      </c>
      <c r="F4278" s="1" t="s">
        <v>132</v>
      </c>
      <c r="G4278" s="1" t="s">
        <v>132</v>
      </c>
      <c r="H4278" s="1" t="str">
        <f>VLOOKUP(F4278,Countries!$A$1:$B$161,2,0)</f>
        <v>Canada</v>
      </c>
    </row>
    <row r="4279" spans="1:8" x14ac:dyDescent="0.3">
      <c r="A4279" s="3">
        <v>46246.716249999998</v>
      </c>
      <c r="B4279" s="1">
        <v>6.65</v>
      </c>
      <c r="C4279" s="1">
        <v>5.77</v>
      </c>
      <c r="D4279" s="1">
        <v>0.56000000000000005</v>
      </c>
      <c r="E4279" s="1" t="s">
        <v>130</v>
      </c>
      <c r="F4279" s="1" t="s">
        <v>130</v>
      </c>
      <c r="G4279" s="1" t="s">
        <v>130</v>
      </c>
      <c r="H4279" s="1" t="str">
        <f>VLOOKUP(F4279,Countries!$A$1:$B$161,2,0)</f>
        <v>Australia</v>
      </c>
    </row>
    <row r="4280" spans="1:8" x14ac:dyDescent="0.3">
      <c r="A4280" s="3">
        <v>46246.712245370371</v>
      </c>
      <c r="B4280" s="1">
        <v>10.85</v>
      </c>
      <c r="C4280" s="1">
        <v>9.41</v>
      </c>
      <c r="D4280" s="1">
        <v>0.75</v>
      </c>
      <c r="E4280" s="1" t="s">
        <v>115</v>
      </c>
      <c r="F4280" s="1" t="s">
        <v>115</v>
      </c>
      <c r="G4280" s="1" t="s">
        <v>115</v>
      </c>
      <c r="H4280" s="1" t="str">
        <f>VLOOKUP(F4280,Countries!$A$1:$B$161,2,0)</f>
        <v>Switzerland</v>
      </c>
    </row>
    <row r="4281" spans="1:8" x14ac:dyDescent="0.3">
      <c r="A4281" s="3">
        <v>46246.704201388893</v>
      </c>
      <c r="B4281" s="1">
        <v>14.62</v>
      </c>
      <c r="C4281" s="1">
        <v>12.67</v>
      </c>
      <c r="D4281" s="1">
        <v>0.91</v>
      </c>
      <c r="E4281" s="1" t="s">
        <v>132</v>
      </c>
      <c r="F4281" s="1" t="s">
        <v>132</v>
      </c>
      <c r="G4281" s="1" t="s">
        <v>132</v>
      </c>
      <c r="H4281" s="1" t="str">
        <f>VLOOKUP(F4281,Countries!$A$1:$B$161,2,0)</f>
        <v>Canada</v>
      </c>
    </row>
    <row r="4282" spans="1:8" x14ac:dyDescent="0.3">
      <c r="A4282" s="3">
        <v>46246.700509259259</v>
      </c>
      <c r="B4282" s="1">
        <v>6.37</v>
      </c>
      <c r="C4282" s="1">
        <v>5.52</v>
      </c>
      <c r="D4282" s="1">
        <v>0.54</v>
      </c>
      <c r="E4282" s="1" t="s">
        <v>113</v>
      </c>
      <c r="F4282" s="1" t="s">
        <v>113</v>
      </c>
      <c r="G4282" s="1" t="s">
        <v>113</v>
      </c>
      <c r="H4282" s="1" t="str">
        <f>VLOOKUP(F4282,Countries!$A$1:$B$161,2,0)</f>
        <v>United States of America</v>
      </c>
    </row>
    <row r="4283" spans="1:8" x14ac:dyDescent="0.3">
      <c r="A4283" s="3">
        <v>46246.693425925929</v>
      </c>
      <c r="B4283" s="1">
        <v>14.62</v>
      </c>
      <c r="C4283" s="1">
        <v>12.67</v>
      </c>
      <c r="D4283" s="1">
        <v>0.91</v>
      </c>
      <c r="E4283" s="1" t="s">
        <v>132</v>
      </c>
      <c r="F4283" s="1" t="s">
        <v>132</v>
      </c>
      <c r="G4283" s="1" t="s">
        <v>132</v>
      </c>
      <c r="H4283" s="1" t="str">
        <f>VLOOKUP(F4283,Countries!$A$1:$B$161,2,0)</f>
        <v>Canada</v>
      </c>
    </row>
    <row r="4284" spans="1:8" x14ac:dyDescent="0.3">
      <c r="A4284" s="3">
        <v>46246.689571759263</v>
      </c>
      <c r="B4284" s="1">
        <v>6.37</v>
      </c>
      <c r="C4284" s="1">
        <v>5.52</v>
      </c>
      <c r="D4284" s="1">
        <v>0.54</v>
      </c>
      <c r="E4284" s="1" t="s">
        <v>113</v>
      </c>
      <c r="F4284" s="1" t="s">
        <v>113</v>
      </c>
      <c r="G4284" s="1" t="s">
        <v>113</v>
      </c>
      <c r="H4284" s="1" t="str">
        <f>VLOOKUP(F4284,Countries!$A$1:$B$161,2,0)</f>
        <v>United States of America</v>
      </c>
    </row>
    <row r="4285" spans="1:8" x14ac:dyDescent="0.3">
      <c r="A4285" s="3">
        <v>46246.688935185193</v>
      </c>
      <c r="B4285" s="1">
        <v>16.829999999999998</v>
      </c>
      <c r="C4285" s="1">
        <v>14.58</v>
      </c>
      <c r="D4285" s="1">
        <v>1.01</v>
      </c>
      <c r="E4285" s="1" t="s">
        <v>132</v>
      </c>
      <c r="F4285" s="1" t="s">
        <v>132</v>
      </c>
      <c r="G4285" s="1" t="s">
        <v>132</v>
      </c>
      <c r="H4285" s="1" t="str">
        <f>VLOOKUP(F4285,Countries!$A$1:$B$161,2,0)</f>
        <v>Canada</v>
      </c>
    </row>
    <row r="4286" spans="1:8" x14ac:dyDescent="0.3">
      <c r="A4286" s="3">
        <v>46246.688576388893</v>
      </c>
      <c r="B4286" s="1">
        <v>2.99</v>
      </c>
      <c r="C4286" s="1">
        <v>2.59</v>
      </c>
      <c r="D4286" s="1">
        <v>0.36</v>
      </c>
      <c r="E4286" s="1" t="s">
        <v>119</v>
      </c>
      <c r="F4286" s="1" t="s">
        <v>119</v>
      </c>
      <c r="G4286" s="1" t="s">
        <v>119</v>
      </c>
      <c r="H4286" s="1" t="str">
        <f>VLOOKUP(F4286,Countries!$A$1:$B$161,2,0)</f>
        <v>Great Britain (United Kingdom)</v>
      </c>
    </row>
    <row r="4287" spans="1:8" x14ac:dyDescent="0.3">
      <c r="A4287" s="3">
        <v>46246.683356481481</v>
      </c>
      <c r="B4287" s="1">
        <v>14.77</v>
      </c>
      <c r="C4287" s="1">
        <v>12.8</v>
      </c>
      <c r="D4287" s="1">
        <v>0.93</v>
      </c>
      <c r="E4287" s="1" t="s">
        <v>113</v>
      </c>
      <c r="F4287" s="1" t="s">
        <v>113</v>
      </c>
      <c r="G4287" s="1" t="s">
        <v>113</v>
      </c>
      <c r="H4287" s="1" t="str">
        <f>VLOOKUP(F4287,Countries!$A$1:$B$161,2,0)</f>
        <v>United States of America</v>
      </c>
    </row>
    <row r="4288" spans="1:8" x14ac:dyDescent="0.3">
      <c r="A4288" s="3">
        <v>46246.678379629629</v>
      </c>
      <c r="B4288" s="1">
        <v>6.37</v>
      </c>
      <c r="C4288" s="1">
        <v>5.52</v>
      </c>
      <c r="D4288" s="1">
        <v>0.54</v>
      </c>
      <c r="E4288" s="1" t="s">
        <v>113</v>
      </c>
      <c r="F4288" s="1" t="s">
        <v>113</v>
      </c>
      <c r="G4288" s="1" t="s">
        <v>113</v>
      </c>
      <c r="H4288" s="1" t="str">
        <f>VLOOKUP(F4288,Countries!$A$1:$B$161,2,0)</f>
        <v>United States of America</v>
      </c>
    </row>
    <row r="4289" spans="1:8" x14ac:dyDescent="0.3">
      <c r="A4289" s="3">
        <v>46246.675370370373</v>
      </c>
      <c r="B4289" s="1">
        <v>6.37</v>
      </c>
      <c r="C4289" s="1">
        <v>5.52</v>
      </c>
      <c r="D4289" s="1">
        <v>0.54</v>
      </c>
      <c r="E4289" s="1" t="s">
        <v>113</v>
      </c>
      <c r="F4289" s="1" t="s">
        <v>113</v>
      </c>
      <c r="G4289" s="1" t="s">
        <v>113</v>
      </c>
      <c r="H4289" s="1" t="str">
        <f>VLOOKUP(F4289,Countries!$A$1:$B$161,2,0)</f>
        <v>United States of America</v>
      </c>
    </row>
    <row r="4290" spans="1:8" x14ac:dyDescent="0.3">
      <c r="A4290" s="3">
        <v>46246.668379629627</v>
      </c>
      <c r="B4290" s="1">
        <v>6.37</v>
      </c>
      <c r="C4290" s="1">
        <v>5.52</v>
      </c>
      <c r="D4290" s="1">
        <v>0.54</v>
      </c>
      <c r="E4290" s="1" t="s">
        <v>113</v>
      </c>
      <c r="F4290" s="1" t="s">
        <v>113</v>
      </c>
      <c r="G4290" s="1" t="s">
        <v>113</v>
      </c>
      <c r="H4290" s="1" t="str">
        <f>VLOOKUP(F4290,Countries!$A$1:$B$161,2,0)</f>
        <v>United States of America</v>
      </c>
    </row>
    <row r="4291" spans="1:8" x14ac:dyDescent="0.3">
      <c r="A4291" s="3">
        <v>46246.66233796296</v>
      </c>
      <c r="B4291" s="1">
        <v>2.21</v>
      </c>
      <c r="C4291" s="1">
        <v>1.91</v>
      </c>
      <c r="D4291" s="1">
        <v>0.35</v>
      </c>
      <c r="E4291" s="1" t="s">
        <v>130</v>
      </c>
      <c r="F4291" s="1" t="s">
        <v>130</v>
      </c>
      <c r="G4291" s="1" t="s">
        <v>130</v>
      </c>
      <c r="H4291" s="1" t="str">
        <f>VLOOKUP(F4291,Countries!$A$1:$B$161,2,0)</f>
        <v>Australia</v>
      </c>
    </row>
    <row r="4292" spans="1:8" x14ac:dyDescent="0.3">
      <c r="A4292" s="3">
        <v>46246.660173611112</v>
      </c>
      <c r="B4292" s="1">
        <v>42.54</v>
      </c>
      <c r="C4292" s="1">
        <v>36.86</v>
      </c>
      <c r="D4292" s="1">
        <v>2.19</v>
      </c>
      <c r="E4292" s="1" t="s">
        <v>113</v>
      </c>
      <c r="F4292" s="1" t="s">
        <v>113</v>
      </c>
      <c r="G4292" s="1" t="s">
        <v>113</v>
      </c>
      <c r="H4292" s="1" t="str">
        <f>VLOOKUP(F4292,Countries!$A$1:$B$161,2,0)</f>
        <v>United States of America</v>
      </c>
    </row>
    <row r="4293" spans="1:8" x14ac:dyDescent="0.3">
      <c r="A4293" s="3">
        <v>46246.660046296303</v>
      </c>
      <c r="B4293" s="1">
        <v>10.62</v>
      </c>
      <c r="C4293" s="1">
        <v>9.1999999999999993</v>
      </c>
      <c r="D4293" s="1">
        <v>0.73</v>
      </c>
      <c r="E4293" s="1" t="s">
        <v>113</v>
      </c>
      <c r="F4293" s="1" t="s">
        <v>113</v>
      </c>
      <c r="G4293" s="1" t="s">
        <v>113</v>
      </c>
      <c r="H4293" s="1" t="str">
        <f>VLOOKUP(F4293,Countries!$A$1:$B$161,2,0)</f>
        <v>United States of America</v>
      </c>
    </row>
    <row r="4294" spans="1:8" x14ac:dyDescent="0.3">
      <c r="A4294" s="3">
        <v>46246.648194444453</v>
      </c>
      <c r="B4294" s="1">
        <v>16.34</v>
      </c>
      <c r="C4294" s="1">
        <v>14.16</v>
      </c>
      <c r="D4294" s="1">
        <v>0.99</v>
      </c>
      <c r="E4294" s="1" t="s">
        <v>160</v>
      </c>
      <c r="F4294" s="1" t="s">
        <v>160</v>
      </c>
      <c r="G4294" s="1" t="s">
        <v>160</v>
      </c>
      <c r="H4294" s="1" t="str">
        <f>VLOOKUP(F4294,Countries!$A$1:$B$161,2,0)</f>
        <v>New Zealand</v>
      </c>
    </row>
    <row r="4295" spans="1:8" x14ac:dyDescent="0.3">
      <c r="A4295" s="3">
        <v>46246.627152777779</v>
      </c>
      <c r="B4295" s="1">
        <v>6.37</v>
      </c>
      <c r="C4295" s="1">
        <v>5.52</v>
      </c>
      <c r="D4295" s="1">
        <v>0.54</v>
      </c>
      <c r="E4295" s="1" t="s">
        <v>113</v>
      </c>
      <c r="F4295" s="1" t="s">
        <v>113</v>
      </c>
      <c r="G4295" s="1" t="s">
        <v>113</v>
      </c>
      <c r="H4295" s="1" t="str">
        <f>VLOOKUP(F4295,Countries!$A$1:$B$161,2,0)</f>
        <v>United States of America</v>
      </c>
    </row>
    <row r="4296" spans="1:8" x14ac:dyDescent="0.3">
      <c r="A4296" s="3">
        <v>46246.616388888891</v>
      </c>
      <c r="B4296" s="1">
        <v>6.3</v>
      </c>
      <c r="C4296" s="1">
        <v>5.45</v>
      </c>
      <c r="D4296" s="1">
        <v>0.54</v>
      </c>
      <c r="E4296" s="1" t="s">
        <v>143</v>
      </c>
      <c r="F4296" s="1" t="s">
        <v>143</v>
      </c>
      <c r="G4296" s="1" t="s">
        <v>143</v>
      </c>
      <c r="H4296" s="1" t="str">
        <f>VLOOKUP(F4296,Countries!$A$1:$B$161,2,0)</f>
        <v>United Arab Emirates</v>
      </c>
    </row>
    <row r="4297" spans="1:8" x14ac:dyDescent="0.3">
      <c r="A4297" s="3">
        <v>46246.613599537042</v>
      </c>
      <c r="B4297" s="1">
        <v>17.010000000000002</v>
      </c>
      <c r="C4297" s="1">
        <v>14.72</v>
      </c>
      <c r="D4297" s="1">
        <v>1.02</v>
      </c>
      <c r="E4297" s="1" t="s">
        <v>113</v>
      </c>
      <c r="F4297" s="1" t="s">
        <v>113</v>
      </c>
      <c r="G4297" s="1" t="s">
        <v>113</v>
      </c>
      <c r="H4297" s="1" t="str">
        <f>VLOOKUP(F4297,Countries!$A$1:$B$161,2,0)</f>
        <v>United States of America</v>
      </c>
    </row>
    <row r="4298" spans="1:8" x14ac:dyDescent="0.3">
      <c r="A4298" s="3">
        <v>46246.612858796303</v>
      </c>
      <c r="B4298" s="1">
        <v>3.18</v>
      </c>
      <c r="C4298" s="1">
        <v>2.75</v>
      </c>
      <c r="D4298" s="1">
        <v>0.4</v>
      </c>
      <c r="E4298" s="1" t="s">
        <v>113</v>
      </c>
      <c r="F4298" s="1" t="s">
        <v>113</v>
      </c>
      <c r="G4298" s="1" t="s">
        <v>113</v>
      </c>
      <c r="H4298" s="1" t="str">
        <f>VLOOKUP(F4298,Countries!$A$1:$B$161,2,0)</f>
        <v>United States of America</v>
      </c>
    </row>
    <row r="4299" spans="1:8" x14ac:dyDescent="0.3">
      <c r="A4299" s="3">
        <v>46246.601111111107</v>
      </c>
      <c r="B4299" s="1">
        <v>18.809999999999999</v>
      </c>
      <c r="C4299" s="1">
        <v>16.28</v>
      </c>
      <c r="D4299" s="1">
        <v>1.1100000000000001</v>
      </c>
      <c r="E4299" s="1" t="s">
        <v>163</v>
      </c>
      <c r="F4299" s="1" t="s">
        <v>163</v>
      </c>
      <c r="G4299" s="1" t="s">
        <v>163</v>
      </c>
      <c r="H4299" s="1" t="str">
        <f>VLOOKUP(F4299,Countries!$A$1:$B$161,2,0)</f>
        <v>Saudi Arabia</v>
      </c>
    </row>
    <row r="4300" spans="1:8" x14ac:dyDescent="0.3">
      <c r="A4300" s="3">
        <v>46246.597268518519</v>
      </c>
      <c r="B4300" s="1">
        <v>6.37</v>
      </c>
      <c r="C4300" s="1">
        <v>5.51</v>
      </c>
      <c r="D4300" s="1">
        <v>0.54</v>
      </c>
      <c r="E4300" s="1" t="s">
        <v>113</v>
      </c>
      <c r="F4300" s="1" t="s">
        <v>113</v>
      </c>
      <c r="G4300" s="1" t="s">
        <v>113</v>
      </c>
      <c r="H4300" s="1" t="str">
        <f>VLOOKUP(F4300,Countries!$A$1:$B$161,2,0)</f>
        <v>United States of America</v>
      </c>
    </row>
    <row r="4301" spans="1:8" x14ac:dyDescent="0.3">
      <c r="A4301" s="3">
        <v>46246.593171296299</v>
      </c>
      <c r="B4301" s="1">
        <v>36.96</v>
      </c>
      <c r="C4301" s="1">
        <v>31.99</v>
      </c>
      <c r="D4301" s="1">
        <v>1.93</v>
      </c>
      <c r="E4301" s="1" t="s">
        <v>113</v>
      </c>
      <c r="F4301" s="1" t="s">
        <v>113</v>
      </c>
      <c r="G4301" s="1" t="s">
        <v>113</v>
      </c>
      <c r="H4301" s="1" t="str">
        <f>VLOOKUP(F4301,Countries!$A$1:$B$161,2,0)</f>
        <v>United States of America</v>
      </c>
    </row>
    <row r="4302" spans="1:8" x14ac:dyDescent="0.3">
      <c r="A4302" s="3">
        <v>46246.586284722223</v>
      </c>
      <c r="B4302" s="1">
        <v>2.99</v>
      </c>
      <c r="C4302" s="1">
        <v>2.59</v>
      </c>
      <c r="D4302" s="1">
        <v>0.38</v>
      </c>
      <c r="E4302" s="1" t="s">
        <v>135</v>
      </c>
      <c r="F4302" s="1" t="s">
        <v>135</v>
      </c>
      <c r="G4302" s="1" t="s">
        <v>135</v>
      </c>
      <c r="H4302" s="1" t="str">
        <f>VLOOKUP(F4302,Countries!$A$1:$B$161,2,0)</f>
        <v>Kuwait</v>
      </c>
    </row>
    <row r="4303" spans="1:8" x14ac:dyDescent="0.3">
      <c r="A4303" s="3">
        <v>46246.580925925933</v>
      </c>
      <c r="B4303" s="1">
        <v>7.58</v>
      </c>
      <c r="C4303" s="1">
        <v>6.56</v>
      </c>
      <c r="D4303" s="1">
        <v>0.5</v>
      </c>
      <c r="E4303" s="1" t="s">
        <v>116</v>
      </c>
      <c r="F4303" s="1" t="s">
        <v>116</v>
      </c>
      <c r="G4303" s="1" t="s">
        <v>116</v>
      </c>
      <c r="H4303" s="1" t="str">
        <f>VLOOKUP(F4303,Countries!$A$1:$B$161,2,0)</f>
        <v>Spain</v>
      </c>
    </row>
    <row r="4304" spans="1:8" x14ac:dyDescent="0.3">
      <c r="A4304" s="3">
        <v>46246.573020833333</v>
      </c>
      <c r="B4304" s="1">
        <v>17.010000000000002</v>
      </c>
      <c r="C4304" s="1">
        <v>14.72</v>
      </c>
      <c r="D4304" s="1">
        <v>1.02</v>
      </c>
      <c r="E4304" s="1" t="s">
        <v>113</v>
      </c>
      <c r="F4304" s="1" t="s">
        <v>113</v>
      </c>
      <c r="G4304" s="1" t="s">
        <v>113</v>
      </c>
      <c r="H4304" s="1" t="str">
        <f>VLOOKUP(F4304,Countries!$A$1:$B$161,2,0)</f>
        <v>United States of America</v>
      </c>
    </row>
    <row r="4305" spans="1:8" x14ac:dyDescent="0.3">
      <c r="A4305" s="3">
        <v>46246.572430555563</v>
      </c>
      <c r="B4305" s="1">
        <v>2.99</v>
      </c>
      <c r="C4305" s="1">
        <v>2.59</v>
      </c>
      <c r="D4305" s="1">
        <v>0.38</v>
      </c>
      <c r="E4305" s="1" t="s">
        <v>135</v>
      </c>
      <c r="F4305" s="1" t="s">
        <v>135</v>
      </c>
      <c r="G4305" s="1" t="s">
        <v>135</v>
      </c>
      <c r="H4305" s="1" t="str">
        <f>VLOOKUP(F4305,Countries!$A$1:$B$161,2,0)</f>
        <v>Kuwait</v>
      </c>
    </row>
    <row r="4306" spans="1:8" x14ac:dyDescent="0.3">
      <c r="A4306" s="3">
        <v>46246.571689814817</v>
      </c>
      <c r="B4306" s="1">
        <v>12.64</v>
      </c>
      <c r="C4306" s="1">
        <v>10.94</v>
      </c>
      <c r="D4306" s="1">
        <v>0.63</v>
      </c>
      <c r="E4306" s="1" t="s">
        <v>116</v>
      </c>
      <c r="F4306" s="1" t="s">
        <v>116</v>
      </c>
      <c r="G4306" s="1" t="s">
        <v>116</v>
      </c>
      <c r="H4306" s="1" t="str">
        <f>VLOOKUP(F4306,Countries!$A$1:$B$161,2,0)</f>
        <v>Spain</v>
      </c>
    </row>
    <row r="4307" spans="1:8" x14ac:dyDescent="0.3">
      <c r="A4307" s="3">
        <v>46246.5703587963</v>
      </c>
      <c r="B4307" s="1">
        <v>17.010000000000002</v>
      </c>
      <c r="C4307" s="1">
        <v>14.72</v>
      </c>
      <c r="D4307" s="1">
        <v>1.02</v>
      </c>
      <c r="E4307" s="1" t="s">
        <v>113</v>
      </c>
      <c r="F4307" s="1" t="s">
        <v>113</v>
      </c>
      <c r="G4307" s="1" t="s">
        <v>113</v>
      </c>
      <c r="H4307" s="1" t="str">
        <f>VLOOKUP(F4307,Countries!$A$1:$B$161,2,0)</f>
        <v>United States of America</v>
      </c>
    </row>
    <row r="4308" spans="1:8" x14ac:dyDescent="0.3">
      <c r="A4308" s="3">
        <v>46246.567650462966</v>
      </c>
      <c r="B4308" s="1">
        <v>6.37</v>
      </c>
      <c r="C4308" s="1">
        <v>5.51</v>
      </c>
      <c r="D4308" s="1">
        <v>0.54</v>
      </c>
      <c r="E4308" s="1" t="s">
        <v>113</v>
      </c>
      <c r="F4308" s="1" t="s">
        <v>113</v>
      </c>
      <c r="G4308" s="1" t="s">
        <v>113</v>
      </c>
      <c r="H4308" s="1" t="str">
        <f>VLOOKUP(F4308,Countries!$A$1:$B$161,2,0)</f>
        <v>United States of America</v>
      </c>
    </row>
    <row r="4309" spans="1:8" x14ac:dyDescent="0.3">
      <c r="A4309" s="3">
        <v>46246.55232638889</v>
      </c>
      <c r="B4309" s="1">
        <v>7.04</v>
      </c>
      <c r="C4309" s="1">
        <v>6.09</v>
      </c>
      <c r="D4309" s="1">
        <v>0.56999999999999995</v>
      </c>
      <c r="E4309" s="1" t="s">
        <v>163</v>
      </c>
      <c r="F4309" s="1" t="s">
        <v>163</v>
      </c>
      <c r="G4309" s="1" t="s">
        <v>163</v>
      </c>
      <c r="H4309" s="1" t="str">
        <f>VLOOKUP(F4309,Countries!$A$1:$B$161,2,0)</f>
        <v>Saudi Arabia</v>
      </c>
    </row>
    <row r="4310" spans="1:8" x14ac:dyDescent="0.3">
      <c r="A4310" s="3">
        <v>46246.546574074076</v>
      </c>
      <c r="B4310" s="1">
        <v>1.99</v>
      </c>
      <c r="C4310" s="1">
        <v>1.72</v>
      </c>
      <c r="D4310" s="1">
        <v>0.31</v>
      </c>
      <c r="E4310" s="1" t="s">
        <v>137</v>
      </c>
      <c r="F4310" s="1" t="s">
        <v>137</v>
      </c>
      <c r="G4310" s="1" t="s">
        <v>137</v>
      </c>
      <c r="H4310" s="1" t="str">
        <f>VLOOKUP(F4310,Countries!$A$1:$B$161,2,0)</f>
        <v>Poland</v>
      </c>
    </row>
    <row r="4311" spans="1:8" x14ac:dyDescent="0.3">
      <c r="A4311" s="3">
        <v>46246.539386574077</v>
      </c>
      <c r="B4311" s="1">
        <v>2.99</v>
      </c>
      <c r="C4311" s="1">
        <v>2.59</v>
      </c>
      <c r="D4311" s="1">
        <v>0.38</v>
      </c>
      <c r="E4311" s="1" t="s">
        <v>113</v>
      </c>
      <c r="F4311" s="1" t="s">
        <v>113</v>
      </c>
      <c r="G4311" s="1" t="s">
        <v>113</v>
      </c>
      <c r="H4311" s="1" t="str">
        <f>VLOOKUP(F4311,Countries!$A$1:$B$161,2,0)</f>
        <v>United States of America</v>
      </c>
    </row>
    <row r="4312" spans="1:8" x14ac:dyDescent="0.3">
      <c r="A4312" s="3">
        <v>46246.538472222222</v>
      </c>
      <c r="B4312" s="1">
        <v>6.37</v>
      </c>
      <c r="C4312" s="1">
        <v>5.52</v>
      </c>
      <c r="D4312" s="1">
        <v>0.54</v>
      </c>
      <c r="E4312" s="1" t="s">
        <v>113</v>
      </c>
      <c r="F4312" s="1" t="s">
        <v>113</v>
      </c>
      <c r="G4312" s="1" t="s">
        <v>113</v>
      </c>
      <c r="H4312" s="1" t="str">
        <f>VLOOKUP(F4312,Countries!$A$1:$B$161,2,0)</f>
        <v>United States of America</v>
      </c>
    </row>
    <row r="4313" spans="1:8" x14ac:dyDescent="0.3">
      <c r="A4313" s="3">
        <v>46246.537210648137</v>
      </c>
      <c r="B4313" s="1">
        <v>52.12</v>
      </c>
      <c r="C4313" s="1">
        <v>45.15</v>
      </c>
      <c r="D4313" s="1">
        <v>2.2799999999999998</v>
      </c>
      <c r="E4313" s="1" t="s">
        <v>119</v>
      </c>
      <c r="F4313" s="1" t="s">
        <v>119</v>
      </c>
      <c r="G4313" s="1" t="s">
        <v>119</v>
      </c>
      <c r="H4313" s="1" t="str">
        <f>VLOOKUP(F4313,Countries!$A$1:$B$161,2,0)</f>
        <v>Great Britain (United Kingdom)</v>
      </c>
    </row>
    <row r="4314" spans="1:8" x14ac:dyDescent="0.3">
      <c r="A4314" s="3">
        <v>46246.533391203702</v>
      </c>
      <c r="B4314" s="1">
        <v>3.18</v>
      </c>
      <c r="C4314" s="1">
        <v>2.75</v>
      </c>
      <c r="D4314" s="1">
        <v>0.4</v>
      </c>
      <c r="E4314" s="1" t="s">
        <v>113</v>
      </c>
      <c r="F4314" s="1" t="s">
        <v>113</v>
      </c>
      <c r="G4314" s="1" t="s">
        <v>113</v>
      </c>
      <c r="H4314" s="1" t="str">
        <f>VLOOKUP(F4314,Countries!$A$1:$B$161,2,0)</f>
        <v>United States of America</v>
      </c>
    </row>
    <row r="4315" spans="1:8" x14ac:dyDescent="0.3">
      <c r="A4315" s="3">
        <v>46246.53230324074</v>
      </c>
      <c r="B4315" s="1">
        <v>34.75</v>
      </c>
      <c r="C4315" s="1">
        <v>30.1</v>
      </c>
      <c r="D4315" s="1">
        <v>1.6</v>
      </c>
      <c r="E4315" s="1" t="s">
        <v>119</v>
      </c>
      <c r="F4315" s="1" t="s">
        <v>119</v>
      </c>
      <c r="G4315" s="1" t="s">
        <v>119</v>
      </c>
      <c r="H4315" s="1" t="str">
        <f>VLOOKUP(F4315,Countries!$A$1:$B$161,2,0)</f>
        <v>Great Britain (United Kingdom)</v>
      </c>
    </row>
    <row r="4316" spans="1:8" x14ac:dyDescent="0.3">
      <c r="A4316" s="3">
        <v>46246.530057870368</v>
      </c>
      <c r="B4316" s="1">
        <v>7.48</v>
      </c>
      <c r="C4316" s="1">
        <v>6.48</v>
      </c>
      <c r="D4316" s="1">
        <v>0.54</v>
      </c>
      <c r="E4316" s="1" t="s">
        <v>119</v>
      </c>
      <c r="F4316" s="1" t="s">
        <v>119</v>
      </c>
      <c r="G4316" s="1" t="s">
        <v>119</v>
      </c>
      <c r="H4316" s="1" t="str">
        <f>VLOOKUP(F4316,Countries!$A$1:$B$161,2,0)</f>
        <v>Great Britain (United Kingdom)</v>
      </c>
    </row>
    <row r="4317" spans="1:8" x14ac:dyDescent="0.3">
      <c r="A4317" s="3">
        <v>46246.526400462957</v>
      </c>
      <c r="B4317" s="1">
        <v>12.64</v>
      </c>
      <c r="C4317" s="1">
        <v>10.95</v>
      </c>
      <c r="D4317" s="1">
        <v>0.63</v>
      </c>
      <c r="E4317" s="1" t="s">
        <v>116</v>
      </c>
      <c r="F4317" s="1" t="s">
        <v>116</v>
      </c>
      <c r="G4317" s="1" t="s">
        <v>116</v>
      </c>
      <c r="H4317" s="1" t="str">
        <f>VLOOKUP(F4317,Countries!$A$1:$B$161,2,0)</f>
        <v>Spain</v>
      </c>
    </row>
    <row r="4318" spans="1:8" x14ac:dyDescent="0.3">
      <c r="A4318" s="3">
        <v>46246.524236111109</v>
      </c>
      <c r="B4318" s="1">
        <v>6.8</v>
      </c>
      <c r="C4318" s="1">
        <v>5.89</v>
      </c>
      <c r="D4318" s="1">
        <v>0.56000000000000005</v>
      </c>
      <c r="E4318" s="1" t="s">
        <v>114</v>
      </c>
      <c r="F4318" s="1" t="s">
        <v>114</v>
      </c>
      <c r="G4318" s="1" t="s">
        <v>114</v>
      </c>
      <c r="H4318" s="1" t="str">
        <f>VLOOKUP(F4318,Countries!$A$1:$B$161,2,0)</f>
        <v>Philippines</v>
      </c>
    </row>
    <row r="4319" spans="1:8" x14ac:dyDescent="0.3">
      <c r="A4319" s="3">
        <v>46246.520092592589</v>
      </c>
      <c r="B4319" s="1">
        <v>2.11</v>
      </c>
      <c r="C4319" s="1">
        <v>1.83</v>
      </c>
      <c r="D4319" s="1">
        <v>0.35</v>
      </c>
      <c r="E4319" s="1" t="s">
        <v>113</v>
      </c>
      <c r="F4319" s="1" t="s">
        <v>113</v>
      </c>
      <c r="G4319" s="1" t="s">
        <v>113</v>
      </c>
      <c r="H4319" s="1" t="str">
        <f>VLOOKUP(F4319,Countries!$A$1:$B$161,2,0)</f>
        <v>United States of America</v>
      </c>
    </row>
    <row r="4320" spans="1:8" x14ac:dyDescent="0.3">
      <c r="A4320" s="3">
        <v>46246.495775462958</v>
      </c>
      <c r="B4320" s="1">
        <v>7.48</v>
      </c>
      <c r="C4320" s="1">
        <v>6.48</v>
      </c>
      <c r="D4320" s="1">
        <v>0.48</v>
      </c>
      <c r="E4320" s="1" t="s">
        <v>123</v>
      </c>
      <c r="F4320" s="1" t="s">
        <v>123</v>
      </c>
      <c r="G4320" s="1" t="s">
        <v>123</v>
      </c>
      <c r="H4320" s="1" t="str">
        <f>VLOOKUP(F4320,Countries!$A$1:$B$161,2,0)</f>
        <v>France</v>
      </c>
    </row>
    <row r="4321" spans="1:8" x14ac:dyDescent="0.3">
      <c r="A4321" s="3">
        <v>46246.491053240738</v>
      </c>
      <c r="B4321" s="1">
        <v>6.65</v>
      </c>
      <c r="C4321" s="1">
        <v>5.77</v>
      </c>
      <c r="D4321" s="1">
        <v>0.56000000000000005</v>
      </c>
      <c r="E4321" s="1" t="s">
        <v>130</v>
      </c>
      <c r="F4321" s="1" t="s">
        <v>130</v>
      </c>
      <c r="G4321" s="1" t="s">
        <v>130</v>
      </c>
      <c r="H4321" s="1" t="str">
        <f>VLOOKUP(F4321,Countries!$A$1:$B$161,2,0)</f>
        <v>Australia</v>
      </c>
    </row>
    <row r="4322" spans="1:8" x14ac:dyDescent="0.3">
      <c r="A4322" s="3">
        <v>46246.490810185183</v>
      </c>
      <c r="B4322" s="1">
        <v>7.58</v>
      </c>
      <c r="C4322" s="1">
        <v>6.57</v>
      </c>
      <c r="D4322" s="1">
        <v>0.48</v>
      </c>
      <c r="E4322" s="1" t="s">
        <v>116</v>
      </c>
      <c r="F4322" s="1" t="s">
        <v>116</v>
      </c>
      <c r="G4322" s="1" t="s">
        <v>116</v>
      </c>
      <c r="H4322" s="1" t="str">
        <f>VLOOKUP(F4322,Countries!$A$1:$B$161,2,0)</f>
        <v>Spain</v>
      </c>
    </row>
    <row r="4323" spans="1:8" x14ac:dyDescent="0.3">
      <c r="A4323" s="3">
        <v>46246.483935185177</v>
      </c>
      <c r="B4323" s="1">
        <v>6.37</v>
      </c>
      <c r="C4323" s="1">
        <v>5.52</v>
      </c>
      <c r="D4323" s="1">
        <v>0.54</v>
      </c>
      <c r="E4323" s="1" t="s">
        <v>113</v>
      </c>
      <c r="F4323" s="1" t="s">
        <v>113</v>
      </c>
      <c r="G4323" s="1" t="s">
        <v>113</v>
      </c>
      <c r="H4323" s="1" t="str">
        <f>VLOOKUP(F4323,Countries!$A$1:$B$161,2,0)</f>
        <v>United States of America</v>
      </c>
    </row>
    <row r="4324" spans="1:8" x14ac:dyDescent="0.3">
      <c r="A4324" s="3">
        <v>46246.483298611107</v>
      </c>
      <c r="B4324" s="1">
        <v>25.97</v>
      </c>
      <c r="C4324" s="1">
        <v>22.51</v>
      </c>
      <c r="D4324" s="1">
        <v>1.04</v>
      </c>
      <c r="E4324" s="1" t="s">
        <v>137</v>
      </c>
      <c r="F4324" s="1" t="s">
        <v>137</v>
      </c>
      <c r="G4324" s="1" t="s">
        <v>137</v>
      </c>
      <c r="H4324" s="1" t="str">
        <f>VLOOKUP(F4324,Countries!$A$1:$B$161,2,0)</f>
        <v>Poland</v>
      </c>
    </row>
    <row r="4325" spans="1:8" x14ac:dyDescent="0.3">
      <c r="A4325" s="3">
        <v>46246.464629629627</v>
      </c>
      <c r="B4325" s="1">
        <v>2.11</v>
      </c>
      <c r="C4325" s="1">
        <v>1.83</v>
      </c>
      <c r="D4325" s="1">
        <v>0.35</v>
      </c>
      <c r="E4325" s="1" t="s">
        <v>113</v>
      </c>
      <c r="F4325" s="1" t="s">
        <v>113</v>
      </c>
      <c r="G4325" s="1" t="s">
        <v>113</v>
      </c>
      <c r="H4325" s="1" t="str">
        <f>VLOOKUP(F4325,Countries!$A$1:$B$161,2,0)</f>
        <v>United States of America</v>
      </c>
    </row>
    <row r="4326" spans="1:8" x14ac:dyDescent="0.3">
      <c r="A4326" s="3">
        <v>46246.451597222222</v>
      </c>
      <c r="B4326" s="1">
        <v>2.99</v>
      </c>
      <c r="C4326" s="1">
        <v>2.59</v>
      </c>
      <c r="D4326" s="1">
        <v>0.38</v>
      </c>
      <c r="E4326" s="1" t="s">
        <v>113</v>
      </c>
      <c r="F4326" s="1" t="s">
        <v>113</v>
      </c>
      <c r="G4326" s="1" t="s">
        <v>113</v>
      </c>
      <c r="H4326" s="1" t="str">
        <f>VLOOKUP(F4326,Countries!$A$1:$B$161,2,0)</f>
        <v>United States of America</v>
      </c>
    </row>
    <row r="4327" spans="1:8" x14ac:dyDescent="0.3">
      <c r="A4327" s="3">
        <v>46246.447858796288</v>
      </c>
      <c r="B4327" s="1">
        <v>12.33</v>
      </c>
      <c r="C4327" s="1">
        <v>10.69</v>
      </c>
      <c r="D4327" s="1">
        <v>0.62</v>
      </c>
      <c r="E4327" s="1" t="s">
        <v>158</v>
      </c>
      <c r="F4327" s="1" t="s">
        <v>159</v>
      </c>
      <c r="G4327" s="1" t="s">
        <v>159</v>
      </c>
      <c r="H4327" s="1" t="str">
        <f>VLOOKUP(F4327,Countries!$A$1:$B$161,2,0)</f>
        <v>Romania</v>
      </c>
    </row>
    <row r="4328" spans="1:8" x14ac:dyDescent="0.3">
      <c r="A4328" s="3">
        <v>46246.446319444447</v>
      </c>
      <c r="B4328" s="1">
        <v>36.96</v>
      </c>
      <c r="C4328" s="1">
        <v>32.04</v>
      </c>
      <c r="D4328" s="1">
        <v>1.93</v>
      </c>
      <c r="E4328" s="1" t="s">
        <v>113</v>
      </c>
      <c r="F4328" s="1" t="s">
        <v>113</v>
      </c>
      <c r="G4328" s="1" t="s">
        <v>113</v>
      </c>
      <c r="H4328" s="1" t="str">
        <f>VLOOKUP(F4328,Countries!$A$1:$B$161,2,0)</f>
        <v>United States of America</v>
      </c>
    </row>
    <row r="4329" spans="1:8" x14ac:dyDescent="0.3">
      <c r="A4329" s="3">
        <v>46246.437465277777</v>
      </c>
      <c r="B4329" s="1">
        <v>17.82</v>
      </c>
      <c r="C4329" s="1">
        <v>15.45</v>
      </c>
      <c r="D4329" s="1">
        <v>0.79</v>
      </c>
      <c r="E4329" s="1" t="s">
        <v>124</v>
      </c>
      <c r="F4329" s="1" t="s">
        <v>124</v>
      </c>
      <c r="G4329" s="1" t="s">
        <v>124</v>
      </c>
      <c r="H4329" s="1" t="str">
        <f>VLOOKUP(F4329,Countries!$A$1:$B$161,2,0)</f>
        <v>Italy</v>
      </c>
    </row>
    <row r="4330" spans="1:8" x14ac:dyDescent="0.3">
      <c r="A4330" s="3">
        <v>46246.436226851853</v>
      </c>
      <c r="B4330" s="1">
        <v>6.37</v>
      </c>
      <c r="C4330" s="1">
        <v>5.52</v>
      </c>
      <c r="D4330" s="1">
        <v>0.54</v>
      </c>
      <c r="E4330" s="1" t="s">
        <v>113</v>
      </c>
      <c r="F4330" s="1" t="s">
        <v>113</v>
      </c>
      <c r="G4330" s="1" t="s">
        <v>113</v>
      </c>
      <c r="H4330" s="1" t="str">
        <f>VLOOKUP(F4330,Countries!$A$1:$B$161,2,0)</f>
        <v>United States of America</v>
      </c>
    </row>
    <row r="4331" spans="1:8" x14ac:dyDescent="0.3">
      <c r="A4331" s="3">
        <v>46246.427465277768</v>
      </c>
      <c r="B4331" s="1">
        <v>6.37</v>
      </c>
      <c r="C4331" s="1">
        <v>5.52</v>
      </c>
      <c r="D4331" s="1">
        <v>0.54</v>
      </c>
      <c r="E4331" s="1" t="s">
        <v>113</v>
      </c>
      <c r="F4331" s="1" t="s">
        <v>113</v>
      </c>
      <c r="G4331" s="1" t="s">
        <v>113</v>
      </c>
      <c r="H4331" s="1" t="str">
        <f>VLOOKUP(F4331,Countries!$A$1:$B$161,2,0)</f>
        <v>United States of America</v>
      </c>
    </row>
    <row r="4332" spans="1:8" x14ac:dyDescent="0.3">
      <c r="A4332" s="3">
        <v>46246.425358796303</v>
      </c>
      <c r="B4332" s="1">
        <v>17</v>
      </c>
      <c r="C4332" s="1">
        <v>14.74</v>
      </c>
      <c r="D4332" s="1">
        <v>1.02</v>
      </c>
      <c r="E4332" s="1" t="s">
        <v>113</v>
      </c>
      <c r="F4332" s="1" t="s">
        <v>113</v>
      </c>
      <c r="G4332" s="1" t="s">
        <v>113</v>
      </c>
      <c r="H4332" s="1" t="str">
        <f>VLOOKUP(F4332,Countries!$A$1:$B$161,2,0)</f>
        <v>United States of America</v>
      </c>
    </row>
    <row r="4333" spans="1:8" x14ac:dyDescent="0.3">
      <c r="A4333" s="3">
        <v>46246.425243055557</v>
      </c>
      <c r="B4333" s="1">
        <v>25.13</v>
      </c>
      <c r="C4333" s="1">
        <v>21.78</v>
      </c>
      <c r="D4333" s="1">
        <v>1.4</v>
      </c>
      <c r="E4333" s="1" t="s">
        <v>113</v>
      </c>
      <c r="F4333" s="1" t="s">
        <v>113</v>
      </c>
      <c r="G4333" s="1" t="s">
        <v>113</v>
      </c>
      <c r="H4333" s="1" t="str">
        <f>VLOOKUP(F4333,Countries!$A$1:$B$161,2,0)</f>
        <v>United States of America</v>
      </c>
    </row>
    <row r="4334" spans="1:8" x14ac:dyDescent="0.3">
      <c r="A4334" s="3">
        <v>46246.42454861111</v>
      </c>
      <c r="B4334" s="1">
        <v>14.77</v>
      </c>
      <c r="C4334" s="1">
        <v>12.8</v>
      </c>
      <c r="D4334" s="1">
        <v>0.93</v>
      </c>
      <c r="E4334" s="1" t="s">
        <v>113</v>
      </c>
      <c r="F4334" s="1" t="s">
        <v>113</v>
      </c>
      <c r="G4334" s="1" t="s">
        <v>113</v>
      </c>
      <c r="H4334" s="1" t="str">
        <f>VLOOKUP(F4334,Countries!$A$1:$B$161,2,0)</f>
        <v>United States of America</v>
      </c>
    </row>
    <row r="4335" spans="1:8" x14ac:dyDescent="0.3">
      <c r="A4335" s="3">
        <v>46246.420092592591</v>
      </c>
      <c r="B4335" s="1">
        <v>26.61</v>
      </c>
      <c r="C4335" s="1">
        <v>23.07</v>
      </c>
      <c r="D4335" s="1">
        <v>1.46</v>
      </c>
      <c r="E4335" s="1" t="s">
        <v>113</v>
      </c>
      <c r="F4335" s="1" t="s">
        <v>113</v>
      </c>
      <c r="G4335" s="1" t="s">
        <v>113</v>
      </c>
      <c r="H4335" s="1" t="str">
        <f>VLOOKUP(F4335,Countries!$A$1:$B$161,2,0)</f>
        <v>United States of America</v>
      </c>
    </row>
    <row r="4336" spans="1:8" x14ac:dyDescent="0.3">
      <c r="A4336" s="3">
        <v>46246.419583333343</v>
      </c>
      <c r="B4336" s="1">
        <v>15.78</v>
      </c>
      <c r="C4336" s="1">
        <v>13.68</v>
      </c>
      <c r="D4336" s="1">
        <v>0.96</v>
      </c>
      <c r="E4336" s="1" t="s">
        <v>114</v>
      </c>
      <c r="F4336" s="1" t="s">
        <v>114</v>
      </c>
      <c r="G4336" s="1" t="s">
        <v>114</v>
      </c>
      <c r="H4336" s="1" t="str">
        <f>VLOOKUP(F4336,Countries!$A$1:$B$161,2,0)</f>
        <v>Philippines</v>
      </c>
    </row>
    <row r="4337" spans="1:8" x14ac:dyDescent="0.3">
      <c r="A4337" s="3">
        <v>46246.414375</v>
      </c>
      <c r="B4337" s="1">
        <v>7.04</v>
      </c>
      <c r="C4337" s="1">
        <v>6.1</v>
      </c>
      <c r="D4337" s="1">
        <v>0.56999999999999995</v>
      </c>
      <c r="E4337" s="1" t="s">
        <v>160</v>
      </c>
      <c r="F4337" s="1" t="s">
        <v>160</v>
      </c>
      <c r="G4337" s="1" t="s">
        <v>160</v>
      </c>
      <c r="H4337" s="1" t="str">
        <f>VLOOKUP(F4337,Countries!$A$1:$B$161,2,0)</f>
        <v>New Zealand</v>
      </c>
    </row>
    <row r="4338" spans="1:8" x14ac:dyDescent="0.3">
      <c r="A4338" s="3">
        <v>46246.39166666667</v>
      </c>
      <c r="B4338" s="1">
        <v>6.37</v>
      </c>
      <c r="C4338" s="1">
        <v>5.52</v>
      </c>
      <c r="D4338" s="1">
        <v>0.54</v>
      </c>
      <c r="E4338" s="1" t="s">
        <v>113</v>
      </c>
      <c r="F4338" s="1" t="s">
        <v>113</v>
      </c>
      <c r="G4338" s="1" t="s">
        <v>113</v>
      </c>
      <c r="H4338" s="1" t="str">
        <f>VLOOKUP(F4338,Countries!$A$1:$B$161,2,0)</f>
        <v>United States of America</v>
      </c>
    </row>
    <row r="4339" spans="1:8" x14ac:dyDescent="0.3">
      <c r="A4339" s="3">
        <v>46246.385833333326</v>
      </c>
      <c r="B4339" s="1">
        <v>7.98</v>
      </c>
      <c r="C4339" s="1">
        <v>6.92</v>
      </c>
      <c r="D4339" s="1">
        <v>0.49</v>
      </c>
      <c r="E4339" s="1" t="s">
        <v>125</v>
      </c>
      <c r="F4339" s="1" t="s">
        <v>125</v>
      </c>
      <c r="G4339" s="1" t="s">
        <v>125</v>
      </c>
      <c r="H4339" s="1" t="str">
        <f>VLOOKUP(F4339,Countries!$A$1:$B$161,2,0)</f>
        <v>Norway</v>
      </c>
    </row>
    <row r="4340" spans="1:8" x14ac:dyDescent="0.3">
      <c r="A4340" s="3">
        <v>46246.384780092587</v>
      </c>
      <c r="B4340" s="1">
        <v>22.18</v>
      </c>
      <c r="C4340" s="1">
        <v>19.22</v>
      </c>
      <c r="D4340" s="1">
        <v>1.25</v>
      </c>
      <c r="E4340" s="1" t="s">
        <v>113</v>
      </c>
      <c r="F4340" s="1" t="s">
        <v>113</v>
      </c>
      <c r="G4340" s="1" t="s">
        <v>113</v>
      </c>
      <c r="H4340" s="1" t="str">
        <f>VLOOKUP(F4340,Countries!$A$1:$B$161,2,0)</f>
        <v>United States of America</v>
      </c>
    </row>
    <row r="4341" spans="1:8" x14ac:dyDescent="0.3">
      <c r="A4341" s="3">
        <v>46246.383912037039</v>
      </c>
      <c r="B4341" s="1">
        <v>20.239999999999998</v>
      </c>
      <c r="C4341" s="1">
        <v>17.54</v>
      </c>
      <c r="D4341" s="1">
        <v>1.17</v>
      </c>
      <c r="E4341" s="1" t="s">
        <v>113</v>
      </c>
      <c r="F4341" s="1" t="s">
        <v>113</v>
      </c>
      <c r="G4341" s="1" t="s">
        <v>113</v>
      </c>
      <c r="H4341" s="1" t="str">
        <f>VLOOKUP(F4341,Countries!$A$1:$B$161,2,0)</f>
        <v>United States of America</v>
      </c>
    </row>
    <row r="4342" spans="1:8" x14ac:dyDescent="0.3">
      <c r="A4342" s="3">
        <v>46246.377222222232</v>
      </c>
      <c r="B4342" s="1">
        <v>5.67</v>
      </c>
      <c r="C4342" s="1">
        <v>4.91</v>
      </c>
      <c r="D4342" s="1">
        <v>0.51</v>
      </c>
      <c r="E4342" s="1" t="s">
        <v>170</v>
      </c>
      <c r="F4342" s="1" t="s">
        <v>170</v>
      </c>
      <c r="G4342" s="1" t="s">
        <v>170</v>
      </c>
      <c r="H4342" s="1" t="str">
        <f>VLOOKUP(F4342,Countries!$A$1:$B$161,2,0)</f>
        <v>Kyrgyzstan</v>
      </c>
    </row>
    <row r="4343" spans="1:8" x14ac:dyDescent="0.3">
      <c r="A4343" s="3">
        <v>46246.376435185193</v>
      </c>
      <c r="B4343" s="1">
        <v>6.37</v>
      </c>
      <c r="C4343" s="1">
        <v>5.52</v>
      </c>
      <c r="D4343" s="1">
        <v>0.54</v>
      </c>
      <c r="E4343" s="1" t="s">
        <v>113</v>
      </c>
      <c r="F4343" s="1" t="s">
        <v>113</v>
      </c>
      <c r="G4343" s="1" t="s">
        <v>113</v>
      </c>
      <c r="H4343" s="1" t="str">
        <f>VLOOKUP(F4343,Countries!$A$1:$B$161,2,0)</f>
        <v>United States of America</v>
      </c>
    </row>
    <row r="4344" spans="1:8" x14ac:dyDescent="0.3">
      <c r="A4344" s="3">
        <v>46246.37604166667</v>
      </c>
      <c r="B4344" s="1">
        <v>6.37</v>
      </c>
      <c r="C4344" s="1">
        <v>5.52</v>
      </c>
      <c r="D4344" s="1">
        <v>0.54</v>
      </c>
      <c r="E4344" s="1" t="s">
        <v>113</v>
      </c>
      <c r="F4344" s="1" t="s">
        <v>113</v>
      </c>
      <c r="G4344" s="1" t="s">
        <v>113</v>
      </c>
      <c r="H4344" s="1" t="str">
        <f>VLOOKUP(F4344,Countries!$A$1:$B$161,2,0)</f>
        <v>United States of America</v>
      </c>
    </row>
    <row r="4345" spans="1:8" x14ac:dyDescent="0.3">
      <c r="A4345" s="3">
        <v>46246.36445601852</v>
      </c>
      <c r="B4345" s="1">
        <v>3.18</v>
      </c>
      <c r="C4345" s="1">
        <v>2.76</v>
      </c>
      <c r="D4345" s="1">
        <v>0.4</v>
      </c>
      <c r="E4345" s="1" t="s">
        <v>113</v>
      </c>
      <c r="F4345" s="1" t="s">
        <v>113</v>
      </c>
      <c r="G4345" s="1" t="s">
        <v>113</v>
      </c>
      <c r="H4345" s="1" t="str">
        <f>VLOOKUP(F4345,Countries!$A$1:$B$161,2,0)</f>
        <v>United States of America</v>
      </c>
    </row>
    <row r="4346" spans="1:8" x14ac:dyDescent="0.3">
      <c r="A4346" s="3">
        <v>46246.349652777782</v>
      </c>
      <c r="B4346" s="1">
        <v>7.39</v>
      </c>
      <c r="C4346" s="1">
        <v>6.41</v>
      </c>
      <c r="D4346" s="1">
        <v>0.48</v>
      </c>
      <c r="E4346" s="1" t="s">
        <v>147</v>
      </c>
      <c r="F4346" s="1" t="s">
        <v>147</v>
      </c>
      <c r="G4346" s="1" t="s">
        <v>147</v>
      </c>
      <c r="H4346" s="1" t="str">
        <f>VLOOKUP(F4346,Countries!$A$1:$B$161,2,0)</f>
        <v>Germany</v>
      </c>
    </row>
    <row r="4347" spans="1:8" x14ac:dyDescent="0.3">
      <c r="A4347" s="3">
        <v>46246.349456018521</v>
      </c>
      <c r="B4347" s="1">
        <v>6.37</v>
      </c>
      <c r="C4347" s="1">
        <v>5.52</v>
      </c>
      <c r="D4347" s="1">
        <v>0.54</v>
      </c>
      <c r="E4347" s="1" t="s">
        <v>113</v>
      </c>
      <c r="F4347" s="1" t="s">
        <v>113</v>
      </c>
      <c r="G4347" s="1" t="s">
        <v>113</v>
      </c>
      <c r="H4347" s="1" t="str">
        <f>VLOOKUP(F4347,Countries!$A$1:$B$161,2,0)</f>
        <v>United States of America</v>
      </c>
    </row>
    <row r="4348" spans="1:8" x14ac:dyDescent="0.3">
      <c r="A4348" s="3">
        <v>46246.348136574074</v>
      </c>
      <c r="B4348" s="1">
        <v>6.37</v>
      </c>
      <c r="C4348" s="1">
        <v>5.52</v>
      </c>
      <c r="D4348" s="1">
        <v>0.54</v>
      </c>
      <c r="E4348" s="1" t="s">
        <v>113</v>
      </c>
      <c r="F4348" s="1" t="s">
        <v>113</v>
      </c>
      <c r="G4348" s="1" t="s">
        <v>113</v>
      </c>
      <c r="H4348" s="1" t="str">
        <f>VLOOKUP(F4348,Countries!$A$1:$B$161,2,0)</f>
        <v>United States of America</v>
      </c>
    </row>
    <row r="4349" spans="1:8" x14ac:dyDescent="0.3">
      <c r="A4349" s="3">
        <v>46246.341111111113</v>
      </c>
      <c r="B4349" s="1">
        <v>36.96</v>
      </c>
      <c r="C4349" s="1">
        <v>32.03</v>
      </c>
      <c r="D4349" s="1">
        <v>1.93</v>
      </c>
      <c r="E4349" s="1" t="s">
        <v>183</v>
      </c>
      <c r="F4349" s="1" t="s">
        <v>183</v>
      </c>
      <c r="G4349" s="1" t="s">
        <v>183</v>
      </c>
      <c r="H4349" s="1" t="str">
        <f>VLOOKUP(F4349,Countries!$A$1:$B$161,2,0)</f>
        <v>Malaysia</v>
      </c>
    </row>
    <row r="4350" spans="1:8" x14ac:dyDescent="0.3">
      <c r="A4350" s="3">
        <v>46246.339537037027</v>
      </c>
      <c r="B4350" s="1">
        <v>7.04</v>
      </c>
      <c r="C4350" s="1">
        <v>6.1</v>
      </c>
      <c r="D4350" s="1">
        <v>0.56999999999999995</v>
      </c>
      <c r="E4350" s="1" t="s">
        <v>160</v>
      </c>
      <c r="F4350" s="1" t="s">
        <v>160</v>
      </c>
      <c r="G4350" s="1" t="s">
        <v>160</v>
      </c>
      <c r="H4350" s="1" t="str">
        <f>VLOOKUP(F4350,Countries!$A$1:$B$161,2,0)</f>
        <v>New Zealand</v>
      </c>
    </row>
    <row r="4351" spans="1:8" x14ac:dyDescent="0.3">
      <c r="A4351" s="3">
        <v>46246.339328703703</v>
      </c>
      <c r="B4351" s="1">
        <v>1.99</v>
      </c>
      <c r="C4351" s="1">
        <v>1.72</v>
      </c>
      <c r="D4351" s="1">
        <v>0.34</v>
      </c>
      <c r="E4351" s="1" t="s">
        <v>182</v>
      </c>
      <c r="F4351" s="1" t="s">
        <v>182</v>
      </c>
      <c r="G4351" s="1" t="s">
        <v>182</v>
      </c>
      <c r="H4351" s="1" t="str">
        <f>VLOOKUP(F4351,Countries!$A$1:$B$161,2,0)</f>
        <v>Guatemala</v>
      </c>
    </row>
    <row r="4352" spans="1:8" x14ac:dyDescent="0.3">
      <c r="A4352" s="3">
        <v>46246.337465277778</v>
      </c>
      <c r="B4352" s="1">
        <v>6.37</v>
      </c>
      <c r="C4352" s="1">
        <v>5.52</v>
      </c>
      <c r="D4352" s="1">
        <v>0.54</v>
      </c>
      <c r="E4352" s="1" t="s">
        <v>113</v>
      </c>
      <c r="F4352" s="1" t="s">
        <v>113</v>
      </c>
      <c r="G4352" s="1" t="s">
        <v>113</v>
      </c>
      <c r="H4352" s="1" t="str">
        <f>VLOOKUP(F4352,Countries!$A$1:$B$161,2,0)</f>
        <v>United States of America</v>
      </c>
    </row>
    <row r="4353" spans="1:8" x14ac:dyDescent="0.3">
      <c r="A4353" s="3">
        <v>46246.337210648147</v>
      </c>
      <c r="B4353" s="1">
        <v>6.3</v>
      </c>
      <c r="C4353" s="1">
        <v>5.46</v>
      </c>
      <c r="D4353" s="1">
        <v>0.54</v>
      </c>
      <c r="E4353" s="1" t="s">
        <v>132</v>
      </c>
      <c r="F4353" s="1" t="s">
        <v>132</v>
      </c>
      <c r="G4353" s="1" t="s">
        <v>132</v>
      </c>
      <c r="H4353" s="1" t="str">
        <f>VLOOKUP(F4353,Countries!$A$1:$B$161,2,0)</f>
        <v>Canada</v>
      </c>
    </row>
    <row r="4354" spans="1:8" x14ac:dyDescent="0.3">
      <c r="A4354" s="3">
        <v>46246.335659722223</v>
      </c>
      <c r="B4354" s="1">
        <v>3.73</v>
      </c>
      <c r="C4354" s="1">
        <v>3.23</v>
      </c>
      <c r="D4354" s="1">
        <v>0.41</v>
      </c>
      <c r="E4354" s="1" t="s">
        <v>163</v>
      </c>
      <c r="F4354" s="1" t="s">
        <v>163</v>
      </c>
      <c r="G4354" s="1" t="s">
        <v>163</v>
      </c>
      <c r="H4354" s="1" t="str">
        <f>VLOOKUP(F4354,Countries!$A$1:$B$161,2,0)</f>
        <v>Saudi Arabia</v>
      </c>
    </row>
    <row r="4355" spans="1:8" x14ac:dyDescent="0.3">
      <c r="A4355" s="3">
        <v>46246.334062499998</v>
      </c>
      <c r="B4355" s="1">
        <v>6.37</v>
      </c>
      <c r="C4355" s="1">
        <v>5.52</v>
      </c>
      <c r="D4355" s="1">
        <v>0.54</v>
      </c>
      <c r="E4355" s="1" t="s">
        <v>113</v>
      </c>
      <c r="F4355" s="1" t="s">
        <v>113</v>
      </c>
      <c r="G4355" s="1" t="s">
        <v>113</v>
      </c>
      <c r="H4355" s="1" t="str">
        <f>VLOOKUP(F4355,Countries!$A$1:$B$161,2,0)</f>
        <v>United States of America</v>
      </c>
    </row>
    <row r="4356" spans="1:8" x14ac:dyDescent="0.3">
      <c r="A4356" s="3">
        <v>46246.333796296298</v>
      </c>
      <c r="B4356" s="1">
        <v>6.37</v>
      </c>
      <c r="C4356" s="1">
        <v>5.52</v>
      </c>
      <c r="D4356" s="1">
        <v>0.54</v>
      </c>
      <c r="E4356" s="1" t="s">
        <v>113</v>
      </c>
      <c r="F4356" s="1" t="s">
        <v>113</v>
      </c>
      <c r="G4356" s="1" t="s">
        <v>113</v>
      </c>
      <c r="H4356" s="1" t="str">
        <f>VLOOKUP(F4356,Countries!$A$1:$B$161,2,0)</f>
        <v>United States of America</v>
      </c>
    </row>
    <row r="4357" spans="1:8" x14ac:dyDescent="0.3">
      <c r="A4357" s="3">
        <v>46246.32603009259</v>
      </c>
      <c r="B4357" s="1">
        <v>4.99</v>
      </c>
      <c r="C4357" s="1">
        <v>4.33</v>
      </c>
      <c r="D4357" s="1">
        <v>0.48</v>
      </c>
      <c r="E4357" s="1" t="s">
        <v>215</v>
      </c>
      <c r="F4357" s="1" t="s">
        <v>215</v>
      </c>
      <c r="G4357" s="1" t="s">
        <v>215</v>
      </c>
      <c r="H4357" s="1" t="str">
        <f>VLOOKUP(F4357,Countries!$A$1:$B$161,2,0)</f>
        <v>Palestinian Territory (occupied)</v>
      </c>
    </row>
    <row r="4358" spans="1:8" x14ac:dyDescent="0.3">
      <c r="A4358" s="3">
        <v>46246.323055555556</v>
      </c>
      <c r="B4358" s="1">
        <v>5.99</v>
      </c>
      <c r="C4358" s="1">
        <v>5.19</v>
      </c>
      <c r="D4358" s="1">
        <v>0.52</v>
      </c>
      <c r="E4358" s="1" t="s">
        <v>129</v>
      </c>
      <c r="F4358" s="1" t="s">
        <v>129</v>
      </c>
      <c r="G4358" s="1" t="s">
        <v>129</v>
      </c>
      <c r="H4358" s="1" t="str">
        <f>VLOOKUP(F4358,Countries!$A$1:$B$161,2,0)</f>
        <v>Qatar</v>
      </c>
    </row>
    <row r="4359" spans="1:8" x14ac:dyDescent="0.3">
      <c r="A4359" s="3">
        <v>46246.321516203701</v>
      </c>
      <c r="B4359" s="1">
        <v>2.11</v>
      </c>
      <c r="C4359" s="1">
        <v>1.83</v>
      </c>
      <c r="D4359" s="1">
        <v>0.35</v>
      </c>
      <c r="E4359" s="1" t="s">
        <v>113</v>
      </c>
      <c r="F4359" s="1" t="s">
        <v>113</v>
      </c>
      <c r="G4359" s="1" t="s">
        <v>113</v>
      </c>
      <c r="H4359" s="1" t="str">
        <f>VLOOKUP(F4359,Countries!$A$1:$B$161,2,0)</f>
        <v>United States of America</v>
      </c>
    </row>
    <row r="4360" spans="1:8" x14ac:dyDescent="0.3">
      <c r="A4360" s="3">
        <v>46246.319606481477</v>
      </c>
      <c r="B4360" s="1">
        <v>7.48</v>
      </c>
      <c r="C4360" s="1">
        <v>6.48</v>
      </c>
      <c r="D4360" s="1">
        <v>0.48</v>
      </c>
      <c r="E4360" s="1" t="s">
        <v>123</v>
      </c>
      <c r="F4360" s="1" t="s">
        <v>123</v>
      </c>
      <c r="G4360" s="1" t="s">
        <v>123</v>
      </c>
      <c r="H4360" s="1" t="str">
        <f>VLOOKUP(F4360,Countries!$A$1:$B$161,2,0)</f>
        <v>France</v>
      </c>
    </row>
    <row r="4361" spans="1:8" x14ac:dyDescent="0.3">
      <c r="A4361" s="3">
        <v>46246.311562499999</v>
      </c>
      <c r="B4361" s="1">
        <v>6.37</v>
      </c>
      <c r="C4361" s="1">
        <v>5.52</v>
      </c>
      <c r="D4361" s="1">
        <v>0.54</v>
      </c>
      <c r="E4361" s="1" t="s">
        <v>113</v>
      </c>
      <c r="F4361" s="1" t="s">
        <v>113</v>
      </c>
      <c r="G4361" s="1" t="s">
        <v>113</v>
      </c>
      <c r="H4361" s="1" t="str">
        <f>VLOOKUP(F4361,Countries!$A$1:$B$161,2,0)</f>
        <v>United States of America</v>
      </c>
    </row>
    <row r="4362" spans="1:8" x14ac:dyDescent="0.3">
      <c r="A4362" s="3">
        <v>46246.308738425927</v>
      </c>
      <c r="B4362" s="1">
        <v>3.39</v>
      </c>
      <c r="C4362" s="1">
        <v>2.94</v>
      </c>
      <c r="D4362" s="1">
        <v>0.41</v>
      </c>
      <c r="E4362" s="1" t="s">
        <v>114</v>
      </c>
      <c r="F4362" s="1" t="s">
        <v>114</v>
      </c>
      <c r="G4362" s="1" t="s">
        <v>114</v>
      </c>
      <c r="H4362" s="1" t="str">
        <f>VLOOKUP(F4362,Countries!$A$1:$B$161,2,0)</f>
        <v>Philippines</v>
      </c>
    </row>
    <row r="4363" spans="1:8" x14ac:dyDescent="0.3">
      <c r="A4363" s="3">
        <v>46246.292708333327</v>
      </c>
      <c r="B4363" s="1">
        <v>17.010000000000002</v>
      </c>
      <c r="C4363" s="1">
        <v>14.75</v>
      </c>
      <c r="D4363" s="1">
        <v>1.03</v>
      </c>
      <c r="E4363" s="1" t="s">
        <v>183</v>
      </c>
      <c r="F4363" s="1" t="s">
        <v>183</v>
      </c>
      <c r="G4363" s="1" t="s">
        <v>183</v>
      </c>
      <c r="H4363" s="1" t="str">
        <f>VLOOKUP(F4363,Countries!$A$1:$B$161,2,0)</f>
        <v>Malaysia</v>
      </c>
    </row>
    <row r="4364" spans="1:8" x14ac:dyDescent="0.3">
      <c r="A4364" s="3">
        <v>46246.284594907411</v>
      </c>
      <c r="B4364" s="1">
        <v>17.010000000000002</v>
      </c>
      <c r="C4364" s="1">
        <v>14.75</v>
      </c>
      <c r="D4364" s="1">
        <v>1.03</v>
      </c>
      <c r="E4364" s="1" t="s">
        <v>113</v>
      </c>
      <c r="F4364" s="1" t="s">
        <v>113</v>
      </c>
      <c r="G4364" s="1" t="s">
        <v>113</v>
      </c>
      <c r="H4364" s="1" t="str">
        <f>VLOOKUP(F4364,Countries!$A$1:$B$161,2,0)</f>
        <v>United States of America</v>
      </c>
    </row>
    <row r="4365" spans="1:8" x14ac:dyDescent="0.3">
      <c r="A4365" s="3">
        <v>46246.279826388891</v>
      </c>
      <c r="B4365" s="1">
        <v>3.32</v>
      </c>
      <c r="C4365" s="1">
        <v>2.88</v>
      </c>
      <c r="D4365" s="1">
        <v>0.4</v>
      </c>
      <c r="E4365" s="1" t="s">
        <v>121</v>
      </c>
      <c r="F4365" s="1" t="s">
        <v>121</v>
      </c>
      <c r="G4365" s="1" t="s">
        <v>121</v>
      </c>
      <c r="H4365" s="1" t="str">
        <f>VLOOKUP(F4365,Countries!$A$1:$B$161,2,0)</f>
        <v>Japan</v>
      </c>
    </row>
    <row r="4366" spans="1:8" x14ac:dyDescent="0.3">
      <c r="A4366" s="3">
        <v>46246.268807870372</v>
      </c>
      <c r="B4366" s="1">
        <v>6.37</v>
      </c>
      <c r="C4366" s="1">
        <v>5.52</v>
      </c>
      <c r="D4366" s="1">
        <v>0.54</v>
      </c>
      <c r="E4366" s="1" t="s">
        <v>113</v>
      </c>
      <c r="F4366" s="1" t="s">
        <v>113</v>
      </c>
      <c r="G4366" s="1" t="s">
        <v>113</v>
      </c>
      <c r="H4366" s="1" t="str">
        <f>VLOOKUP(F4366,Countries!$A$1:$B$161,2,0)</f>
        <v>United States of America</v>
      </c>
    </row>
    <row r="4367" spans="1:8" x14ac:dyDescent="0.3">
      <c r="A4367" s="3">
        <v>46246.264999999999</v>
      </c>
      <c r="B4367" s="1">
        <v>6.37</v>
      </c>
      <c r="C4367" s="1">
        <v>5.52</v>
      </c>
      <c r="D4367" s="1">
        <v>0.54</v>
      </c>
      <c r="E4367" s="1" t="s">
        <v>183</v>
      </c>
      <c r="F4367" s="1" t="s">
        <v>183</v>
      </c>
      <c r="G4367" s="1" t="s">
        <v>183</v>
      </c>
      <c r="H4367" s="1" t="str">
        <f>VLOOKUP(F4367,Countries!$A$1:$B$161,2,0)</f>
        <v>Malaysia</v>
      </c>
    </row>
    <row r="4368" spans="1:8" x14ac:dyDescent="0.3">
      <c r="A4368" s="3">
        <v>46246.258414351847</v>
      </c>
      <c r="B4368" s="1">
        <v>4.24</v>
      </c>
      <c r="C4368" s="1">
        <v>3.68</v>
      </c>
      <c r="D4368" s="1">
        <v>0.44</v>
      </c>
      <c r="E4368" s="1" t="s">
        <v>113</v>
      </c>
      <c r="F4368" s="1" t="s">
        <v>113</v>
      </c>
      <c r="G4368" s="1" t="s">
        <v>113</v>
      </c>
      <c r="H4368" s="1" t="str">
        <f>VLOOKUP(F4368,Countries!$A$1:$B$161,2,0)</f>
        <v>United States of America</v>
      </c>
    </row>
    <row r="4369" spans="1:8" x14ac:dyDescent="0.3">
      <c r="A4369" s="3">
        <v>46246.25744212963</v>
      </c>
      <c r="B4369" s="1">
        <v>1.99</v>
      </c>
      <c r="C4369" s="1">
        <v>1.73</v>
      </c>
      <c r="D4369" s="1">
        <v>0.34</v>
      </c>
      <c r="E4369" s="1" t="s">
        <v>150</v>
      </c>
      <c r="F4369" s="1" t="s">
        <v>150</v>
      </c>
      <c r="G4369" s="1" t="s">
        <v>150</v>
      </c>
      <c r="H4369" s="1" t="str">
        <f>VLOOKUP(F4369,Countries!$A$1:$B$161,2,0)</f>
        <v>El Salvador</v>
      </c>
    </row>
    <row r="4370" spans="1:8" x14ac:dyDescent="0.3">
      <c r="A4370" s="3">
        <v>46246.247673611113</v>
      </c>
      <c r="B4370" s="1">
        <v>2.1800000000000002</v>
      </c>
      <c r="C4370" s="1">
        <v>1.89</v>
      </c>
      <c r="D4370" s="1">
        <v>0.35</v>
      </c>
      <c r="E4370" s="1" t="s">
        <v>216</v>
      </c>
      <c r="F4370" s="1" t="s">
        <v>152</v>
      </c>
      <c r="G4370" s="1" t="s">
        <v>152</v>
      </c>
      <c r="H4370" s="1" t="str">
        <f>VLOOKUP(F4370,Countries!$A$1:$B$161,2,0)</f>
        <v>Singapore</v>
      </c>
    </row>
    <row r="4371" spans="1:8" x14ac:dyDescent="0.3">
      <c r="A4371" s="3">
        <v>46246.238958333342</v>
      </c>
      <c r="B4371" s="1">
        <v>34.75</v>
      </c>
      <c r="C4371" s="1">
        <v>30.12</v>
      </c>
      <c r="D4371" s="1">
        <v>1.3</v>
      </c>
      <c r="E4371" s="1" t="s">
        <v>123</v>
      </c>
      <c r="F4371" s="1" t="s">
        <v>123</v>
      </c>
      <c r="G4371" s="1" t="s">
        <v>123</v>
      </c>
      <c r="H4371" s="1" t="str">
        <f>VLOOKUP(F4371,Countries!$A$1:$B$161,2,0)</f>
        <v>France</v>
      </c>
    </row>
    <row r="4372" spans="1:8" x14ac:dyDescent="0.3">
      <c r="A4372" s="3">
        <v>46246.238703703697</v>
      </c>
      <c r="B4372" s="1">
        <v>26.06</v>
      </c>
      <c r="C4372" s="1">
        <v>22.59</v>
      </c>
      <c r="D4372" s="1">
        <v>1.04</v>
      </c>
      <c r="E4372" s="1" t="s">
        <v>123</v>
      </c>
      <c r="F4372" s="1" t="s">
        <v>123</v>
      </c>
      <c r="G4372" s="1" t="s">
        <v>123</v>
      </c>
      <c r="H4372" s="1" t="str">
        <f>VLOOKUP(F4372,Countries!$A$1:$B$161,2,0)</f>
        <v>France</v>
      </c>
    </row>
    <row r="4373" spans="1:8" x14ac:dyDescent="0.3">
      <c r="A4373" s="3">
        <v>46246.231574074067</v>
      </c>
      <c r="B4373" s="1">
        <v>3.99</v>
      </c>
      <c r="C4373" s="1">
        <v>3.46</v>
      </c>
      <c r="D4373" s="1">
        <v>0.43</v>
      </c>
      <c r="E4373" s="1" t="s">
        <v>113</v>
      </c>
      <c r="F4373" s="1" t="s">
        <v>113</v>
      </c>
      <c r="G4373" s="1" t="s">
        <v>113</v>
      </c>
      <c r="H4373" s="1" t="str">
        <f>VLOOKUP(F4373,Countries!$A$1:$B$161,2,0)</f>
        <v>United States of America</v>
      </c>
    </row>
    <row r="4374" spans="1:8" x14ac:dyDescent="0.3">
      <c r="A4374" s="3">
        <v>46246.227488425917</v>
      </c>
      <c r="B4374" s="1">
        <v>6.37</v>
      </c>
      <c r="C4374" s="1">
        <v>5.52</v>
      </c>
      <c r="D4374" s="1">
        <v>0.54</v>
      </c>
      <c r="E4374" s="1" t="s">
        <v>113</v>
      </c>
      <c r="F4374" s="1" t="s">
        <v>113</v>
      </c>
      <c r="G4374" s="1" t="s">
        <v>113</v>
      </c>
      <c r="H4374" s="1" t="str">
        <f>VLOOKUP(F4374,Countries!$A$1:$B$161,2,0)</f>
        <v>United States of America</v>
      </c>
    </row>
    <row r="4375" spans="1:8" x14ac:dyDescent="0.3">
      <c r="A4375" s="3">
        <v>46246.226921296293</v>
      </c>
      <c r="B4375" s="1">
        <v>5.99</v>
      </c>
      <c r="C4375" s="1">
        <v>5.19</v>
      </c>
      <c r="D4375" s="1">
        <v>0.52</v>
      </c>
      <c r="E4375" s="1" t="s">
        <v>113</v>
      </c>
      <c r="F4375" s="1" t="s">
        <v>113</v>
      </c>
      <c r="G4375" s="1" t="s">
        <v>113</v>
      </c>
      <c r="H4375" s="1" t="str">
        <f>VLOOKUP(F4375,Countries!$A$1:$B$161,2,0)</f>
        <v>United States of America</v>
      </c>
    </row>
    <row r="4376" spans="1:8" x14ac:dyDescent="0.3">
      <c r="A4376" s="3">
        <v>46246.226655092592</v>
      </c>
      <c r="B4376" s="1">
        <v>6.37</v>
      </c>
      <c r="C4376" s="1">
        <v>5.52</v>
      </c>
      <c r="D4376" s="1">
        <v>0.54</v>
      </c>
      <c r="E4376" s="1" t="s">
        <v>113</v>
      </c>
      <c r="F4376" s="1" t="s">
        <v>113</v>
      </c>
      <c r="G4376" s="1" t="s">
        <v>113</v>
      </c>
      <c r="H4376" s="1" t="str">
        <f>VLOOKUP(F4376,Countries!$A$1:$B$161,2,0)</f>
        <v>United States of America</v>
      </c>
    </row>
    <row r="4377" spans="1:8" x14ac:dyDescent="0.3">
      <c r="A4377" s="3">
        <v>46246.20994212963</v>
      </c>
      <c r="B4377" s="1">
        <v>17.010000000000002</v>
      </c>
      <c r="C4377" s="1">
        <v>14.75</v>
      </c>
      <c r="D4377" s="1">
        <v>1.03</v>
      </c>
      <c r="E4377" s="1" t="s">
        <v>113</v>
      </c>
      <c r="F4377" s="1" t="s">
        <v>113</v>
      </c>
      <c r="G4377" s="1" t="s">
        <v>113</v>
      </c>
      <c r="H4377" s="1" t="str">
        <f>VLOOKUP(F4377,Countries!$A$1:$B$161,2,0)</f>
        <v>United States of America</v>
      </c>
    </row>
    <row r="4378" spans="1:8" x14ac:dyDescent="0.3">
      <c r="A4378" s="3">
        <v>46246.187986111108</v>
      </c>
      <c r="B4378" s="1">
        <v>6.37</v>
      </c>
      <c r="C4378" s="1">
        <v>5.52</v>
      </c>
      <c r="D4378" s="1">
        <v>0.54</v>
      </c>
      <c r="E4378" s="1" t="s">
        <v>113</v>
      </c>
      <c r="F4378" s="1" t="s">
        <v>113</v>
      </c>
      <c r="G4378" s="1" t="s">
        <v>113</v>
      </c>
      <c r="H4378" s="1" t="str">
        <f>VLOOKUP(F4378,Countries!$A$1:$B$161,2,0)</f>
        <v>United States of America</v>
      </c>
    </row>
    <row r="4379" spans="1:8" x14ac:dyDescent="0.3">
      <c r="A4379" s="3">
        <v>46246.18478009259</v>
      </c>
      <c r="B4379" s="1">
        <v>7.58</v>
      </c>
      <c r="C4379" s="1">
        <v>6.57</v>
      </c>
      <c r="D4379" s="1">
        <v>0.48</v>
      </c>
      <c r="E4379" s="1" t="s">
        <v>116</v>
      </c>
      <c r="F4379" s="1" t="s">
        <v>116</v>
      </c>
      <c r="G4379" s="1" t="s">
        <v>116</v>
      </c>
      <c r="H4379" s="1" t="str">
        <f>VLOOKUP(F4379,Countries!$A$1:$B$161,2,0)</f>
        <v>Spain</v>
      </c>
    </row>
    <row r="4380" spans="1:8" x14ac:dyDescent="0.3">
      <c r="A4380" s="3">
        <v>46246.178842592592</v>
      </c>
      <c r="B4380" s="1">
        <v>2.11</v>
      </c>
      <c r="C4380" s="1">
        <v>1.83</v>
      </c>
      <c r="D4380" s="1">
        <v>0.35</v>
      </c>
      <c r="E4380" s="1" t="s">
        <v>113</v>
      </c>
      <c r="F4380" s="1" t="s">
        <v>113</v>
      </c>
      <c r="G4380" s="1" t="s">
        <v>113</v>
      </c>
      <c r="H4380" s="1" t="str">
        <f>VLOOKUP(F4380,Countries!$A$1:$B$161,2,0)</f>
        <v>United States of America</v>
      </c>
    </row>
    <row r="4381" spans="1:8" x14ac:dyDescent="0.3">
      <c r="A4381" s="3">
        <v>46246.175752314812</v>
      </c>
      <c r="B4381" s="1">
        <v>6.37</v>
      </c>
      <c r="C4381" s="1">
        <v>5.52</v>
      </c>
      <c r="D4381" s="1">
        <v>0.54</v>
      </c>
      <c r="E4381" s="1" t="s">
        <v>113</v>
      </c>
      <c r="F4381" s="1" t="s">
        <v>113</v>
      </c>
      <c r="G4381" s="1" t="s">
        <v>113</v>
      </c>
      <c r="H4381" s="1" t="str">
        <f>VLOOKUP(F4381,Countries!$A$1:$B$161,2,0)</f>
        <v>United States of America</v>
      </c>
    </row>
    <row r="4382" spans="1:8" x14ac:dyDescent="0.3">
      <c r="A4382" s="3">
        <v>46246.173831018517</v>
      </c>
      <c r="B4382" s="1">
        <v>7.58</v>
      </c>
      <c r="C4382" s="1">
        <v>6.57</v>
      </c>
      <c r="D4382" s="1">
        <v>0.48</v>
      </c>
      <c r="E4382" s="1" t="s">
        <v>116</v>
      </c>
      <c r="F4382" s="1" t="s">
        <v>116</v>
      </c>
      <c r="G4382" s="1" t="s">
        <v>116</v>
      </c>
      <c r="H4382" s="1" t="str">
        <f>VLOOKUP(F4382,Countries!$A$1:$B$161,2,0)</f>
        <v>Spain</v>
      </c>
    </row>
    <row r="4383" spans="1:8" x14ac:dyDescent="0.3">
      <c r="A4383" s="3">
        <v>46246.163784722223</v>
      </c>
      <c r="B4383" s="1">
        <v>16.34</v>
      </c>
      <c r="C4383" s="1">
        <v>14.16</v>
      </c>
      <c r="D4383" s="1">
        <v>0.99</v>
      </c>
      <c r="E4383" s="1" t="s">
        <v>160</v>
      </c>
      <c r="F4383" s="1" t="s">
        <v>160</v>
      </c>
      <c r="G4383" s="1" t="s">
        <v>160</v>
      </c>
      <c r="H4383" s="1" t="str">
        <f>VLOOKUP(F4383,Countries!$A$1:$B$161,2,0)</f>
        <v>New Zealand</v>
      </c>
    </row>
    <row r="4384" spans="1:8" x14ac:dyDescent="0.3">
      <c r="A4384" s="3">
        <v>46246.163530092592</v>
      </c>
      <c r="B4384" s="1">
        <v>3.51</v>
      </c>
      <c r="C4384" s="1">
        <v>3.04</v>
      </c>
      <c r="D4384" s="1">
        <v>0.41</v>
      </c>
      <c r="E4384" s="1" t="s">
        <v>163</v>
      </c>
      <c r="F4384" s="1" t="s">
        <v>163</v>
      </c>
      <c r="G4384" s="1" t="s">
        <v>163</v>
      </c>
      <c r="H4384" s="1" t="str">
        <f>VLOOKUP(F4384,Countries!$A$1:$B$161,2,0)</f>
        <v>Saudi Arabia</v>
      </c>
    </row>
    <row r="4385" spans="1:8" x14ac:dyDescent="0.3">
      <c r="A4385" s="3">
        <v>46246.162546296298</v>
      </c>
      <c r="B4385" s="1">
        <v>6.37</v>
      </c>
      <c r="C4385" s="1">
        <v>5.52</v>
      </c>
      <c r="D4385" s="1">
        <v>0.54</v>
      </c>
      <c r="E4385" s="1" t="s">
        <v>113</v>
      </c>
      <c r="F4385" s="1" t="s">
        <v>113</v>
      </c>
      <c r="G4385" s="1" t="s">
        <v>113</v>
      </c>
      <c r="H4385" s="1" t="str">
        <f>VLOOKUP(F4385,Countries!$A$1:$B$161,2,0)</f>
        <v>United States of America</v>
      </c>
    </row>
    <row r="4386" spans="1:8" x14ac:dyDescent="0.3">
      <c r="A4386" s="3">
        <v>46246.147650462961</v>
      </c>
      <c r="B4386" s="1">
        <v>7.99</v>
      </c>
      <c r="C4386" s="1">
        <v>6.92</v>
      </c>
      <c r="D4386" s="1">
        <v>0.61</v>
      </c>
      <c r="E4386" s="1" t="s">
        <v>113</v>
      </c>
      <c r="F4386" s="1" t="s">
        <v>113</v>
      </c>
      <c r="G4386" s="1" t="s">
        <v>113</v>
      </c>
      <c r="H4386" s="1" t="str">
        <f>VLOOKUP(F4386,Countries!$A$1:$B$161,2,0)</f>
        <v>United States of America</v>
      </c>
    </row>
    <row r="4387" spans="1:8" x14ac:dyDescent="0.3">
      <c r="A4387" s="3">
        <v>46246.145543981482</v>
      </c>
      <c r="B4387" s="1">
        <v>6.37</v>
      </c>
      <c r="C4387" s="1">
        <v>5.52</v>
      </c>
      <c r="D4387" s="1">
        <v>0.54</v>
      </c>
      <c r="E4387" s="1" t="s">
        <v>113</v>
      </c>
      <c r="F4387" s="1" t="s">
        <v>113</v>
      </c>
      <c r="G4387" s="1" t="s">
        <v>113</v>
      </c>
      <c r="H4387" s="1" t="str">
        <f>VLOOKUP(F4387,Countries!$A$1:$B$161,2,0)</f>
        <v>United States of America</v>
      </c>
    </row>
    <row r="4388" spans="1:8" x14ac:dyDescent="0.3">
      <c r="A4388" s="3">
        <v>46246.143900462957</v>
      </c>
      <c r="B4388" s="1">
        <v>16.34</v>
      </c>
      <c r="C4388" s="1">
        <v>14.16</v>
      </c>
      <c r="D4388" s="1">
        <v>0.99</v>
      </c>
      <c r="E4388" s="1" t="s">
        <v>160</v>
      </c>
      <c r="F4388" s="1" t="s">
        <v>160</v>
      </c>
      <c r="G4388" s="1" t="s">
        <v>160</v>
      </c>
      <c r="H4388" s="1" t="str">
        <f>VLOOKUP(F4388,Countries!$A$1:$B$161,2,0)</f>
        <v>New Zealand</v>
      </c>
    </row>
    <row r="4389" spans="1:8" x14ac:dyDescent="0.3">
      <c r="A4389" s="3">
        <v>46246.132060185177</v>
      </c>
      <c r="B4389" s="1">
        <v>10.63</v>
      </c>
      <c r="C4389" s="1">
        <v>9.2100000000000009</v>
      </c>
      <c r="D4389" s="1">
        <v>0.73</v>
      </c>
      <c r="E4389" s="1" t="s">
        <v>113</v>
      </c>
      <c r="F4389" s="1" t="s">
        <v>113</v>
      </c>
      <c r="G4389" s="1" t="s">
        <v>113</v>
      </c>
      <c r="H4389" s="1" t="str">
        <f>VLOOKUP(F4389,Countries!$A$1:$B$161,2,0)</f>
        <v>United States of America</v>
      </c>
    </row>
    <row r="4390" spans="1:8" x14ac:dyDescent="0.3">
      <c r="A4390" s="3">
        <v>46246.123877314807</v>
      </c>
      <c r="B4390" s="1">
        <v>6.37</v>
      </c>
      <c r="C4390" s="1">
        <v>5.52</v>
      </c>
      <c r="D4390" s="1">
        <v>0.54</v>
      </c>
      <c r="E4390" s="1" t="s">
        <v>113</v>
      </c>
      <c r="F4390" s="1" t="s">
        <v>113</v>
      </c>
      <c r="G4390" s="1" t="s">
        <v>113</v>
      </c>
      <c r="H4390" s="1" t="str">
        <f>VLOOKUP(F4390,Countries!$A$1:$B$161,2,0)</f>
        <v>United States of America</v>
      </c>
    </row>
    <row r="4391" spans="1:8" x14ac:dyDescent="0.3">
      <c r="A4391" s="3">
        <v>46246.121064814812</v>
      </c>
      <c r="B4391" s="1">
        <v>6.65</v>
      </c>
      <c r="C4391" s="1">
        <v>5.76</v>
      </c>
      <c r="D4391" s="1">
        <v>0.56000000000000005</v>
      </c>
      <c r="E4391" s="1" t="s">
        <v>130</v>
      </c>
      <c r="F4391" s="1" t="s">
        <v>130</v>
      </c>
      <c r="G4391" s="1" t="s">
        <v>130</v>
      </c>
      <c r="H4391" s="1" t="str">
        <f>VLOOKUP(F4391,Countries!$A$1:$B$161,2,0)</f>
        <v>Australia</v>
      </c>
    </row>
    <row r="4392" spans="1:8" x14ac:dyDescent="0.3">
      <c r="A4392" s="3">
        <v>46246.112592592603</v>
      </c>
      <c r="B4392" s="1">
        <v>14.77</v>
      </c>
      <c r="C4392" s="1">
        <v>12.8</v>
      </c>
      <c r="D4392" s="1">
        <v>0.93</v>
      </c>
      <c r="E4392" s="1" t="s">
        <v>113</v>
      </c>
      <c r="F4392" s="1" t="s">
        <v>113</v>
      </c>
      <c r="G4392" s="1" t="s">
        <v>113</v>
      </c>
      <c r="H4392" s="1" t="str">
        <f>VLOOKUP(F4392,Countries!$A$1:$B$161,2,0)</f>
        <v>United States of America</v>
      </c>
    </row>
    <row r="4393" spans="1:8" x14ac:dyDescent="0.3">
      <c r="A4393" s="3">
        <v>46246.110925925917</v>
      </c>
      <c r="B4393" s="1">
        <v>14.77</v>
      </c>
      <c r="C4393" s="1">
        <v>12.8</v>
      </c>
      <c r="D4393" s="1">
        <v>0.93</v>
      </c>
      <c r="E4393" s="1" t="s">
        <v>113</v>
      </c>
      <c r="F4393" s="1" t="s">
        <v>113</v>
      </c>
      <c r="G4393" s="1" t="s">
        <v>113</v>
      </c>
      <c r="H4393" s="1" t="str">
        <f>VLOOKUP(F4393,Countries!$A$1:$B$161,2,0)</f>
        <v>United States of America</v>
      </c>
    </row>
    <row r="4394" spans="1:8" x14ac:dyDescent="0.3">
      <c r="A4394" s="3">
        <v>46246.110868055563</v>
      </c>
      <c r="B4394" s="1">
        <v>14.77</v>
      </c>
      <c r="C4394" s="1">
        <v>12.8</v>
      </c>
      <c r="D4394" s="1">
        <v>0.93</v>
      </c>
      <c r="E4394" s="1" t="s">
        <v>113</v>
      </c>
      <c r="F4394" s="1" t="s">
        <v>113</v>
      </c>
      <c r="G4394" s="1" t="s">
        <v>113</v>
      </c>
      <c r="H4394" s="1" t="str">
        <f>VLOOKUP(F4394,Countries!$A$1:$B$161,2,0)</f>
        <v>United States of America</v>
      </c>
    </row>
    <row r="4395" spans="1:8" x14ac:dyDescent="0.3">
      <c r="A4395" s="3">
        <v>46246.107881944437</v>
      </c>
      <c r="B4395" s="1">
        <v>6.37</v>
      </c>
      <c r="C4395" s="1">
        <v>5.52</v>
      </c>
      <c r="D4395" s="1">
        <v>0.54</v>
      </c>
      <c r="E4395" s="1" t="s">
        <v>113</v>
      </c>
      <c r="F4395" s="1" t="s">
        <v>113</v>
      </c>
      <c r="G4395" s="1" t="s">
        <v>113</v>
      </c>
      <c r="H4395" s="1" t="str">
        <f>VLOOKUP(F4395,Countries!$A$1:$B$161,2,0)</f>
        <v>United States of America</v>
      </c>
    </row>
    <row r="4396" spans="1:8" x14ac:dyDescent="0.3">
      <c r="A4396" s="3">
        <v>46246.107291666667</v>
      </c>
      <c r="B4396" s="1">
        <v>6.37</v>
      </c>
      <c r="C4396" s="1">
        <v>5.52</v>
      </c>
      <c r="D4396" s="1">
        <v>0.54</v>
      </c>
      <c r="E4396" s="1" t="s">
        <v>113</v>
      </c>
      <c r="F4396" s="1" t="s">
        <v>113</v>
      </c>
      <c r="G4396" s="1" t="s">
        <v>113</v>
      </c>
      <c r="H4396" s="1" t="str">
        <f>VLOOKUP(F4396,Countries!$A$1:$B$161,2,0)</f>
        <v>United States of America</v>
      </c>
    </row>
    <row r="4397" spans="1:8" x14ac:dyDescent="0.3">
      <c r="A4397" s="3">
        <v>46246.097083333327</v>
      </c>
      <c r="B4397" s="1">
        <v>7.98</v>
      </c>
      <c r="C4397" s="1">
        <v>6.92</v>
      </c>
      <c r="D4397" s="1">
        <v>0.49</v>
      </c>
      <c r="E4397" s="1" t="s">
        <v>125</v>
      </c>
      <c r="F4397" s="1" t="s">
        <v>125</v>
      </c>
      <c r="G4397" s="1" t="s">
        <v>125</v>
      </c>
      <c r="H4397" s="1" t="str">
        <f>VLOOKUP(F4397,Countries!$A$1:$B$161,2,0)</f>
        <v>Norway</v>
      </c>
    </row>
    <row r="4398" spans="1:8" x14ac:dyDescent="0.3">
      <c r="A4398" s="3">
        <v>46246.094502314823</v>
      </c>
      <c r="B4398" s="1">
        <v>12.65</v>
      </c>
      <c r="C4398" s="1">
        <v>10.96</v>
      </c>
      <c r="D4398" s="1">
        <v>0.63</v>
      </c>
      <c r="E4398" s="1" t="s">
        <v>116</v>
      </c>
      <c r="F4398" s="1" t="s">
        <v>116</v>
      </c>
      <c r="G4398" s="1" t="s">
        <v>116</v>
      </c>
      <c r="H4398" s="1" t="str">
        <f>VLOOKUP(F4398,Countries!$A$1:$B$161,2,0)</f>
        <v>Spain</v>
      </c>
    </row>
    <row r="4399" spans="1:8" x14ac:dyDescent="0.3">
      <c r="A4399" s="3">
        <v>46246.092939814807</v>
      </c>
      <c r="B4399" s="1">
        <v>12.64</v>
      </c>
      <c r="C4399" s="1">
        <v>10.95</v>
      </c>
      <c r="D4399" s="1">
        <v>0.63</v>
      </c>
      <c r="E4399" s="1" t="s">
        <v>116</v>
      </c>
      <c r="F4399" s="1" t="s">
        <v>116</v>
      </c>
      <c r="G4399" s="1" t="s">
        <v>116</v>
      </c>
      <c r="H4399" s="1" t="str">
        <f>VLOOKUP(F4399,Countries!$A$1:$B$161,2,0)</f>
        <v>Spain</v>
      </c>
    </row>
    <row r="4400" spans="1:8" x14ac:dyDescent="0.3">
      <c r="A4400" s="3">
        <v>46246.087418981479</v>
      </c>
      <c r="B4400" s="1">
        <v>12.64</v>
      </c>
      <c r="C4400" s="1">
        <v>10.95</v>
      </c>
      <c r="D4400" s="1">
        <v>0.63</v>
      </c>
      <c r="E4400" s="1" t="s">
        <v>116</v>
      </c>
      <c r="F4400" s="1" t="s">
        <v>116</v>
      </c>
      <c r="G4400" s="1" t="s">
        <v>116</v>
      </c>
      <c r="H4400" s="1" t="str">
        <f>VLOOKUP(F4400,Countries!$A$1:$B$161,2,0)</f>
        <v>Spain</v>
      </c>
    </row>
    <row r="4401" spans="1:8" x14ac:dyDescent="0.3">
      <c r="A4401" s="3">
        <v>46246.079722222217</v>
      </c>
      <c r="B4401" s="1">
        <v>7.58</v>
      </c>
      <c r="C4401" s="1">
        <v>6.57</v>
      </c>
      <c r="D4401" s="1">
        <v>0.48</v>
      </c>
      <c r="E4401" s="1" t="s">
        <v>116</v>
      </c>
      <c r="F4401" s="1" t="s">
        <v>116</v>
      </c>
      <c r="G4401" s="1" t="s">
        <v>116</v>
      </c>
      <c r="H4401" s="1" t="str">
        <f>VLOOKUP(F4401,Countries!$A$1:$B$161,2,0)</f>
        <v>Spain</v>
      </c>
    </row>
    <row r="4402" spans="1:8" x14ac:dyDescent="0.3">
      <c r="A4402" s="3">
        <v>46246.074293981481</v>
      </c>
      <c r="B4402" s="1">
        <v>12.64</v>
      </c>
      <c r="C4402" s="1">
        <v>10.95</v>
      </c>
      <c r="D4402" s="1">
        <v>0.63</v>
      </c>
      <c r="E4402" s="1" t="s">
        <v>116</v>
      </c>
      <c r="F4402" s="1" t="s">
        <v>116</v>
      </c>
      <c r="G4402" s="1" t="s">
        <v>116</v>
      </c>
      <c r="H4402" s="1" t="str">
        <f>VLOOKUP(F4402,Countries!$A$1:$B$161,2,0)</f>
        <v>Spain</v>
      </c>
    </row>
    <row r="4403" spans="1:8" x14ac:dyDescent="0.3">
      <c r="A4403" s="3">
        <v>46246.071134259262</v>
      </c>
      <c r="B4403" s="1">
        <v>17.010000000000002</v>
      </c>
      <c r="C4403" s="1">
        <v>14.74</v>
      </c>
      <c r="D4403" s="1">
        <v>1.02</v>
      </c>
      <c r="E4403" s="1" t="s">
        <v>113</v>
      </c>
      <c r="F4403" s="1" t="s">
        <v>113</v>
      </c>
      <c r="G4403" s="1" t="s">
        <v>113</v>
      </c>
      <c r="H4403" s="1" t="str">
        <f>VLOOKUP(F4403,Countries!$A$1:$B$161,2,0)</f>
        <v>United States of America</v>
      </c>
    </row>
    <row r="4404" spans="1:8" x14ac:dyDescent="0.3">
      <c r="A4404" s="3">
        <v>46246.066238425927</v>
      </c>
      <c r="B4404" s="1">
        <v>6.37</v>
      </c>
      <c r="C4404" s="1">
        <v>5.52</v>
      </c>
      <c r="D4404" s="1">
        <v>0.54</v>
      </c>
      <c r="E4404" s="1" t="s">
        <v>113</v>
      </c>
      <c r="F4404" s="1" t="s">
        <v>113</v>
      </c>
      <c r="G4404" s="1" t="s">
        <v>113</v>
      </c>
      <c r="H4404" s="1" t="str">
        <f>VLOOKUP(F4404,Countries!$A$1:$B$161,2,0)</f>
        <v>United States of America</v>
      </c>
    </row>
    <row r="4405" spans="1:8" x14ac:dyDescent="0.3">
      <c r="A4405" s="3">
        <v>46246.060069444437</v>
      </c>
      <c r="B4405" s="1">
        <v>12.64</v>
      </c>
      <c r="C4405" s="1">
        <v>10.95</v>
      </c>
      <c r="D4405" s="1">
        <v>0.63</v>
      </c>
      <c r="E4405" s="1" t="s">
        <v>116</v>
      </c>
      <c r="F4405" s="1" t="s">
        <v>116</v>
      </c>
      <c r="G4405" s="1" t="s">
        <v>116</v>
      </c>
      <c r="H4405" s="1" t="str">
        <f>VLOOKUP(F4405,Countries!$A$1:$B$161,2,0)</f>
        <v>Spain</v>
      </c>
    </row>
    <row r="4406" spans="1:8" x14ac:dyDescent="0.3">
      <c r="A4406" s="3">
        <v>46246.055196759262</v>
      </c>
      <c r="B4406" s="1">
        <v>7.48</v>
      </c>
      <c r="C4406" s="1">
        <v>6.48</v>
      </c>
      <c r="D4406" s="1">
        <v>0.48</v>
      </c>
      <c r="E4406" s="1" t="s">
        <v>123</v>
      </c>
      <c r="F4406" s="1" t="s">
        <v>123</v>
      </c>
      <c r="G4406" s="1" t="s">
        <v>123</v>
      </c>
      <c r="H4406" s="1" t="str">
        <f>VLOOKUP(F4406,Countries!$A$1:$B$161,2,0)</f>
        <v>France</v>
      </c>
    </row>
    <row r="4407" spans="1:8" x14ac:dyDescent="0.3">
      <c r="A4407" s="3">
        <v>46246.054270833331</v>
      </c>
      <c r="B4407" s="1">
        <v>7.48</v>
      </c>
      <c r="C4407" s="1">
        <v>6.48</v>
      </c>
      <c r="D4407" s="1">
        <v>0.48</v>
      </c>
      <c r="E4407" s="1" t="s">
        <v>123</v>
      </c>
      <c r="F4407" s="1" t="s">
        <v>123</v>
      </c>
      <c r="G4407" s="1" t="s">
        <v>123</v>
      </c>
      <c r="H4407" s="1" t="str">
        <f>VLOOKUP(F4407,Countries!$A$1:$B$161,2,0)</f>
        <v>France</v>
      </c>
    </row>
    <row r="4408" spans="1:8" x14ac:dyDescent="0.3">
      <c r="A4408" s="3">
        <v>46246.049108796287</v>
      </c>
      <c r="B4408" s="1">
        <v>2.99</v>
      </c>
      <c r="C4408" s="1">
        <v>2.59</v>
      </c>
      <c r="D4408" s="1">
        <v>0.38</v>
      </c>
      <c r="E4408" s="1" t="s">
        <v>129</v>
      </c>
      <c r="F4408" s="1" t="s">
        <v>129</v>
      </c>
      <c r="G4408" s="1" t="s">
        <v>129</v>
      </c>
      <c r="H4408" s="1" t="str">
        <f>VLOOKUP(F4408,Countries!$A$1:$B$161,2,0)</f>
        <v>Qatar</v>
      </c>
    </row>
    <row r="4409" spans="1:8" x14ac:dyDescent="0.3">
      <c r="A4409" s="3">
        <v>46246.047719907408</v>
      </c>
      <c r="B4409" s="1">
        <v>12.64</v>
      </c>
      <c r="C4409" s="1">
        <v>10.95</v>
      </c>
      <c r="D4409" s="1">
        <v>0.63</v>
      </c>
      <c r="E4409" s="1" t="s">
        <v>116</v>
      </c>
      <c r="F4409" s="1" t="s">
        <v>116</v>
      </c>
      <c r="G4409" s="1" t="s">
        <v>116</v>
      </c>
      <c r="H4409" s="1" t="str">
        <f>VLOOKUP(F4409,Countries!$A$1:$B$161,2,0)</f>
        <v>Spain</v>
      </c>
    </row>
    <row r="4410" spans="1:8" x14ac:dyDescent="0.3">
      <c r="A4410" s="3">
        <v>46246.042372685188</v>
      </c>
      <c r="B4410" s="1">
        <v>3.99</v>
      </c>
      <c r="C4410" s="1">
        <v>3.46</v>
      </c>
      <c r="D4410" s="1">
        <v>0.43</v>
      </c>
      <c r="E4410" s="1" t="s">
        <v>165</v>
      </c>
      <c r="F4410" s="1" t="s">
        <v>165</v>
      </c>
      <c r="G4410" s="1" t="s">
        <v>165</v>
      </c>
      <c r="H4410" s="1" t="str">
        <f>VLOOKUP(F4410,Countries!$A$1:$B$161,2,0)</f>
        <v>Israel</v>
      </c>
    </row>
    <row r="4411" spans="1:8" x14ac:dyDescent="0.3">
      <c r="A4411" s="3">
        <v>46246.04184027778</v>
      </c>
      <c r="B4411" s="1">
        <v>2.99</v>
      </c>
      <c r="C4411" s="1">
        <v>2.59</v>
      </c>
      <c r="D4411" s="1">
        <v>0.38</v>
      </c>
      <c r="E4411" s="1" t="s">
        <v>167</v>
      </c>
      <c r="F4411" s="1" t="s">
        <v>136</v>
      </c>
      <c r="G4411" s="1" t="s">
        <v>136</v>
      </c>
      <c r="H4411" s="1" t="str">
        <f>VLOOKUP(F4411,Countries!$A$1:$B$161,2,0)</f>
        <v>Turkey</v>
      </c>
    </row>
    <row r="4412" spans="1:8" x14ac:dyDescent="0.3">
      <c r="A4412" s="3">
        <v>46246.039398148147</v>
      </c>
      <c r="B4412" s="1">
        <v>6.37</v>
      </c>
      <c r="C4412" s="1">
        <v>5.52</v>
      </c>
      <c r="D4412" s="1">
        <v>0.54</v>
      </c>
      <c r="E4412" s="1" t="s">
        <v>113</v>
      </c>
      <c r="F4412" s="1" t="s">
        <v>113</v>
      </c>
      <c r="G4412" s="1" t="s">
        <v>113</v>
      </c>
      <c r="H4412" s="1" t="str">
        <f>VLOOKUP(F4412,Countries!$A$1:$B$161,2,0)</f>
        <v>United States of America</v>
      </c>
    </row>
    <row r="4413" spans="1:8" x14ac:dyDescent="0.3">
      <c r="A4413" s="3">
        <v>46246.035416666673</v>
      </c>
      <c r="B4413" s="1">
        <v>12.64</v>
      </c>
      <c r="C4413" s="1">
        <v>10.95</v>
      </c>
      <c r="D4413" s="1">
        <v>0.63</v>
      </c>
      <c r="E4413" s="1" t="s">
        <v>116</v>
      </c>
      <c r="F4413" s="1" t="s">
        <v>116</v>
      </c>
      <c r="G4413" s="1" t="s">
        <v>116</v>
      </c>
      <c r="H4413" s="1" t="str">
        <f>VLOOKUP(F4413,Countries!$A$1:$B$161,2,0)</f>
        <v>Spain</v>
      </c>
    </row>
    <row r="4414" spans="1:8" x14ac:dyDescent="0.3">
      <c r="A4414" s="3">
        <v>46246.034490740742</v>
      </c>
      <c r="B4414" s="1">
        <v>6.65</v>
      </c>
      <c r="C4414" s="1">
        <v>5.76</v>
      </c>
      <c r="D4414" s="1">
        <v>0.56000000000000005</v>
      </c>
      <c r="E4414" s="1" t="s">
        <v>121</v>
      </c>
      <c r="F4414" s="1" t="s">
        <v>121</v>
      </c>
      <c r="G4414" s="1" t="s">
        <v>121</v>
      </c>
      <c r="H4414" s="1" t="str">
        <f>VLOOKUP(F4414,Countries!$A$1:$B$161,2,0)</f>
        <v>Japan</v>
      </c>
    </row>
    <row r="4415" spans="1:8" x14ac:dyDescent="0.3">
      <c r="A4415" s="3">
        <v>46246.034456018519</v>
      </c>
      <c r="B4415" s="1">
        <v>6.37</v>
      </c>
      <c r="C4415" s="1">
        <v>5.52</v>
      </c>
      <c r="D4415" s="1">
        <v>0.54</v>
      </c>
      <c r="E4415" s="1" t="s">
        <v>113</v>
      </c>
      <c r="F4415" s="1" t="s">
        <v>113</v>
      </c>
      <c r="G4415" s="1" t="s">
        <v>113</v>
      </c>
      <c r="H4415" s="1" t="str">
        <f>VLOOKUP(F4415,Countries!$A$1:$B$161,2,0)</f>
        <v>United States of America</v>
      </c>
    </row>
    <row r="4416" spans="1:8" x14ac:dyDescent="0.3">
      <c r="A4416" s="3">
        <v>46246.032175925917</v>
      </c>
      <c r="B4416" s="1">
        <v>10.62</v>
      </c>
      <c r="C4416" s="1">
        <v>9.1999999999999993</v>
      </c>
      <c r="D4416" s="1">
        <v>0.73</v>
      </c>
      <c r="E4416" s="1" t="s">
        <v>113</v>
      </c>
      <c r="F4416" s="1" t="s">
        <v>113</v>
      </c>
      <c r="G4416" s="1" t="s">
        <v>113</v>
      </c>
      <c r="H4416" s="1" t="str">
        <f>VLOOKUP(F4416,Countries!$A$1:$B$161,2,0)</f>
        <v>United States of America</v>
      </c>
    </row>
    <row r="4417" spans="1:8" x14ac:dyDescent="0.3">
      <c r="A4417" s="3">
        <v>46246.028796296298</v>
      </c>
      <c r="B4417" s="1">
        <v>5.99</v>
      </c>
      <c r="C4417" s="1">
        <v>5.19</v>
      </c>
      <c r="D4417" s="1">
        <v>0.52</v>
      </c>
      <c r="E4417" s="1" t="s">
        <v>129</v>
      </c>
      <c r="F4417" s="1" t="s">
        <v>129</v>
      </c>
      <c r="G4417" s="1" t="s">
        <v>129</v>
      </c>
      <c r="H4417" s="1" t="str">
        <f>VLOOKUP(F4417,Countries!$A$1:$B$161,2,0)</f>
        <v>Qatar</v>
      </c>
    </row>
    <row r="4418" spans="1:8" x14ac:dyDescent="0.3">
      <c r="A4418" s="3">
        <v>46246.02484953704</v>
      </c>
      <c r="B4418" s="1">
        <v>10.62</v>
      </c>
      <c r="C4418" s="1">
        <v>9.1999999999999993</v>
      </c>
      <c r="D4418" s="1">
        <v>0.73</v>
      </c>
      <c r="E4418" s="1" t="s">
        <v>113</v>
      </c>
      <c r="F4418" s="1" t="s">
        <v>113</v>
      </c>
      <c r="G4418" s="1" t="s">
        <v>113</v>
      </c>
      <c r="H4418" s="1" t="str">
        <f>VLOOKUP(F4418,Countries!$A$1:$B$161,2,0)</f>
        <v>United States of America</v>
      </c>
    </row>
    <row r="4419" spans="1:8" x14ac:dyDescent="0.3">
      <c r="A4419" s="3">
        <v>46246.0237037037</v>
      </c>
      <c r="B4419" s="1">
        <v>7.39</v>
      </c>
      <c r="C4419" s="1">
        <v>6.4</v>
      </c>
      <c r="D4419" s="1">
        <v>0.48</v>
      </c>
      <c r="E4419" s="1" t="s">
        <v>147</v>
      </c>
      <c r="F4419" s="1" t="s">
        <v>147</v>
      </c>
      <c r="G4419" s="1" t="s">
        <v>147</v>
      </c>
      <c r="H4419" s="1" t="str">
        <f>VLOOKUP(F4419,Countries!$A$1:$B$161,2,0)</f>
        <v>Germany</v>
      </c>
    </row>
    <row r="4420" spans="1:8" x14ac:dyDescent="0.3">
      <c r="A4420" s="3">
        <v>46246.022557870368</v>
      </c>
      <c r="B4420" s="1">
        <v>12.64</v>
      </c>
      <c r="C4420" s="1">
        <v>10.95</v>
      </c>
      <c r="D4420" s="1">
        <v>0.63</v>
      </c>
      <c r="E4420" s="1" t="s">
        <v>116</v>
      </c>
      <c r="F4420" s="1" t="s">
        <v>116</v>
      </c>
      <c r="G4420" s="1" t="s">
        <v>116</v>
      </c>
      <c r="H4420" s="1" t="str">
        <f>VLOOKUP(F4420,Countries!$A$1:$B$161,2,0)</f>
        <v>Spain</v>
      </c>
    </row>
    <row r="4421" spans="1:8" x14ac:dyDescent="0.3">
      <c r="A4421" s="3">
        <v>46246.019189814811</v>
      </c>
      <c r="B4421" s="1">
        <v>7.77</v>
      </c>
      <c r="C4421" s="1">
        <v>6.73</v>
      </c>
      <c r="D4421" s="1">
        <v>0.48</v>
      </c>
      <c r="E4421" s="1" t="s">
        <v>137</v>
      </c>
      <c r="F4421" s="1" t="s">
        <v>137</v>
      </c>
      <c r="G4421" s="1" t="s">
        <v>137</v>
      </c>
      <c r="H4421" s="1" t="str">
        <f>VLOOKUP(F4421,Countries!$A$1:$B$161,2,0)</f>
        <v>Poland</v>
      </c>
    </row>
    <row r="4422" spans="1:8" x14ac:dyDescent="0.3">
      <c r="A4422" s="3">
        <v>46246.019143518519</v>
      </c>
      <c r="B4422" s="1">
        <v>10.63</v>
      </c>
      <c r="C4422" s="1">
        <v>9.2100000000000009</v>
      </c>
      <c r="D4422" s="1">
        <v>0.73</v>
      </c>
      <c r="E4422" s="1" t="s">
        <v>113</v>
      </c>
      <c r="F4422" s="1" t="s">
        <v>113</v>
      </c>
      <c r="G4422" s="1" t="s">
        <v>113</v>
      </c>
      <c r="H4422" s="1" t="str">
        <f>VLOOKUP(F4422,Countries!$A$1:$B$161,2,0)</f>
        <v>United States of America</v>
      </c>
    </row>
    <row r="4423" spans="1:8" x14ac:dyDescent="0.3">
      <c r="A4423" s="3">
        <v>46246.015335648153</v>
      </c>
      <c r="B4423" s="1">
        <v>12.33</v>
      </c>
      <c r="C4423" s="1">
        <v>10.68</v>
      </c>
      <c r="D4423" s="1">
        <v>0.62</v>
      </c>
      <c r="E4423" s="1" t="s">
        <v>158</v>
      </c>
      <c r="F4423" s="1" t="s">
        <v>159</v>
      </c>
      <c r="G4423" s="1" t="s">
        <v>159</v>
      </c>
      <c r="H4423" s="1" t="str">
        <f>VLOOKUP(F4423,Countries!$A$1:$B$161,2,0)</f>
        <v>Romania</v>
      </c>
    </row>
    <row r="4424" spans="1:8" x14ac:dyDescent="0.3">
      <c r="A4424" s="3">
        <v>46246.013622685183</v>
      </c>
      <c r="B4424" s="1">
        <v>12.64</v>
      </c>
      <c r="C4424" s="1">
        <v>10.95</v>
      </c>
      <c r="D4424" s="1">
        <v>0.63</v>
      </c>
      <c r="E4424" s="1" t="s">
        <v>116</v>
      </c>
      <c r="F4424" s="1" t="s">
        <v>116</v>
      </c>
      <c r="G4424" s="1" t="s">
        <v>116</v>
      </c>
      <c r="H4424" s="1" t="str">
        <f>VLOOKUP(F4424,Countries!$A$1:$B$161,2,0)</f>
        <v>Spain</v>
      </c>
    </row>
    <row r="4425" spans="1:8" x14ac:dyDescent="0.3">
      <c r="A4425" s="3">
        <v>46246.013356481482</v>
      </c>
      <c r="B4425" s="1">
        <v>3.51</v>
      </c>
      <c r="C4425" s="1">
        <v>3.04</v>
      </c>
      <c r="D4425" s="1">
        <v>0.41</v>
      </c>
      <c r="E4425" s="1" t="s">
        <v>160</v>
      </c>
      <c r="F4425" s="1" t="s">
        <v>160</v>
      </c>
      <c r="G4425" s="1" t="s">
        <v>160</v>
      </c>
      <c r="H4425" s="1" t="str">
        <f>VLOOKUP(F4425,Countries!$A$1:$B$161,2,0)</f>
        <v>New Zealand</v>
      </c>
    </row>
    <row r="4426" spans="1:8" x14ac:dyDescent="0.3">
      <c r="A4426" s="3">
        <v>46246.008437500001</v>
      </c>
      <c r="B4426" s="1">
        <v>7.48</v>
      </c>
      <c r="C4426" s="1">
        <v>6.48</v>
      </c>
      <c r="D4426" s="1">
        <v>0.54</v>
      </c>
      <c r="E4426" s="1" t="s">
        <v>119</v>
      </c>
      <c r="F4426" s="1" t="s">
        <v>119</v>
      </c>
      <c r="G4426" s="1" t="s">
        <v>119</v>
      </c>
      <c r="H4426" s="1" t="str">
        <f>VLOOKUP(F4426,Countries!$A$1:$B$161,2,0)</f>
        <v>Great Britain (United Kingdom)</v>
      </c>
    </row>
    <row r="4427" spans="1:8" x14ac:dyDescent="0.3">
      <c r="A4427" s="3">
        <v>46246.004351851851</v>
      </c>
      <c r="B4427" s="1">
        <v>12.64</v>
      </c>
      <c r="C4427" s="1">
        <v>10.95</v>
      </c>
      <c r="D4427" s="1">
        <v>0.63</v>
      </c>
      <c r="E4427" s="1" t="s">
        <v>116</v>
      </c>
      <c r="F4427" s="1" t="s">
        <v>116</v>
      </c>
      <c r="G4427" s="1" t="s">
        <v>116</v>
      </c>
      <c r="H4427" s="1" t="str">
        <f>VLOOKUP(F4427,Countries!$A$1:$B$161,2,0)</f>
        <v>Spain</v>
      </c>
    </row>
    <row r="4428" spans="1:8" x14ac:dyDescent="0.3">
      <c r="A4428" s="3">
        <v>46246.00340277778</v>
      </c>
      <c r="B4428" s="1">
        <v>6.37</v>
      </c>
      <c r="C4428" s="1">
        <v>5.52</v>
      </c>
      <c r="D4428" s="1">
        <v>0.54</v>
      </c>
      <c r="E4428" s="1" t="s">
        <v>113</v>
      </c>
      <c r="F4428" s="1" t="s">
        <v>113</v>
      </c>
      <c r="G4428" s="1" t="s">
        <v>113</v>
      </c>
      <c r="H4428" s="1" t="str">
        <f>VLOOKUP(F4428,Countries!$A$1:$B$161,2,0)</f>
        <v>United States of America</v>
      </c>
    </row>
    <row r="4429" spans="1:8" x14ac:dyDescent="0.3">
      <c r="A4429" s="3">
        <v>46245.990717592591</v>
      </c>
      <c r="B4429" s="1">
        <v>12.64</v>
      </c>
      <c r="C4429" s="1">
        <v>10.95</v>
      </c>
      <c r="D4429" s="1">
        <v>0.63</v>
      </c>
      <c r="E4429" s="1" t="s">
        <v>116</v>
      </c>
      <c r="F4429" s="1" t="s">
        <v>116</v>
      </c>
      <c r="G4429" s="1" t="s">
        <v>116</v>
      </c>
      <c r="H4429" s="1" t="str">
        <f>VLOOKUP(F4429,Countries!$A$1:$B$161,2,0)</f>
        <v>Spain</v>
      </c>
    </row>
    <row r="4430" spans="1:8" x14ac:dyDescent="0.3">
      <c r="A4430" s="3">
        <v>46245.986006944448</v>
      </c>
      <c r="B4430" s="1">
        <v>6.37</v>
      </c>
      <c r="C4430" s="1">
        <v>5.52</v>
      </c>
      <c r="D4430" s="1">
        <v>0.54</v>
      </c>
      <c r="E4430" s="1" t="s">
        <v>113</v>
      </c>
      <c r="F4430" s="1" t="s">
        <v>113</v>
      </c>
      <c r="G4430" s="1" t="s">
        <v>113</v>
      </c>
      <c r="H4430" s="1" t="str">
        <f>VLOOKUP(F4430,Countries!$A$1:$B$161,2,0)</f>
        <v>United States of America</v>
      </c>
    </row>
    <row r="4431" spans="1:8" x14ac:dyDescent="0.3">
      <c r="A4431" s="3">
        <v>46245.985219907408</v>
      </c>
      <c r="B4431" s="1">
        <v>6.3</v>
      </c>
      <c r="C4431" s="1">
        <v>5.46</v>
      </c>
      <c r="D4431" s="1">
        <v>0.54</v>
      </c>
      <c r="E4431" s="1" t="s">
        <v>132</v>
      </c>
      <c r="F4431" s="1" t="s">
        <v>132</v>
      </c>
      <c r="G4431" s="1" t="s">
        <v>132</v>
      </c>
      <c r="H4431" s="1" t="str">
        <f>VLOOKUP(F4431,Countries!$A$1:$B$161,2,0)</f>
        <v>Canada</v>
      </c>
    </row>
    <row r="4432" spans="1:8" x14ac:dyDescent="0.3">
      <c r="A4432" s="3">
        <v>46245.975960648153</v>
      </c>
      <c r="B4432" s="1">
        <v>7.04</v>
      </c>
      <c r="C4432" s="1">
        <v>6.1</v>
      </c>
      <c r="D4432" s="1">
        <v>0.56999999999999995</v>
      </c>
      <c r="E4432" s="1" t="s">
        <v>160</v>
      </c>
      <c r="F4432" s="1" t="s">
        <v>160</v>
      </c>
      <c r="G4432" s="1" t="s">
        <v>160</v>
      </c>
      <c r="H4432" s="1" t="str">
        <f>VLOOKUP(F4432,Countries!$A$1:$B$161,2,0)</f>
        <v>New Zealand</v>
      </c>
    </row>
    <row r="4433" spans="1:8" x14ac:dyDescent="0.3">
      <c r="A4433" s="3">
        <v>46245.972303240742</v>
      </c>
      <c r="B4433" s="1">
        <v>6.37</v>
      </c>
      <c r="C4433" s="1">
        <v>5.52</v>
      </c>
      <c r="D4433" s="1">
        <v>0.54</v>
      </c>
      <c r="E4433" s="1" t="s">
        <v>113</v>
      </c>
      <c r="F4433" s="1" t="s">
        <v>113</v>
      </c>
      <c r="G4433" s="1" t="s">
        <v>113</v>
      </c>
      <c r="H4433" s="1" t="str">
        <f>VLOOKUP(F4433,Countries!$A$1:$B$161,2,0)</f>
        <v>United States of America</v>
      </c>
    </row>
    <row r="4434" spans="1:8" x14ac:dyDescent="0.3">
      <c r="A4434" s="3">
        <v>46245.965567129628</v>
      </c>
      <c r="B4434" s="1">
        <v>6.37</v>
      </c>
      <c r="C4434" s="1">
        <v>5.52</v>
      </c>
      <c r="D4434" s="1">
        <v>0.54</v>
      </c>
      <c r="E4434" s="1" t="s">
        <v>113</v>
      </c>
      <c r="F4434" s="1" t="s">
        <v>113</v>
      </c>
      <c r="G4434" s="1" t="s">
        <v>113</v>
      </c>
      <c r="H4434" s="1" t="str">
        <f>VLOOKUP(F4434,Countries!$A$1:$B$161,2,0)</f>
        <v>United States of America</v>
      </c>
    </row>
    <row r="4435" spans="1:8" x14ac:dyDescent="0.3">
      <c r="A4435" s="3">
        <v>46245.953009259261</v>
      </c>
      <c r="B4435" s="1">
        <v>17.010000000000002</v>
      </c>
      <c r="C4435" s="1">
        <v>14.74</v>
      </c>
      <c r="D4435" s="1">
        <v>1.02</v>
      </c>
      <c r="E4435" s="1" t="s">
        <v>113</v>
      </c>
      <c r="F4435" s="1" t="s">
        <v>113</v>
      </c>
      <c r="G4435" s="1" t="s">
        <v>113</v>
      </c>
      <c r="H4435" s="1" t="str">
        <f>VLOOKUP(F4435,Countries!$A$1:$B$161,2,0)</f>
        <v>United States of America</v>
      </c>
    </row>
    <row r="4436" spans="1:8" x14ac:dyDescent="0.3">
      <c r="A4436" s="3">
        <v>46245.948611111111</v>
      </c>
      <c r="B4436" s="1">
        <v>12.48</v>
      </c>
      <c r="C4436" s="1">
        <v>10.81</v>
      </c>
      <c r="D4436" s="1">
        <v>0.74</v>
      </c>
      <c r="E4436" s="1" t="s">
        <v>119</v>
      </c>
      <c r="F4436" s="1" t="s">
        <v>119</v>
      </c>
      <c r="G4436" s="1" t="s">
        <v>119</v>
      </c>
      <c r="H4436" s="1" t="str">
        <f>VLOOKUP(F4436,Countries!$A$1:$B$161,2,0)</f>
        <v>Great Britain (United Kingdom)</v>
      </c>
    </row>
    <row r="4437" spans="1:8" x14ac:dyDescent="0.3">
      <c r="A4437" s="3">
        <v>46245.946423611109</v>
      </c>
      <c r="B4437" s="1">
        <v>7.48</v>
      </c>
      <c r="C4437" s="1">
        <v>6.48</v>
      </c>
      <c r="D4437" s="1">
        <v>0.54</v>
      </c>
      <c r="E4437" s="1" t="s">
        <v>119</v>
      </c>
      <c r="F4437" s="1" t="s">
        <v>119</v>
      </c>
      <c r="G4437" s="1" t="s">
        <v>119</v>
      </c>
      <c r="H4437" s="1" t="str">
        <f>VLOOKUP(F4437,Countries!$A$1:$B$161,2,0)</f>
        <v>Great Britain (United Kingdom)</v>
      </c>
    </row>
    <row r="4438" spans="1:8" x14ac:dyDescent="0.3">
      <c r="A4438" s="3">
        <v>46245.942673611113</v>
      </c>
      <c r="B4438" s="1">
        <v>6.37</v>
      </c>
      <c r="C4438" s="1">
        <v>5.52</v>
      </c>
      <c r="D4438" s="1">
        <v>0.54</v>
      </c>
      <c r="E4438" s="1" t="s">
        <v>113</v>
      </c>
      <c r="F4438" s="1" t="s">
        <v>113</v>
      </c>
      <c r="G4438" s="1" t="s">
        <v>113</v>
      </c>
      <c r="H4438" s="1" t="str">
        <f>VLOOKUP(F4438,Countries!$A$1:$B$161,2,0)</f>
        <v>United States of America</v>
      </c>
    </row>
    <row r="4439" spans="1:8" x14ac:dyDescent="0.3">
      <c r="A4439" s="3">
        <v>46245.940601851849</v>
      </c>
      <c r="B4439" s="1">
        <v>6.37</v>
      </c>
      <c r="C4439" s="1">
        <v>5.52</v>
      </c>
      <c r="D4439" s="1">
        <v>0.54</v>
      </c>
      <c r="E4439" s="1" t="s">
        <v>113</v>
      </c>
      <c r="F4439" s="1" t="s">
        <v>113</v>
      </c>
      <c r="G4439" s="1" t="s">
        <v>113</v>
      </c>
      <c r="H4439" s="1" t="str">
        <f>VLOOKUP(F4439,Countries!$A$1:$B$161,2,0)</f>
        <v>United States of America</v>
      </c>
    </row>
    <row r="4440" spans="1:8" x14ac:dyDescent="0.3">
      <c r="A4440" s="3">
        <v>46245.939745370371</v>
      </c>
      <c r="B4440" s="1">
        <v>20.239999999999998</v>
      </c>
      <c r="C4440" s="1">
        <v>17.54</v>
      </c>
      <c r="D4440" s="1">
        <v>0.86</v>
      </c>
      <c r="E4440" s="1" t="s">
        <v>116</v>
      </c>
      <c r="F4440" s="1" t="s">
        <v>116</v>
      </c>
      <c r="G4440" s="1" t="s">
        <v>116</v>
      </c>
      <c r="H4440" s="1" t="str">
        <f>VLOOKUP(F4440,Countries!$A$1:$B$161,2,0)</f>
        <v>Spain</v>
      </c>
    </row>
    <row r="4441" spans="1:8" x14ac:dyDescent="0.3">
      <c r="A4441" s="3">
        <v>46245.929664351846</v>
      </c>
      <c r="B4441" s="1">
        <v>2.65</v>
      </c>
      <c r="C4441" s="1">
        <v>2.2999999999999998</v>
      </c>
      <c r="D4441" s="1">
        <v>0.33</v>
      </c>
      <c r="E4441" s="1" t="s">
        <v>133</v>
      </c>
      <c r="F4441" s="1" t="s">
        <v>133</v>
      </c>
      <c r="G4441" s="1" t="s">
        <v>133</v>
      </c>
      <c r="H4441" s="1" t="str">
        <f>VLOOKUP(F4441,Countries!$A$1:$B$161,2,0)</f>
        <v>Denmark</v>
      </c>
    </row>
    <row r="4442" spans="1:8" x14ac:dyDescent="0.3">
      <c r="A4442" s="3">
        <v>46245.929155092592</v>
      </c>
      <c r="B4442" s="1">
        <v>34.75</v>
      </c>
      <c r="C4442" s="1">
        <v>30.11</v>
      </c>
      <c r="D4442" s="1">
        <v>1.6</v>
      </c>
      <c r="E4442" s="1" t="s">
        <v>119</v>
      </c>
      <c r="F4442" s="1" t="s">
        <v>119</v>
      </c>
      <c r="G4442" s="1" t="s">
        <v>119</v>
      </c>
      <c r="H4442" s="1" t="str">
        <f>VLOOKUP(F4442,Countries!$A$1:$B$161,2,0)</f>
        <v>Great Britain (United Kingdom)</v>
      </c>
    </row>
    <row r="4443" spans="1:8" x14ac:dyDescent="0.3">
      <c r="A4443" s="3">
        <v>46245.927569444437</v>
      </c>
      <c r="B4443" s="1">
        <v>17.36</v>
      </c>
      <c r="C4443" s="1">
        <v>15.04</v>
      </c>
      <c r="D4443" s="1">
        <v>0.93</v>
      </c>
      <c r="E4443" s="1" t="s">
        <v>119</v>
      </c>
      <c r="F4443" s="1" t="s">
        <v>119</v>
      </c>
      <c r="G4443" s="1" t="s">
        <v>119</v>
      </c>
      <c r="H4443" s="1" t="str">
        <f>VLOOKUP(F4443,Countries!$A$1:$B$161,2,0)</f>
        <v>Great Britain (United Kingdom)</v>
      </c>
    </row>
    <row r="4444" spans="1:8" x14ac:dyDescent="0.3">
      <c r="A4444" s="3">
        <v>46245.927037037043</v>
      </c>
      <c r="B4444" s="1">
        <v>6.37</v>
      </c>
      <c r="C4444" s="1">
        <v>5.52</v>
      </c>
      <c r="D4444" s="1">
        <v>0.54</v>
      </c>
      <c r="E4444" s="1" t="s">
        <v>113</v>
      </c>
      <c r="F4444" s="1" t="s">
        <v>113</v>
      </c>
      <c r="G4444" s="1" t="s">
        <v>113</v>
      </c>
      <c r="H4444" s="1" t="str">
        <f>VLOOKUP(F4444,Countries!$A$1:$B$161,2,0)</f>
        <v>United States of America</v>
      </c>
    </row>
    <row r="4445" spans="1:8" x14ac:dyDescent="0.3">
      <c r="A4445" s="3">
        <v>46245.924039351848</v>
      </c>
      <c r="B4445" s="1">
        <v>14.77</v>
      </c>
      <c r="C4445" s="1">
        <v>12.8</v>
      </c>
      <c r="D4445" s="1">
        <v>0.93</v>
      </c>
      <c r="E4445" s="1" t="s">
        <v>113</v>
      </c>
      <c r="F4445" s="1" t="s">
        <v>113</v>
      </c>
      <c r="G4445" s="1" t="s">
        <v>113</v>
      </c>
      <c r="H4445" s="1" t="str">
        <f>VLOOKUP(F4445,Countries!$A$1:$B$161,2,0)</f>
        <v>United States of America</v>
      </c>
    </row>
    <row r="4446" spans="1:8" x14ac:dyDescent="0.3">
      <c r="A4446" s="3">
        <v>46245.918020833327</v>
      </c>
      <c r="B4446" s="1">
        <v>7.98</v>
      </c>
      <c r="C4446" s="1">
        <v>6.91</v>
      </c>
      <c r="D4446" s="1">
        <v>0.49</v>
      </c>
      <c r="E4446" s="1" t="s">
        <v>178</v>
      </c>
      <c r="F4446" s="1" t="s">
        <v>178</v>
      </c>
      <c r="G4446" s="1" t="s">
        <v>178</v>
      </c>
      <c r="H4446" s="1" t="str">
        <f>VLOOKUP(F4446,Countries!$A$1:$B$161,2,0)</f>
        <v>Sweden</v>
      </c>
    </row>
    <row r="4447" spans="1:8" x14ac:dyDescent="0.3">
      <c r="A4447" s="3">
        <v>46245.916666666657</v>
      </c>
      <c r="B4447" s="1">
        <v>6.37</v>
      </c>
      <c r="C4447" s="1">
        <v>5.52</v>
      </c>
      <c r="D4447" s="1">
        <v>0.54</v>
      </c>
      <c r="E4447" s="1" t="s">
        <v>113</v>
      </c>
      <c r="F4447" s="1" t="s">
        <v>113</v>
      </c>
      <c r="G4447" s="1" t="s">
        <v>113</v>
      </c>
      <c r="H4447" s="1" t="str">
        <f>VLOOKUP(F4447,Countries!$A$1:$B$161,2,0)</f>
        <v>United States of America</v>
      </c>
    </row>
    <row r="4448" spans="1:8" x14ac:dyDescent="0.3">
      <c r="A4448" s="3">
        <v>46245.914097222223</v>
      </c>
      <c r="B4448" s="1">
        <v>7.04</v>
      </c>
      <c r="C4448" s="1">
        <v>6.1</v>
      </c>
      <c r="D4448" s="1">
        <v>0.56999999999999995</v>
      </c>
      <c r="E4448" s="1" t="s">
        <v>163</v>
      </c>
      <c r="F4448" s="1" t="s">
        <v>163</v>
      </c>
      <c r="G4448" s="1" t="s">
        <v>163</v>
      </c>
      <c r="H4448" s="1" t="str">
        <f>VLOOKUP(F4448,Countries!$A$1:$B$161,2,0)</f>
        <v>Saudi Arabia</v>
      </c>
    </row>
    <row r="4449" spans="1:8" x14ac:dyDescent="0.3">
      <c r="A4449" s="3">
        <v>46245.907534722217</v>
      </c>
      <c r="B4449" s="1">
        <v>12.97</v>
      </c>
      <c r="C4449" s="1">
        <v>11.24</v>
      </c>
      <c r="D4449" s="1">
        <v>0.64</v>
      </c>
      <c r="E4449" s="1" t="s">
        <v>137</v>
      </c>
      <c r="F4449" s="1" t="s">
        <v>137</v>
      </c>
      <c r="G4449" s="1" t="s">
        <v>137</v>
      </c>
      <c r="H4449" s="1" t="str">
        <f>VLOOKUP(F4449,Countries!$A$1:$B$161,2,0)</f>
        <v>Poland</v>
      </c>
    </row>
    <row r="4450" spans="1:8" x14ac:dyDescent="0.3">
      <c r="A4450" s="3">
        <v>46245.9062037037</v>
      </c>
      <c r="B4450" s="1">
        <v>9.99</v>
      </c>
      <c r="C4450" s="1">
        <v>8.65</v>
      </c>
      <c r="D4450" s="1">
        <v>0.7</v>
      </c>
      <c r="E4450" s="1" t="s">
        <v>214</v>
      </c>
      <c r="F4450" s="1" t="s">
        <v>214</v>
      </c>
      <c r="G4450" s="1" t="s">
        <v>214</v>
      </c>
      <c r="H4450" s="1" t="str">
        <f>VLOOKUP(F4450,Countries!$A$1:$B$161,2,0)</f>
        <v>Peru</v>
      </c>
    </row>
    <row r="4451" spans="1:8" x14ac:dyDescent="0.3">
      <c r="A4451" s="3">
        <v>46245.905995370369</v>
      </c>
      <c r="B4451" s="1">
        <v>20.76</v>
      </c>
      <c r="C4451" s="1">
        <v>17.989999999999998</v>
      </c>
      <c r="D4451" s="1">
        <v>0.88</v>
      </c>
      <c r="E4451" s="1" t="s">
        <v>137</v>
      </c>
      <c r="F4451" s="1" t="s">
        <v>137</v>
      </c>
      <c r="G4451" s="1" t="s">
        <v>137</v>
      </c>
      <c r="H4451" s="1" t="str">
        <f>VLOOKUP(F4451,Countries!$A$1:$B$161,2,0)</f>
        <v>Poland</v>
      </c>
    </row>
    <row r="4452" spans="1:8" x14ac:dyDescent="0.3">
      <c r="A4452" s="3">
        <v>46245.904907407406</v>
      </c>
      <c r="B4452" s="1">
        <v>2.11</v>
      </c>
      <c r="C4452" s="1">
        <v>1.83</v>
      </c>
      <c r="D4452" s="1">
        <v>0.35</v>
      </c>
      <c r="E4452" s="1" t="s">
        <v>113</v>
      </c>
      <c r="F4452" s="1" t="s">
        <v>113</v>
      </c>
      <c r="G4452" s="1" t="s">
        <v>113</v>
      </c>
      <c r="H4452" s="1" t="str">
        <f>VLOOKUP(F4452,Countries!$A$1:$B$161,2,0)</f>
        <v>United States of America</v>
      </c>
    </row>
    <row r="4453" spans="1:8" x14ac:dyDescent="0.3">
      <c r="A4453" s="3">
        <v>46245.904189814813</v>
      </c>
      <c r="B4453" s="1">
        <v>94.38</v>
      </c>
      <c r="C4453" s="1">
        <v>81.77</v>
      </c>
      <c r="D4453" s="1">
        <v>3.12</v>
      </c>
      <c r="E4453" s="1" t="s">
        <v>147</v>
      </c>
      <c r="F4453" s="1" t="s">
        <v>147</v>
      </c>
      <c r="G4453" s="1" t="s">
        <v>147</v>
      </c>
      <c r="H4453" s="1" t="str">
        <f>VLOOKUP(F4453,Countries!$A$1:$B$161,2,0)</f>
        <v>Germany</v>
      </c>
    </row>
    <row r="4454" spans="1:8" x14ac:dyDescent="0.3">
      <c r="A4454" s="3">
        <v>46245.902303240742</v>
      </c>
      <c r="B4454" s="1">
        <v>9.99</v>
      </c>
      <c r="C4454" s="1">
        <v>8.65</v>
      </c>
      <c r="D4454" s="1">
        <v>0.7</v>
      </c>
      <c r="E4454" s="1" t="s">
        <v>214</v>
      </c>
      <c r="F4454" s="1" t="s">
        <v>214</v>
      </c>
      <c r="G4454" s="1" t="s">
        <v>214</v>
      </c>
      <c r="H4454" s="1" t="str">
        <f>VLOOKUP(F4454,Countries!$A$1:$B$161,2,0)</f>
        <v>Peru</v>
      </c>
    </row>
    <row r="4455" spans="1:8" x14ac:dyDescent="0.3">
      <c r="A4455" s="3">
        <v>46245.898217592592</v>
      </c>
      <c r="B4455" s="1">
        <v>9.99</v>
      </c>
      <c r="C4455" s="1">
        <v>8.65</v>
      </c>
      <c r="D4455" s="1">
        <v>0.7</v>
      </c>
      <c r="E4455" s="1" t="s">
        <v>214</v>
      </c>
      <c r="F4455" s="1" t="s">
        <v>214</v>
      </c>
      <c r="G4455" s="1" t="s">
        <v>214</v>
      </c>
      <c r="H4455" s="1" t="str">
        <f>VLOOKUP(F4455,Countries!$A$1:$B$161,2,0)</f>
        <v>Peru</v>
      </c>
    </row>
    <row r="4456" spans="1:8" x14ac:dyDescent="0.3">
      <c r="A4456" s="3">
        <v>46245.897604166668</v>
      </c>
      <c r="B4456" s="1">
        <v>25.74</v>
      </c>
      <c r="C4456" s="1">
        <v>22.3</v>
      </c>
      <c r="D4456" s="1">
        <v>1.03</v>
      </c>
      <c r="E4456" s="1" t="s">
        <v>147</v>
      </c>
      <c r="F4456" s="1" t="s">
        <v>147</v>
      </c>
      <c r="G4456" s="1" t="s">
        <v>147</v>
      </c>
      <c r="H4456" s="1" t="str">
        <f>VLOOKUP(F4456,Countries!$A$1:$B$161,2,0)</f>
        <v>Germany</v>
      </c>
    </row>
    <row r="4457" spans="1:8" x14ac:dyDescent="0.3">
      <c r="A4457" s="3">
        <v>46245.890289351853</v>
      </c>
      <c r="B4457" s="1">
        <v>17.14</v>
      </c>
      <c r="C4457" s="1">
        <v>14.85</v>
      </c>
      <c r="D4457" s="1">
        <v>0.77</v>
      </c>
      <c r="E4457" s="1" t="s">
        <v>147</v>
      </c>
      <c r="F4457" s="1" t="s">
        <v>147</v>
      </c>
      <c r="G4457" s="1" t="s">
        <v>147</v>
      </c>
      <c r="H4457" s="1" t="str">
        <f>VLOOKUP(F4457,Countries!$A$1:$B$161,2,0)</f>
        <v>Germany</v>
      </c>
    </row>
    <row r="4458" spans="1:8" x14ac:dyDescent="0.3">
      <c r="A4458" s="3">
        <v>46245.889236111107</v>
      </c>
      <c r="B4458" s="1">
        <v>25.74</v>
      </c>
      <c r="C4458" s="1">
        <v>22.3</v>
      </c>
      <c r="D4458" s="1">
        <v>1.03</v>
      </c>
      <c r="E4458" s="1" t="s">
        <v>147</v>
      </c>
      <c r="F4458" s="1" t="s">
        <v>147</v>
      </c>
      <c r="G4458" s="1" t="s">
        <v>147</v>
      </c>
      <c r="H4458" s="1" t="str">
        <f>VLOOKUP(F4458,Countries!$A$1:$B$161,2,0)</f>
        <v>Germany</v>
      </c>
    </row>
    <row r="4459" spans="1:8" x14ac:dyDescent="0.3">
      <c r="A4459" s="3">
        <v>46245.888009259259</v>
      </c>
      <c r="B4459" s="1">
        <v>6.37</v>
      </c>
      <c r="C4459" s="1">
        <v>5.52</v>
      </c>
      <c r="D4459" s="1">
        <v>0.54</v>
      </c>
      <c r="E4459" s="1" t="s">
        <v>113</v>
      </c>
      <c r="F4459" s="1" t="s">
        <v>113</v>
      </c>
      <c r="G4459" s="1" t="s">
        <v>113</v>
      </c>
      <c r="H4459" s="1" t="str">
        <f>VLOOKUP(F4459,Countries!$A$1:$B$161,2,0)</f>
        <v>United States of America</v>
      </c>
    </row>
    <row r="4460" spans="1:8" x14ac:dyDescent="0.3">
      <c r="A4460" s="3">
        <v>46245.887604166674</v>
      </c>
      <c r="B4460" s="1">
        <v>17.36</v>
      </c>
      <c r="C4460" s="1">
        <v>15.04</v>
      </c>
      <c r="D4460" s="1">
        <v>0.78</v>
      </c>
      <c r="E4460" s="1" t="s">
        <v>123</v>
      </c>
      <c r="F4460" s="1" t="s">
        <v>123</v>
      </c>
      <c r="G4460" s="1" t="s">
        <v>123</v>
      </c>
      <c r="H4460" s="1" t="str">
        <f>VLOOKUP(F4460,Countries!$A$1:$B$161,2,0)</f>
        <v>France</v>
      </c>
    </row>
    <row r="4461" spans="1:8" x14ac:dyDescent="0.3">
      <c r="A4461" s="3">
        <v>46245.88658564815</v>
      </c>
      <c r="B4461" s="1">
        <v>2.99</v>
      </c>
      <c r="C4461" s="1">
        <v>2.59</v>
      </c>
      <c r="D4461" s="1">
        <v>0.38</v>
      </c>
      <c r="E4461" s="1" t="s">
        <v>113</v>
      </c>
      <c r="F4461" s="1" t="s">
        <v>113</v>
      </c>
      <c r="G4461" s="1" t="s">
        <v>113</v>
      </c>
      <c r="H4461" s="1" t="str">
        <f>VLOOKUP(F4461,Countries!$A$1:$B$161,2,0)</f>
        <v>United States of America</v>
      </c>
    </row>
    <row r="4462" spans="1:8" x14ac:dyDescent="0.3">
      <c r="A4462" s="3">
        <v>46245.8830787037</v>
      </c>
      <c r="B4462" s="1">
        <v>6.65</v>
      </c>
      <c r="C4462" s="1">
        <v>5.76</v>
      </c>
      <c r="D4462" s="1">
        <v>0.56000000000000005</v>
      </c>
      <c r="E4462" s="1" t="s">
        <v>121</v>
      </c>
      <c r="F4462" s="1" t="s">
        <v>121</v>
      </c>
      <c r="G4462" s="1" t="s">
        <v>121</v>
      </c>
      <c r="H4462" s="1" t="str">
        <f>VLOOKUP(F4462,Countries!$A$1:$B$161,2,0)</f>
        <v>Japan</v>
      </c>
    </row>
    <row r="4463" spans="1:8" x14ac:dyDescent="0.3">
      <c r="A4463" s="3">
        <v>46245.876296296286</v>
      </c>
      <c r="B4463" s="1">
        <v>20.85</v>
      </c>
      <c r="C4463" s="1">
        <v>18.059999999999999</v>
      </c>
      <c r="D4463" s="1">
        <v>1.2</v>
      </c>
      <c r="E4463" s="1" t="s">
        <v>134</v>
      </c>
      <c r="F4463" s="1" t="s">
        <v>134</v>
      </c>
      <c r="G4463" s="1" t="s">
        <v>134</v>
      </c>
      <c r="H4463" s="1" t="str">
        <f>VLOOKUP(F4463,Countries!$A$1:$B$161,2,0)</f>
        <v>Hong Kong</v>
      </c>
    </row>
    <row r="4464" spans="1:8" x14ac:dyDescent="0.3">
      <c r="A4464" s="3">
        <v>46245.866898148153</v>
      </c>
      <c r="B4464" s="1">
        <v>5.99</v>
      </c>
      <c r="C4464" s="1">
        <v>5.19</v>
      </c>
      <c r="D4464" s="1">
        <v>0.52</v>
      </c>
      <c r="E4464" s="1" t="s">
        <v>134</v>
      </c>
      <c r="F4464" s="1" t="s">
        <v>134</v>
      </c>
      <c r="G4464" s="1" t="s">
        <v>134</v>
      </c>
      <c r="H4464" s="1" t="str">
        <f>VLOOKUP(F4464,Countries!$A$1:$B$161,2,0)</f>
        <v>Hong Kong</v>
      </c>
    </row>
    <row r="4465" spans="1:8" x14ac:dyDescent="0.3">
      <c r="A4465" s="3">
        <v>46245.865879629629</v>
      </c>
      <c r="B4465" s="1">
        <v>10.62</v>
      </c>
      <c r="C4465" s="1">
        <v>9.1999999999999993</v>
      </c>
      <c r="D4465" s="1">
        <v>0.73</v>
      </c>
      <c r="E4465" s="1" t="s">
        <v>113</v>
      </c>
      <c r="F4465" s="1" t="s">
        <v>113</v>
      </c>
      <c r="G4465" s="1" t="s">
        <v>113</v>
      </c>
      <c r="H4465" s="1" t="str">
        <f>VLOOKUP(F4465,Countries!$A$1:$B$161,2,0)</f>
        <v>United States of America</v>
      </c>
    </row>
    <row r="4466" spans="1:8" x14ac:dyDescent="0.3">
      <c r="A4466" s="3">
        <v>46245.862986111111</v>
      </c>
      <c r="B4466" s="1">
        <v>6.37</v>
      </c>
      <c r="C4466" s="1">
        <v>5.52</v>
      </c>
      <c r="D4466" s="1">
        <v>0.54</v>
      </c>
      <c r="E4466" s="1" t="s">
        <v>113</v>
      </c>
      <c r="F4466" s="1" t="s">
        <v>113</v>
      </c>
      <c r="G4466" s="1" t="s">
        <v>113</v>
      </c>
      <c r="H4466" s="1" t="str">
        <f>VLOOKUP(F4466,Countries!$A$1:$B$161,2,0)</f>
        <v>United States of America</v>
      </c>
    </row>
    <row r="4467" spans="1:8" x14ac:dyDescent="0.3">
      <c r="A4467" s="3">
        <v>46245.862743055557</v>
      </c>
      <c r="B4467" s="1">
        <v>7.48</v>
      </c>
      <c r="C4467" s="1">
        <v>6.48</v>
      </c>
      <c r="D4467" s="1">
        <v>0.48</v>
      </c>
      <c r="E4467" s="1" t="s">
        <v>123</v>
      </c>
      <c r="F4467" s="1" t="s">
        <v>123</v>
      </c>
      <c r="G4467" s="1" t="s">
        <v>123</v>
      </c>
      <c r="H4467" s="1" t="str">
        <f>VLOOKUP(F4467,Countries!$A$1:$B$161,2,0)</f>
        <v>France</v>
      </c>
    </row>
    <row r="4468" spans="1:8" x14ac:dyDescent="0.3">
      <c r="A4468" s="3">
        <v>46245.856909722221</v>
      </c>
      <c r="B4468" s="1">
        <v>2.99</v>
      </c>
      <c r="C4468" s="1">
        <v>2.59</v>
      </c>
      <c r="D4468" s="1">
        <v>0.38</v>
      </c>
      <c r="E4468" s="1" t="s">
        <v>113</v>
      </c>
      <c r="F4468" s="1" t="s">
        <v>113</v>
      </c>
      <c r="G4468" s="1" t="s">
        <v>113</v>
      </c>
      <c r="H4468" s="1" t="str">
        <f>VLOOKUP(F4468,Countries!$A$1:$B$161,2,0)</f>
        <v>United States of America</v>
      </c>
    </row>
    <row r="4469" spans="1:8" x14ac:dyDescent="0.3">
      <c r="A4469" s="3">
        <v>46245.845613425918</v>
      </c>
      <c r="B4469" s="1">
        <v>2.11</v>
      </c>
      <c r="C4469" s="1">
        <v>1.83</v>
      </c>
      <c r="D4469" s="1">
        <v>0.35</v>
      </c>
      <c r="E4469" s="1" t="s">
        <v>113</v>
      </c>
      <c r="F4469" s="1" t="s">
        <v>113</v>
      </c>
      <c r="G4469" s="1" t="s">
        <v>113</v>
      </c>
      <c r="H4469" s="1" t="str">
        <f>VLOOKUP(F4469,Countries!$A$1:$B$161,2,0)</f>
        <v>United States of America</v>
      </c>
    </row>
    <row r="4470" spans="1:8" x14ac:dyDescent="0.3">
      <c r="A4470" s="3">
        <v>46245.845555555563</v>
      </c>
      <c r="B4470" s="1">
        <v>6.37</v>
      </c>
      <c r="C4470" s="1">
        <v>5.52</v>
      </c>
      <c r="D4470" s="1">
        <v>0.54</v>
      </c>
      <c r="E4470" s="1" t="s">
        <v>113</v>
      </c>
      <c r="F4470" s="1" t="s">
        <v>113</v>
      </c>
      <c r="G4470" s="1" t="s">
        <v>113</v>
      </c>
      <c r="H4470" s="1" t="str">
        <f>VLOOKUP(F4470,Countries!$A$1:$B$161,2,0)</f>
        <v>United States of America</v>
      </c>
    </row>
    <row r="4471" spans="1:8" x14ac:dyDescent="0.3">
      <c r="A4471" s="3">
        <v>46245.842002314806</v>
      </c>
      <c r="B4471" s="1">
        <v>17.010000000000002</v>
      </c>
      <c r="C4471" s="1">
        <v>14.74</v>
      </c>
      <c r="D4471" s="1">
        <v>1.02</v>
      </c>
      <c r="E4471" s="1" t="s">
        <v>113</v>
      </c>
      <c r="F4471" s="1" t="s">
        <v>113</v>
      </c>
      <c r="G4471" s="1" t="s">
        <v>113</v>
      </c>
      <c r="H4471" s="1" t="str">
        <f>VLOOKUP(F4471,Countries!$A$1:$B$161,2,0)</f>
        <v>United States of America</v>
      </c>
    </row>
    <row r="4472" spans="1:8" x14ac:dyDescent="0.3">
      <c r="A4472" s="3">
        <v>46245.835474537038</v>
      </c>
      <c r="B4472" s="1">
        <v>6.37</v>
      </c>
      <c r="C4472" s="1">
        <v>5.52</v>
      </c>
      <c r="D4472" s="1">
        <v>0.54</v>
      </c>
      <c r="E4472" s="1" t="s">
        <v>113</v>
      </c>
      <c r="F4472" s="1" t="s">
        <v>113</v>
      </c>
      <c r="G4472" s="1" t="s">
        <v>113</v>
      </c>
      <c r="H4472" s="1" t="str">
        <f>VLOOKUP(F4472,Countries!$A$1:$B$161,2,0)</f>
        <v>United States of America</v>
      </c>
    </row>
    <row r="4473" spans="1:8" x14ac:dyDescent="0.3">
      <c r="A4473" s="3">
        <v>46245.821875000001</v>
      </c>
      <c r="B4473" s="1">
        <v>32.700000000000003</v>
      </c>
      <c r="C4473" s="1">
        <v>28.34</v>
      </c>
      <c r="D4473" s="1">
        <v>1.74</v>
      </c>
      <c r="E4473" s="1" t="s">
        <v>160</v>
      </c>
      <c r="F4473" s="1" t="s">
        <v>160</v>
      </c>
      <c r="G4473" s="1" t="s">
        <v>160</v>
      </c>
      <c r="H4473" s="1" t="str">
        <f>VLOOKUP(F4473,Countries!$A$1:$B$161,2,0)</f>
        <v>New Zealand</v>
      </c>
    </row>
    <row r="4474" spans="1:8" x14ac:dyDescent="0.3">
      <c r="A4474" s="3">
        <v>46245.820960648147</v>
      </c>
      <c r="B4474" s="1">
        <v>1.99</v>
      </c>
      <c r="C4474" s="1">
        <v>1.72</v>
      </c>
      <c r="D4474" s="1">
        <v>0.34</v>
      </c>
      <c r="E4474" s="1" t="s">
        <v>139</v>
      </c>
      <c r="F4474" s="1" t="s">
        <v>139</v>
      </c>
      <c r="G4474" s="1" t="s">
        <v>139</v>
      </c>
      <c r="H4474" s="1" t="str">
        <f>VLOOKUP(F4474,Countries!$A$1:$B$161,2,0)</f>
        <v>Nigeria</v>
      </c>
    </row>
    <row r="4475" spans="1:8" x14ac:dyDescent="0.3">
      <c r="A4475" s="3">
        <v>46245.820370370369</v>
      </c>
      <c r="B4475" s="1">
        <v>10.62</v>
      </c>
      <c r="C4475" s="1">
        <v>9.1999999999999993</v>
      </c>
      <c r="D4475" s="1">
        <v>0.73</v>
      </c>
      <c r="E4475" s="1" t="s">
        <v>113</v>
      </c>
      <c r="F4475" s="1" t="s">
        <v>113</v>
      </c>
      <c r="G4475" s="1" t="s">
        <v>113</v>
      </c>
      <c r="H4475" s="1" t="str">
        <f>VLOOKUP(F4475,Countries!$A$1:$B$161,2,0)</f>
        <v>United States of America</v>
      </c>
    </row>
    <row r="4476" spans="1:8" x14ac:dyDescent="0.3">
      <c r="A4476" s="3">
        <v>46245.808842592603</v>
      </c>
      <c r="B4476" s="1">
        <v>3.73</v>
      </c>
      <c r="C4476" s="1">
        <v>3.23</v>
      </c>
      <c r="D4476" s="1">
        <v>0.41</v>
      </c>
      <c r="E4476" s="1" t="s">
        <v>131</v>
      </c>
      <c r="F4476" s="1" t="s">
        <v>131</v>
      </c>
      <c r="G4476" s="1" t="s">
        <v>131</v>
      </c>
      <c r="H4476" s="1" t="str">
        <f>VLOOKUP(F4476,Countries!$A$1:$B$161,2,0)</f>
        <v>Ukraine</v>
      </c>
    </row>
    <row r="4477" spans="1:8" x14ac:dyDescent="0.3">
      <c r="A4477" s="3">
        <v>46245.794849537036</v>
      </c>
      <c r="B4477" s="1">
        <v>8.5</v>
      </c>
      <c r="C4477" s="1">
        <v>7.37</v>
      </c>
      <c r="D4477" s="1">
        <v>0.64</v>
      </c>
      <c r="E4477" s="1" t="s">
        <v>113</v>
      </c>
      <c r="F4477" s="1" t="s">
        <v>113</v>
      </c>
      <c r="G4477" s="1" t="s">
        <v>113</v>
      </c>
      <c r="H4477" s="1" t="str">
        <f>VLOOKUP(F4477,Countries!$A$1:$B$161,2,0)</f>
        <v>United States of America</v>
      </c>
    </row>
    <row r="4478" spans="1:8" x14ac:dyDescent="0.3">
      <c r="A4478" s="3">
        <v>46245.789409722223</v>
      </c>
      <c r="B4478" s="1">
        <v>7.21</v>
      </c>
      <c r="C4478" s="1">
        <v>6.25</v>
      </c>
      <c r="D4478" s="1">
        <v>0.47</v>
      </c>
      <c r="E4478" s="1" t="s">
        <v>161</v>
      </c>
      <c r="F4478" s="1" t="s">
        <v>161</v>
      </c>
      <c r="G4478" s="1" t="s">
        <v>161</v>
      </c>
      <c r="H4478" s="1" t="str">
        <f>VLOOKUP(F4478,Countries!$A$1:$B$161,2,0)</f>
        <v>Luxembourg</v>
      </c>
    </row>
    <row r="4479" spans="1:8" x14ac:dyDescent="0.3">
      <c r="A4479" s="3">
        <v>46245.782372685193</v>
      </c>
      <c r="B4479" s="1">
        <v>25</v>
      </c>
      <c r="C4479" s="1">
        <v>21.67</v>
      </c>
      <c r="D4479" s="1">
        <v>1.22</v>
      </c>
      <c r="E4479" s="1" t="s">
        <v>119</v>
      </c>
      <c r="F4479" s="1" t="s">
        <v>119</v>
      </c>
      <c r="G4479" s="1" t="s">
        <v>119</v>
      </c>
      <c r="H4479" s="1" t="str">
        <f>VLOOKUP(F4479,Countries!$A$1:$B$161,2,0)</f>
        <v>Great Britain (United Kingdom)</v>
      </c>
    </row>
    <row r="4480" spans="1:8" x14ac:dyDescent="0.3">
      <c r="A4480" s="3">
        <v>46245.779756944437</v>
      </c>
      <c r="B4480" s="1">
        <v>12.48</v>
      </c>
      <c r="C4480" s="1">
        <v>10.82</v>
      </c>
      <c r="D4480" s="1">
        <v>0.74</v>
      </c>
      <c r="E4480" s="1" t="s">
        <v>119</v>
      </c>
      <c r="F4480" s="1" t="s">
        <v>119</v>
      </c>
      <c r="G4480" s="1" t="s">
        <v>119</v>
      </c>
      <c r="H4480" s="1" t="str">
        <f>VLOOKUP(F4480,Countries!$A$1:$B$161,2,0)</f>
        <v>Great Britain (United Kingdom)</v>
      </c>
    </row>
    <row r="4481" spans="1:8" x14ac:dyDescent="0.3">
      <c r="A4481" s="3">
        <v>46245.767106481479</v>
      </c>
      <c r="B4481" s="1">
        <v>3.32</v>
      </c>
      <c r="C4481" s="1">
        <v>2.88</v>
      </c>
      <c r="D4481" s="1">
        <v>0.4</v>
      </c>
      <c r="E4481" s="1" t="s">
        <v>121</v>
      </c>
      <c r="F4481" s="1" t="s">
        <v>121</v>
      </c>
      <c r="G4481" s="1" t="s">
        <v>121</v>
      </c>
      <c r="H4481" s="1" t="str">
        <f>VLOOKUP(F4481,Countries!$A$1:$B$161,2,0)</f>
        <v>Japan</v>
      </c>
    </row>
    <row r="4482" spans="1:8" x14ac:dyDescent="0.3">
      <c r="A4482" s="3">
        <v>46245.766435185193</v>
      </c>
      <c r="B4482" s="1">
        <v>2.11</v>
      </c>
      <c r="C4482" s="1">
        <v>1.83</v>
      </c>
      <c r="D4482" s="1">
        <v>0.34</v>
      </c>
      <c r="E4482" s="1" t="s">
        <v>119</v>
      </c>
      <c r="F4482" s="1" t="s">
        <v>119</v>
      </c>
      <c r="G4482" s="1" t="s">
        <v>119</v>
      </c>
      <c r="H4482" s="1" t="str">
        <f>VLOOKUP(F4482,Countries!$A$1:$B$161,2,0)</f>
        <v>Great Britain (United Kingdom)</v>
      </c>
    </row>
    <row r="4483" spans="1:8" x14ac:dyDescent="0.3">
      <c r="A4483" s="3">
        <v>46245.760208333333</v>
      </c>
      <c r="B4483" s="1">
        <v>10.85</v>
      </c>
      <c r="C4483" s="1">
        <v>9.4</v>
      </c>
      <c r="D4483" s="1">
        <v>0.75</v>
      </c>
      <c r="E4483" s="1" t="s">
        <v>115</v>
      </c>
      <c r="F4483" s="1" t="s">
        <v>115</v>
      </c>
      <c r="G4483" s="1" t="s">
        <v>115</v>
      </c>
      <c r="H4483" s="1" t="str">
        <f>VLOOKUP(F4483,Countries!$A$1:$B$161,2,0)</f>
        <v>Switzerland</v>
      </c>
    </row>
    <row r="4484" spans="1:8" x14ac:dyDescent="0.3">
      <c r="A4484" s="3">
        <v>46245.757581018523</v>
      </c>
      <c r="B4484" s="1">
        <v>6.37</v>
      </c>
      <c r="C4484" s="1">
        <v>5.52</v>
      </c>
      <c r="D4484" s="1">
        <v>0.54</v>
      </c>
      <c r="E4484" s="1" t="s">
        <v>113</v>
      </c>
      <c r="F4484" s="1" t="s">
        <v>113</v>
      </c>
      <c r="G4484" s="1" t="s">
        <v>113</v>
      </c>
      <c r="H4484" s="1" t="str">
        <f>VLOOKUP(F4484,Countries!$A$1:$B$161,2,0)</f>
        <v>United States of America</v>
      </c>
    </row>
    <row r="4485" spans="1:8" x14ac:dyDescent="0.3">
      <c r="A4485" s="3">
        <v>46245.745497685188</v>
      </c>
      <c r="B4485" s="1">
        <v>6.37</v>
      </c>
      <c r="C4485" s="1">
        <v>5.52</v>
      </c>
      <c r="D4485" s="1">
        <v>0.54</v>
      </c>
      <c r="E4485" s="1" t="s">
        <v>113</v>
      </c>
      <c r="F4485" s="1" t="s">
        <v>113</v>
      </c>
      <c r="G4485" s="1" t="s">
        <v>113</v>
      </c>
      <c r="H4485" s="1" t="str">
        <f>VLOOKUP(F4485,Countries!$A$1:$B$161,2,0)</f>
        <v>United States of America</v>
      </c>
    </row>
    <row r="4486" spans="1:8" x14ac:dyDescent="0.3">
      <c r="A4486" s="3">
        <v>46245.743854166663</v>
      </c>
      <c r="B4486" s="1">
        <v>13.89</v>
      </c>
      <c r="C4486" s="1">
        <v>12.04</v>
      </c>
      <c r="D4486" s="1">
        <v>0.88</v>
      </c>
      <c r="E4486" s="1" t="s">
        <v>174</v>
      </c>
      <c r="F4486" s="1" t="s">
        <v>174</v>
      </c>
      <c r="G4486" s="1" t="s">
        <v>174</v>
      </c>
      <c r="H4486" s="1" t="str">
        <f>VLOOKUP(F4486,Countries!$A$1:$B$161,2,0)</f>
        <v>Zimbabwe</v>
      </c>
    </row>
    <row r="4487" spans="1:8" x14ac:dyDescent="0.3">
      <c r="A4487" s="3">
        <v>46245.740231481483</v>
      </c>
      <c r="B4487" s="1">
        <v>16.34</v>
      </c>
      <c r="C4487" s="1">
        <v>14.16</v>
      </c>
      <c r="D4487" s="1">
        <v>0.99</v>
      </c>
      <c r="E4487" s="1" t="s">
        <v>160</v>
      </c>
      <c r="F4487" s="1" t="s">
        <v>160</v>
      </c>
      <c r="G4487" s="1" t="s">
        <v>160</v>
      </c>
      <c r="H4487" s="1" t="str">
        <f>VLOOKUP(F4487,Countries!$A$1:$B$161,2,0)</f>
        <v>New Zealand</v>
      </c>
    </row>
    <row r="4488" spans="1:8" x14ac:dyDescent="0.3">
      <c r="A4488" s="3">
        <v>46245.739560185182</v>
      </c>
      <c r="B4488" s="1">
        <v>6.37</v>
      </c>
      <c r="C4488" s="1">
        <v>5.52</v>
      </c>
      <c r="D4488" s="1">
        <v>0.54</v>
      </c>
      <c r="E4488" s="1" t="s">
        <v>113</v>
      </c>
      <c r="F4488" s="1" t="s">
        <v>113</v>
      </c>
      <c r="G4488" s="1" t="s">
        <v>113</v>
      </c>
      <c r="H4488" s="1" t="str">
        <f>VLOOKUP(F4488,Countries!$A$1:$B$161,2,0)</f>
        <v>United States of America</v>
      </c>
    </row>
    <row r="4489" spans="1:8" x14ac:dyDescent="0.3">
      <c r="A4489" s="3">
        <v>46245.738807870373</v>
      </c>
      <c r="B4489" s="1">
        <v>7.67</v>
      </c>
      <c r="C4489" s="1">
        <v>6.65</v>
      </c>
      <c r="D4489" s="1">
        <v>0.48</v>
      </c>
      <c r="E4489" s="1" t="s">
        <v>124</v>
      </c>
      <c r="F4489" s="1" t="s">
        <v>124</v>
      </c>
      <c r="G4489" s="1" t="s">
        <v>124</v>
      </c>
      <c r="H4489" s="1" t="str">
        <f>VLOOKUP(F4489,Countries!$A$1:$B$161,2,0)</f>
        <v>Italy</v>
      </c>
    </row>
    <row r="4490" spans="1:8" x14ac:dyDescent="0.3">
      <c r="A4490" s="3">
        <v>46245.736504629633</v>
      </c>
      <c r="B4490" s="1">
        <v>65.28</v>
      </c>
      <c r="C4490" s="1">
        <v>56.57</v>
      </c>
      <c r="D4490" s="1">
        <v>3.22</v>
      </c>
      <c r="E4490" s="1" t="s">
        <v>160</v>
      </c>
      <c r="F4490" s="1" t="s">
        <v>160</v>
      </c>
      <c r="G4490" s="1" t="s">
        <v>160</v>
      </c>
      <c r="H4490" s="1" t="str">
        <f>VLOOKUP(F4490,Countries!$A$1:$B$161,2,0)</f>
        <v>New Zealand</v>
      </c>
    </row>
    <row r="4491" spans="1:8" x14ac:dyDescent="0.3">
      <c r="A4491" s="3">
        <v>46245.735902777778</v>
      </c>
      <c r="B4491" s="1">
        <v>34.75</v>
      </c>
      <c r="C4491" s="1">
        <v>30.11</v>
      </c>
      <c r="D4491" s="1">
        <v>1.83</v>
      </c>
      <c r="E4491" s="1" t="s">
        <v>174</v>
      </c>
      <c r="F4491" s="1" t="s">
        <v>174</v>
      </c>
      <c r="G4491" s="1" t="s">
        <v>174</v>
      </c>
      <c r="H4491" s="1" t="str">
        <f>VLOOKUP(F4491,Countries!$A$1:$B$161,2,0)</f>
        <v>Zimbabwe</v>
      </c>
    </row>
    <row r="4492" spans="1:8" x14ac:dyDescent="0.3">
      <c r="A4492" s="3">
        <v>46245.735752314817</v>
      </c>
      <c r="B4492" s="1">
        <v>13.89</v>
      </c>
      <c r="C4492" s="1">
        <v>12.04</v>
      </c>
      <c r="D4492" s="1">
        <v>0.88</v>
      </c>
      <c r="E4492" s="1" t="s">
        <v>174</v>
      </c>
      <c r="F4492" s="1" t="s">
        <v>174</v>
      </c>
      <c r="G4492" s="1" t="s">
        <v>174</v>
      </c>
      <c r="H4492" s="1" t="str">
        <f>VLOOKUP(F4492,Countries!$A$1:$B$161,2,0)</f>
        <v>Zimbabwe</v>
      </c>
    </row>
    <row r="4493" spans="1:8" x14ac:dyDescent="0.3">
      <c r="A4493" s="3">
        <v>46245.733055555553</v>
      </c>
      <c r="B4493" s="1">
        <v>14.77</v>
      </c>
      <c r="C4493" s="1">
        <v>12.8</v>
      </c>
      <c r="D4493" s="1">
        <v>0.93</v>
      </c>
      <c r="E4493" s="1" t="s">
        <v>113</v>
      </c>
      <c r="F4493" s="1" t="s">
        <v>113</v>
      </c>
      <c r="G4493" s="1" t="s">
        <v>113</v>
      </c>
      <c r="H4493" s="1" t="str">
        <f>VLOOKUP(F4493,Countries!$A$1:$B$161,2,0)</f>
        <v>United States of America</v>
      </c>
    </row>
    <row r="4494" spans="1:8" x14ac:dyDescent="0.3">
      <c r="A4494" s="3">
        <v>46245.726840277777</v>
      </c>
      <c r="B4494" s="1">
        <v>2.99</v>
      </c>
      <c r="C4494" s="1">
        <v>2.59</v>
      </c>
      <c r="D4494" s="1">
        <v>0.38</v>
      </c>
      <c r="E4494" s="1" t="s">
        <v>135</v>
      </c>
      <c r="F4494" s="1" t="s">
        <v>135</v>
      </c>
      <c r="G4494" s="1" t="s">
        <v>135</v>
      </c>
      <c r="H4494" s="1" t="str">
        <f>VLOOKUP(F4494,Countries!$A$1:$B$161,2,0)</f>
        <v>Kuwait</v>
      </c>
    </row>
    <row r="4495" spans="1:8" x14ac:dyDescent="0.3">
      <c r="A4495" s="3">
        <v>46245.725185185183</v>
      </c>
      <c r="B4495" s="1">
        <v>6.3</v>
      </c>
      <c r="C4495" s="1">
        <v>5.46</v>
      </c>
      <c r="D4495" s="1">
        <v>0.54</v>
      </c>
      <c r="E4495" s="1" t="s">
        <v>132</v>
      </c>
      <c r="F4495" s="1" t="s">
        <v>132</v>
      </c>
      <c r="G4495" s="1" t="s">
        <v>132</v>
      </c>
      <c r="H4495" s="1" t="str">
        <f>VLOOKUP(F4495,Countries!$A$1:$B$161,2,0)</f>
        <v>Canada</v>
      </c>
    </row>
    <row r="4496" spans="1:8" x14ac:dyDescent="0.3">
      <c r="A4496" s="3">
        <v>46245.724212962959</v>
      </c>
      <c r="B4496" s="1">
        <v>14.77</v>
      </c>
      <c r="C4496" s="1">
        <v>12.8</v>
      </c>
      <c r="D4496" s="1">
        <v>0.93</v>
      </c>
      <c r="E4496" s="1" t="s">
        <v>113</v>
      </c>
      <c r="F4496" s="1" t="s">
        <v>113</v>
      </c>
      <c r="G4496" s="1" t="s">
        <v>113</v>
      </c>
      <c r="H4496" s="1" t="str">
        <f>VLOOKUP(F4496,Countries!$A$1:$B$161,2,0)</f>
        <v>United States of America</v>
      </c>
    </row>
    <row r="4497" spans="1:8" x14ac:dyDescent="0.3">
      <c r="A4497" s="3">
        <v>46245.722245370373</v>
      </c>
      <c r="B4497" s="1">
        <v>9.99</v>
      </c>
      <c r="C4497" s="1">
        <v>8.66</v>
      </c>
      <c r="D4497" s="1">
        <v>0.7</v>
      </c>
      <c r="E4497" s="1" t="s">
        <v>174</v>
      </c>
      <c r="F4497" s="1" t="s">
        <v>174</v>
      </c>
      <c r="G4497" s="1" t="s">
        <v>174</v>
      </c>
      <c r="H4497" s="1" t="str">
        <f>VLOOKUP(F4497,Countries!$A$1:$B$161,2,0)</f>
        <v>Zimbabwe</v>
      </c>
    </row>
    <row r="4498" spans="1:8" x14ac:dyDescent="0.3">
      <c r="A4498" s="3">
        <v>46245.715046296304</v>
      </c>
      <c r="B4498" s="1">
        <v>12.33</v>
      </c>
      <c r="C4498" s="1">
        <v>10.68</v>
      </c>
      <c r="D4498" s="1">
        <v>0.62</v>
      </c>
      <c r="E4498" s="1" t="s">
        <v>158</v>
      </c>
      <c r="F4498" s="1" t="s">
        <v>159</v>
      </c>
      <c r="G4498" s="1" t="s">
        <v>159</v>
      </c>
      <c r="H4498" s="1" t="str">
        <f>VLOOKUP(F4498,Countries!$A$1:$B$161,2,0)</f>
        <v>Romania</v>
      </c>
    </row>
    <row r="4499" spans="1:8" x14ac:dyDescent="0.3">
      <c r="A4499" s="3">
        <v>46245.713055555563</v>
      </c>
      <c r="B4499" s="1">
        <v>65.28</v>
      </c>
      <c r="C4499" s="1">
        <v>56.57</v>
      </c>
      <c r="D4499" s="1">
        <v>3.22</v>
      </c>
      <c r="E4499" s="1" t="s">
        <v>160</v>
      </c>
      <c r="F4499" s="1" t="s">
        <v>160</v>
      </c>
      <c r="G4499" s="1" t="s">
        <v>160</v>
      </c>
      <c r="H4499" s="1" t="str">
        <f>VLOOKUP(F4499,Countries!$A$1:$B$161,2,0)</f>
        <v>New Zealand</v>
      </c>
    </row>
    <row r="4500" spans="1:8" x14ac:dyDescent="0.3">
      <c r="A4500" s="3">
        <v>46245.71297453704</v>
      </c>
      <c r="B4500" s="1">
        <v>6.37</v>
      </c>
      <c r="C4500" s="1">
        <v>5.52</v>
      </c>
      <c r="D4500" s="1">
        <v>0.54</v>
      </c>
      <c r="E4500" s="1" t="s">
        <v>113</v>
      </c>
      <c r="F4500" s="1" t="s">
        <v>113</v>
      </c>
      <c r="G4500" s="1" t="s">
        <v>113</v>
      </c>
      <c r="H4500" s="1" t="str">
        <f>VLOOKUP(F4500,Countries!$A$1:$B$161,2,0)</f>
        <v>United States of America</v>
      </c>
    </row>
    <row r="4501" spans="1:8" x14ac:dyDescent="0.3">
      <c r="A4501" s="3">
        <v>46245.711099537039</v>
      </c>
      <c r="B4501" s="1">
        <v>36.96</v>
      </c>
      <c r="C4501" s="1">
        <v>32.03</v>
      </c>
      <c r="D4501" s="1">
        <v>1.93</v>
      </c>
      <c r="E4501" s="1" t="s">
        <v>113</v>
      </c>
      <c r="F4501" s="1" t="s">
        <v>113</v>
      </c>
      <c r="G4501" s="1" t="s">
        <v>113</v>
      </c>
      <c r="H4501" s="1" t="str">
        <f>VLOOKUP(F4501,Countries!$A$1:$B$161,2,0)</f>
        <v>United States of America</v>
      </c>
    </row>
    <row r="4502" spans="1:8" x14ac:dyDescent="0.3">
      <c r="A4502" s="3">
        <v>46245.697430555563</v>
      </c>
      <c r="B4502" s="1">
        <v>59.03</v>
      </c>
      <c r="C4502" s="1">
        <v>51.14</v>
      </c>
      <c r="D4502" s="1">
        <v>2.93</v>
      </c>
      <c r="E4502" s="1" t="s">
        <v>113</v>
      </c>
      <c r="F4502" s="1" t="s">
        <v>113</v>
      </c>
      <c r="G4502" s="1" t="s">
        <v>113</v>
      </c>
      <c r="H4502" s="1" t="str">
        <f>VLOOKUP(F4502,Countries!$A$1:$B$161,2,0)</f>
        <v>United States of America</v>
      </c>
    </row>
    <row r="4503" spans="1:8" x14ac:dyDescent="0.3">
      <c r="A4503" s="3">
        <v>46245.696643518517</v>
      </c>
      <c r="B4503" s="1">
        <v>9.99</v>
      </c>
      <c r="C4503" s="1">
        <v>8.66</v>
      </c>
      <c r="D4503" s="1">
        <v>0.7</v>
      </c>
      <c r="E4503" s="1" t="s">
        <v>150</v>
      </c>
      <c r="F4503" s="1" t="s">
        <v>150</v>
      </c>
      <c r="G4503" s="1" t="s">
        <v>150</v>
      </c>
      <c r="H4503" s="1" t="str">
        <f>VLOOKUP(F4503,Countries!$A$1:$B$161,2,0)</f>
        <v>El Salvador</v>
      </c>
    </row>
    <row r="4504" spans="1:8" x14ac:dyDescent="0.3">
      <c r="A4504" s="3">
        <v>46245.69159722222</v>
      </c>
      <c r="B4504" s="1">
        <v>4.99</v>
      </c>
      <c r="C4504" s="1">
        <v>4.32</v>
      </c>
      <c r="D4504" s="1">
        <v>0.48</v>
      </c>
      <c r="E4504" s="1" t="s">
        <v>150</v>
      </c>
      <c r="F4504" s="1" t="s">
        <v>150</v>
      </c>
      <c r="G4504" s="1" t="s">
        <v>150</v>
      </c>
      <c r="H4504" s="1" t="str">
        <f>VLOOKUP(F4504,Countries!$A$1:$B$161,2,0)</f>
        <v>El Salvador</v>
      </c>
    </row>
    <row r="4505" spans="1:8" x14ac:dyDescent="0.3">
      <c r="A4505" s="3">
        <v>46245.689629629633</v>
      </c>
      <c r="B4505" s="1">
        <v>14.77</v>
      </c>
      <c r="C4505" s="1">
        <v>12.8</v>
      </c>
      <c r="D4505" s="1">
        <v>0.93</v>
      </c>
      <c r="E4505" s="1" t="s">
        <v>113</v>
      </c>
      <c r="F4505" s="1" t="s">
        <v>113</v>
      </c>
      <c r="G4505" s="1" t="s">
        <v>113</v>
      </c>
      <c r="H4505" s="1" t="str">
        <f>VLOOKUP(F4505,Countries!$A$1:$B$161,2,0)</f>
        <v>United States of America</v>
      </c>
    </row>
    <row r="4506" spans="1:8" x14ac:dyDescent="0.3">
      <c r="A4506" s="3">
        <v>46245.686296296299</v>
      </c>
      <c r="B4506" s="1">
        <v>3.18</v>
      </c>
      <c r="C4506" s="1">
        <v>2.76</v>
      </c>
      <c r="D4506" s="1">
        <v>0.4</v>
      </c>
      <c r="E4506" s="1" t="s">
        <v>113</v>
      </c>
      <c r="F4506" s="1" t="s">
        <v>113</v>
      </c>
      <c r="G4506" s="1" t="s">
        <v>113</v>
      </c>
      <c r="H4506" s="1" t="str">
        <f>VLOOKUP(F4506,Countries!$A$1:$B$161,2,0)</f>
        <v>United States of America</v>
      </c>
    </row>
    <row r="4507" spans="1:8" x14ac:dyDescent="0.3">
      <c r="A4507" s="3">
        <v>46245.686273148152</v>
      </c>
      <c r="B4507" s="1">
        <v>7.58</v>
      </c>
      <c r="C4507" s="1">
        <v>6.57</v>
      </c>
      <c r="D4507" s="1">
        <v>0.48</v>
      </c>
      <c r="E4507" s="1" t="s">
        <v>116</v>
      </c>
      <c r="F4507" s="1" t="s">
        <v>116</v>
      </c>
      <c r="G4507" s="1" t="s">
        <v>116</v>
      </c>
      <c r="H4507" s="1" t="str">
        <f>VLOOKUP(F4507,Countries!$A$1:$B$161,2,0)</f>
        <v>Spain</v>
      </c>
    </row>
    <row r="4508" spans="1:8" x14ac:dyDescent="0.3">
      <c r="A4508" s="3">
        <v>46245.686238425929</v>
      </c>
      <c r="B4508" s="1">
        <v>65.28</v>
      </c>
      <c r="C4508" s="1">
        <v>56.56</v>
      </c>
      <c r="D4508" s="1">
        <v>3.22</v>
      </c>
      <c r="E4508" s="1" t="s">
        <v>160</v>
      </c>
      <c r="F4508" s="1" t="s">
        <v>160</v>
      </c>
      <c r="G4508" s="1" t="s">
        <v>160</v>
      </c>
      <c r="H4508" s="1" t="str">
        <f>VLOOKUP(F4508,Countries!$A$1:$B$161,2,0)</f>
        <v>New Zealand</v>
      </c>
    </row>
    <row r="4509" spans="1:8" x14ac:dyDescent="0.3">
      <c r="A4509" s="3">
        <v>46245.682037037041</v>
      </c>
      <c r="B4509" s="1">
        <v>3.73</v>
      </c>
      <c r="C4509" s="1">
        <v>3.23</v>
      </c>
      <c r="D4509" s="1">
        <v>0.36</v>
      </c>
      <c r="E4509" s="1" t="s">
        <v>155</v>
      </c>
      <c r="F4509" s="1" t="s">
        <v>155</v>
      </c>
      <c r="G4509" s="1" t="s">
        <v>155</v>
      </c>
      <c r="H4509" s="1" t="str">
        <f>VLOOKUP(F4509,Countries!$A$1:$B$161,2,0)</f>
        <v>Bulgaria</v>
      </c>
    </row>
    <row r="4510" spans="1:8" x14ac:dyDescent="0.3">
      <c r="A4510" s="3">
        <v>46245.680405092593</v>
      </c>
      <c r="B4510" s="1">
        <v>16.34</v>
      </c>
      <c r="C4510" s="1">
        <v>14.16</v>
      </c>
      <c r="D4510" s="1">
        <v>0.99</v>
      </c>
      <c r="E4510" s="1" t="s">
        <v>160</v>
      </c>
      <c r="F4510" s="1" t="s">
        <v>160</v>
      </c>
      <c r="G4510" s="1" t="s">
        <v>160</v>
      </c>
      <c r="H4510" s="1" t="str">
        <f>VLOOKUP(F4510,Countries!$A$1:$B$161,2,0)</f>
        <v>New Zealand</v>
      </c>
    </row>
    <row r="4511" spans="1:8" x14ac:dyDescent="0.3">
      <c r="A4511" s="3">
        <v>46245.679756944453</v>
      </c>
      <c r="B4511" s="1">
        <v>3.39</v>
      </c>
      <c r="C4511" s="1">
        <v>2.94</v>
      </c>
      <c r="D4511" s="1">
        <v>0.41</v>
      </c>
      <c r="E4511" s="1" t="s">
        <v>114</v>
      </c>
      <c r="F4511" s="1" t="s">
        <v>114</v>
      </c>
      <c r="G4511" s="1" t="s">
        <v>114</v>
      </c>
      <c r="H4511" s="1" t="str">
        <f>VLOOKUP(F4511,Countries!$A$1:$B$161,2,0)</f>
        <v>Philippines</v>
      </c>
    </row>
    <row r="4512" spans="1:8" x14ac:dyDescent="0.3">
      <c r="A4512" s="3">
        <v>46245.671736111108</v>
      </c>
      <c r="B4512" s="1">
        <v>6.37</v>
      </c>
      <c r="C4512" s="1">
        <v>5.52</v>
      </c>
      <c r="D4512" s="1">
        <v>0.54</v>
      </c>
      <c r="E4512" s="1" t="s">
        <v>113</v>
      </c>
      <c r="F4512" s="1" t="s">
        <v>113</v>
      </c>
      <c r="G4512" s="1" t="s">
        <v>113</v>
      </c>
      <c r="H4512" s="1" t="str">
        <f>VLOOKUP(F4512,Countries!$A$1:$B$161,2,0)</f>
        <v>United States of America</v>
      </c>
    </row>
    <row r="4513" spans="1:8" x14ac:dyDescent="0.3">
      <c r="A4513" s="3">
        <v>46245.664479166669</v>
      </c>
      <c r="B4513" s="1">
        <v>6.3</v>
      </c>
      <c r="C4513" s="1">
        <v>5.46</v>
      </c>
      <c r="D4513" s="1">
        <v>0.54</v>
      </c>
      <c r="E4513" s="1" t="s">
        <v>132</v>
      </c>
      <c r="F4513" s="1" t="s">
        <v>132</v>
      </c>
      <c r="G4513" s="1" t="s">
        <v>132</v>
      </c>
      <c r="H4513" s="1" t="str">
        <f>VLOOKUP(F4513,Countries!$A$1:$B$161,2,0)</f>
        <v>Canada</v>
      </c>
    </row>
    <row r="4514" spans="1:8" x14ac:dyDescent="0.3">
      <c r="A4514" s="3">
        <v>46245.660532407397</v>
      </c>
      <c r="B4514" s="1">
        <v>6.37</v>
      </c>
      <c r="C4514" s="1">
        <v>5.52</v>
      </c>
      <c r="D4514" s="1">
        <v>0.54</v>
      </c>
      <c r="E4514" s="1" t="s">
        <v>113</v>
      </c>
      <c r="F4514" s="1" t="s">
        <v>113</v>
      </c>
      <c r="G4514" s="1" t="s">
        <v>113</v>
      </c>
      <c r="H4514" s="1" t="str">
        <f>VLOOKUP(F4514,Countries!$A$1:$B$161,2,0)</f>
        <v>United States of America</v>
      </c>
    </row>
    <row r="4515" spans="1:8" x14ac:dyDescent="0.3">
      <c r="A4515" s="3">
        <v>46245.654976851853</v>
      </c>
      <c r="B4515" s="1">
        <v>43.43</v>
      </c>
      <c r="C4515" s="1">
        <v>37.630000000000003</v>
      </c>
      <c r="D4515" s="1">
        <v>1.94</v>
      </c>
      <c r="E4515" s="1" t="s">
        <v>119</v>
      </c>
      <c r="F4515" s="1" t="s">
        <v>119</v>
      </c>
      <c r="G4515" s="1" t="s">
        <v>119</v>
      </c>
      <c r="H4515" s="1" t="str">
        <f>VLOOKUP(F4515,Countries!$A$1:$B$161,2,0)</f>
        <v>Great Britain (United Kingdom)</v>
      </c>
    </row>
    <row r="4516" spans="1:8" x14ac:dyDescent="0.3">
      <c r="A4516" s="3">
        <v>46245.654861111107</v>
      </c>
      <c r="B4516" s="1">
        <v>17.010000000000002</v>
      </c>
      <c r="C4516" s="1">
        <v>14.74</v>
      </c>
      <c r="D4516" s="1">
        <v>1.02</v>
      </c>
      <c r="E4516" s="1" t="s">
        <v>113</v>
      </c>
      <c r="F4516" s="1" t="s">
        <v>113</v>
      </c>
      <c r="G4516" s="1" t="s">
        <v>113</v>
      </c>
      <c r="H4516" s="1" t="str">
        <f>VLOOKUP(F4516,Countries!$A$1:$B$161,2,0)</f>
        <v>United States of America</v>
      </c>
    </row>
    <row r="4517" spans="1:8" x14ac:dyDescent="0.3">
      <c r="A4517" s="3">
        <v>46245.653796296298</v>
      </c>
      <c r="B4517" s="1">
        <v>10.62</v>
      </c>
      <c r="C4517" s="1">
        <v>9.1999999999999993</v>
      </c>
      <c r="D4517" s="1">
        <v>0.73</v>
      </c>
      <c r="E4517" s="1" t="s">
        <v>113</v>
      </c>
      <c r="F4517" s="1" t="s">
        <v>113</v>
      </c>
      <c r="G4517" s="1" t="s">
        <v>113</v>
      </c>
      <c r="H4517" s="1" t="str">
        <f>VLOOKUP(F4517,Countries!$A$1:$B$161,2,0)</f>
        <v>United States of America</v>
      </c>
    </row>
    <row r="4518" spans="1:8" x14ac:dyDescent="0.3">
      <c r="A4518" s="3">
        <v>46245.653564814813</v>
      </c>
      <c r="B4518" s="1">
        <v>43.43</v>
      </c>
      <c r="C4518" s="1">
        <v>37.630000000000003</v>
      </c>
      <c r="D4518" s="1">
        <v>1.94</v>
      </c>
      <c r="E4518" s="1" t="s">
        <v>119</v>
      </c>
      <c r="F4518" s="1" t="s">
        <v>119</v>
      </c>
      <c r="G4518" s="1" t="s">
        <v>119</v>
      </c>
      <c r="H4518" s="1" t="str">
        <f>VLOOKUP(F4518,Countries!$A$1:$B$161,2,0)</f>
        <v>Great Britain (United Kingdom)</v>
      </c>
    </row>
    <row r="4519" spans="1:8" x14ac:dyDescent="0.3">
      <c r="A4519" s="3">
        <v>46245.653298611112</v>
      </c>
      <c r="B4519" s="1">
        <v>17.36</v>
      </c>
      <c r="C4519" s="1">
        <v>15.04</v>
      </c>
      <c r="D4519" s="1">
        <v>0.93</v>
      </c>
      <c r="E4519" s="1" t="s">
        <v>119</v>
      </c>
      <c r="F4519" s="1" t="s">
        <v>119</v>
      </c>
      <c r="G4519" s="1" t="s">
        <v>119</v>
      </c>
      <c r="H4519" s="1" t="str">
        <f>VLOOKUP(F4519,Countries!$A$1:$B$161,2,0)</f>
        <v>Great Britain (United Kingdom)</v>
      </c>
    </row>
    <row r="4520" spans="1:8" x14ac:dyDescent="0.3">
      <c r="A4520" s="3">
        <v>46245.652638888889</v>
      </c>
      <c r="B4520" s="1">
        <v>43.43</v>
      </c>
      <c r="C4520" s="1">
        <v>37.630000000000003</v>
      </c>
      <c r="D4520" s="1">
        <v>1.94</v>
      </c>
      <c r="E4520" s="1" t="s">
        <v>119</v>
      </c>
      <c r="F4520" s="1" t="s">
        <v>119</v>
      </c>
      <c r="G4520" s="1" t="s">
        <v>119</v>
      </c>
      <c r="H4520" s="1" t="str">
        <f>VLOOKUP(F4520,Countries!$A$1:$B$161,2,0)</f>
        <v>Great Britain (United Kingdom)</v>
      </c>
    </row>
    <row r="4521" spans="1:8" x14ac:dyDescent="0.3">
      <c r="A4521" s="3">
        <v>46245.648831018523</v>
      </c>
      <c r="B4521" s="1">
        <v>12.48</v>
      </c>
      <c r="C4521" s="1">
        <v>10.81</v>
      </c>
      <c r="D4521" s="1">
        <v>0.74</v>
      </c>
      <c r="E4521" s="1" t="s">
        <v>119</v>
      </c>
      <c r="F4521" s="1" t="s">
        <v>119</v>
      </c>
      <c r="G4521" s="1" t="s">
        <v>119</v>
      </c>
      <c r="H4521" s="1" t="str">
        <f>VLOOKUP(F4521,Countries!$A$1:$B$161,2,0)</f>
        <v>Great Britain (United Kingdom)</v>
      </c>
    </row>
    <row r="4522" spans="1:8" x14ac:dyDescent="0.3">
      <c r="A4522" s="3">
        <v>46245.648472222223</v>
      </c>
      <c r="B4522" s="1">
        <v>6.37</v>
      </c>
      <c r="C4522" s="1">
        <v>5.52</v>
      </c>
      <c r="D4522" s="1">
        <v>0.54</v>
      </c>
      <c r="E4522" s="1" t="s">
        <v>113</v>
      </c>
      <c r="F4522" s="1" t="s">
        <v>113</v>
      </c>
      <c r="G4522" s="1" t="s">
        <v>113</v>
      </c>
      <c r="H4522" s="1" t="str">
        <f>VLOOKUP(F4522,Countries!$A$1:$B$161,2,0)</f>
        <v>United States of America</v>
      </c>
    </row>
    <row r="4523" spans="1:8" x14ac:dyDescent="0.3">
      <c r="A4523" s="3">
        <v>46245.648460648154</v>
      </c>
      <c r="B4523" s="1">
        <v>7.48</v>
      </c>
      <c r="C4523" s="1">
        <v>6.48</v>
      </c>
      <c r="D4523" s="1">
        <v>0.54</v>
      </c>
      <c r="E4523" s="1" t="s">
        <v>119</v>
      </c>
      <c r="F4523" s="1" t="s">
        <v>119</v>
      </c>
      <c r="G4523" s="1" t="s">
        <v>119</v>
      </c>
      <c r="H4523" s="1" t="str">
        <f>VLOOKUP(F4523,Countries!$A$1:$B$161,2,0)</f>
        <v>Great Britain (United Kingdom)</v>
      </c>
    </row>
    <row r="4524" spans="1:8" x14ac:dyDescent="0.3">
      <c r="A4524" s="3">
        <v>46245.646701388891</v>
      </c>
      <c r="B4524" s="1">
        <v>30.88</v>
      </c>
      <c r="C4524" s="1">
        <v>26.75</v>
      </c>
      <c r="D4524" s="1">
        <v>1.66</v>
      </c>
      <c r="E4524" s="1" t="s">
        <v>171</v>
      </c>
      <c r="F4524" s="1" t="s">
        <v>171</v>
      </c>
      <c r="G4524" s="1" t="s">
        <v>171</v>
      </c>
      <c r="H4524" s="1" t="str">
        <f>VLOOKUP(F4524,Countries!$A$1:$B$161,2,0)</f>
        <v>Korea (South)</v>
      </c>
    </row>
    <row r="4525" spans="1:8" x14ac:dyDescent="0.3">
      <c r="A4525" s="3">
        <v>46245.645555555559</v>
      </c>
      <c r="B4525" s="1">
        <v>6.65</v>
      </c>
      <c r="C4525" s="1">
        <v>5.76</v>
      </c>
      <c r="D4525" s="1">
        <v>0.56000000000000005</v>
      </c>
      <c r="E4525" s="1" t="s">
        <v>171</v>
      </c>
      <c r="F4525" s="1" t="s">
        <v>171</v>
      </c>
      <c r="G4525" s="1" t="s">
        <v>171</v>
      </c>
      <c r="H4525" s="1" t="str">
        <f>VLOOKUP(F4525,Countries!$A$1:$B$161,2,0)</f>
        <v>Korea (South)</v>
      </c>
    </row>
    <row r="4526" spans="1:8" x14ac:dyDescent="0.3">
      <c r="A4526" s="3">
        <v>46245.638252314813</v>
      </c>
      <c r="B4526" s="1">
        <v>26.61</v>
      </c>
      <c r="C4526" s="1">
        <v>23.05</v>
      </c>
      <c r="D4526" s="1">
        <v>1.46</v>
      </c>
      <c r="E4526" s="1" t="s">
        <v>113</v>
      </c>
      <c r="F4526" s="1" t="s">
        <v>113</v>
      </c>
      <c r="G4526" s="1" t="s">
        <v>113</v>
      </c>
      <c r="H4526" s="1" t="str">
        <f>VLOOKUP(F4526,Countries!$A$1:$B$161,2,0)</f>
        <v>United States of America</v>
      </c>
    </row>
    <row r="4527" spans="1:8" x14ac:dyDescent="0.3">
      <c r="A4527" s="3">
        <v>46245.637060185189</v>
      </c>
      <c r="B4527" s="1">
        <v>36.96</v>
      </c>
      <c r="C4527" s="1">
        <v>32.020000000000003</v>
      </c>
      <c r="D4527" s="1">
        <v>1.93</v>
      </c>
      <c r="E4527" s="1" t="s">
        <v>113</v>
      </c>
      <c r="F4527" s="1" t="s">
        <v>113</v>
      </c>
      <c r="G4527" s="1" t="s">
        <v>113</v>
      </c>
      <c r="H4527" s="1" t="str">
        <f>VLOOKUP(F4527,Countries!$A$1:$B$161,2,0)</f>
        <v>United States of America</v>
      </c>
    </row>
    <row r="4528" spans="1:8" x14ac:dyDescent="0.3">
      <c r="A4528" s="3">
        <v>46245.636597222219</v>
      </c>
      <c r="B4528" s="1">
        <v>6.37</v>
      </c>
      <c r="C4528" s="1">
        <v>5.52</v>
      </c>
      <c r="D4528" s="1">
        <v>0.54</v>
      </c>
      <c r="E4528" s="1" t="s">
        <v>113</v>
      </c>
      <c r="F4528" s="1" t="s">
        <v>113</v>
      </c>
      <c r="G4528" s="1" t="s">
        <v>113</v>
      </c>
      <c r="H4528" s="1" t="str">
        <f>VLOOKUP(F4528,Countries!$A$1:$B$161,2,0)</f>
        <v>United States of America</v>
      </c>
    </row>
    <row r="4529" spans="1:8" x14ac:dyDescent="0.3">
      <c r="A4529" s="3">
        <v>46245.633194444446</v>
      </c>
      <c r="B4529" s="1">
        <v>1.99</v>
      </c>
      <c r="C4529" s="1">
        <v>1.72</v>
      </c>
      <c r="D4529" s="1">
        <v>0.34</v>
      </c>
      <c r="E4529" s="1" t="s">
        <v>126</v>
      </c>
      <c r="F4529" s="1" t="s">
        <v>126</v>
      </c>
      <c r="G4529" s="1" t="s">
        <v>126</v>
      </c>
      <c r="H4529" s="1" t="str">
        <f>VLOOKUP(F4529,Countries!$A$1:$B$161,2,0)</f>
        <v>Cambodia</v>
      </c>
    </row>
    <row r="4530" spans="1:8" x14ac:dyDescent="0.3">
      <c r="A4530" s="3">
        <v>46245.631122685183</v>
      </c>
      <c r="B4530" s="1">
        <v>12.48</v>
      </c>
      <c r="C4530" s="1">
        <v>10.81</v>
      </c>
      <c r="D4530" s="1">
        <v>0.74</v>
      </c>
      <c r="E4530" s="1" t="s">
        <v>119</v>
      </c>
      <c r="F4530" s="1" t="s">
        <v>119</v>
      </c>
      <c r="G4530" s="1" t="s">
        <v>119</v>
      </c>
      <c r="H4530" s="1" t="str">
        <f>VLOOKUP(F4530,Countries!$A$1:$B$161,2,0)</f>
        <v>Great Britain (United Kingdom)</v>
      </c>
    </row>
    <row r="4531" spans="1:8" x14ac:dyDescent="0.3">
      <c r="A4531" s="3">
        <v>46245.62300925926</v>
      </c>
      <c r="B4531" s="1">
        <v>12.48</v>
      </c>
      <c r="C4531" s="1">
        <v>10.81</v>
      </c>
      <c r="D4531" s="1">
        <v>0.74</v>
      </c>
      <c r="E4531" s="1" t="s">
        <v>119</v>
      </c>
      <c r="F4531" s="1" t="s">
        <v>119</v>
      </c>
      <c r="G4531" s="1" t="s">
        <v>119</v>
      </c>
      <c r="H4531" s="1" t="str">
        <f>VLOOKUP(F4531,Countries!$A$1:$B$161,2,0)</f>
        <v>Great Britain (United Kingdom)</v>
      </c>
    </row>
    <row r="4532" spans="1:8" x14ac:dyDescent="0.3">
      <c r="A4532" s="3">
        <v>46245.619490740741</v>
      </c>
      <c r="B4532" s="1">
        <v>6.65</v>
      </c>
      <c r="C4532" s="1">
        <v>5.76</v>
      </c>
      <c r="D4532" s="1">
        <v>0.56000000000000005</v>
      </c>
      <c r="E4532" s="1" t="s">
        <v>130</v>
      </c>
      <c r="F4532" s="1" t="s">
        <v>130</v>
      </c>
      <c r="G4532" s="1" t="s">
        <v>130</v>
      </c>
      <c r="H4532" s="1" t="str">
        <f>VLOOKUP(F4532,Countries!$A$1:$B$161,2,0)</f>
        <v>Australia</v>
      </c>
    </row>
    <row r="4533" spans="1:8" x14ac:dyDescent="0.3">
      <c r="A4533" s="3">
        <v>46245.614664351851</v>
      </c>
      <c r="B4533" s="1">
        <v>7.48</v>
      </c>
      <c r="C4533" s="1">
        <v>6.48</v>
      </c>
      <c r="D4533" s="1">
        <v>0.48</v>
      </c>
      <c r="E4533" s="1" t="s">
        <v>123</v>
      </c>
      <c r="F4533" s="1" t="s">
        <v>123</v>
      </c>
      <c r="G4533" s="1" t="s">
        <v>123</v>
      </c>
      <c r="H4533" s="1" t="str">
        <f>VLOOKUP(F4533,Countries!$A$1:$B$161,2,0)</f>
        <v>France</v>
      </c>
    </row>
    <row r="4534" spans="1:8" x14ac:dyDescent="0.3">
      <c r="A4534" s="3">
        <v>46245.611342592587</v>
      </c>
      <c r="B4534" s="1">
        <v>12.48</v>
      </c>
      <c r="C4534" s="1">
        <v>10.81</v>
      </c>
      <c r="D4534" s="1">
        <v>0.74</v>
      </c>
      <c r="E4534" s="1" t="s">
        <v>119</v>
      </c>
      <c r="F4534" s="1" t="s">
        <v>119</v>
      </c>
      <c r="G4534" s="1" t="s">
        <v>119</v>
      </c>
      <c r="H4534" s="1" t="str">
        <f>VLOOKUP(F4534,Countries!$A$1:$B$161,2,0)</f>
        <v>Great Britain (United Kingdom)</v>
      </c>
    </row>
    <row r="4535" spans="1:8" x14ac:dyDescent="0.3">
      <c r="A4535" s="3">
        <v>46245.609756944446</v>
      </c>
      <c r="B4535" s="1">
        <v>3.39</v>
      </c>
      <c r="C4535" s="1">
        <v>2.94</v>
      </c>
      <c r="D4535" s="1">
        <v>0.41</v>
      </c>
      <c r="E4535" s="1" t="s">
        <v>114</v>
      </c>
      <c r="F4535" s="1" t="s">
        <v>114</v>
      </c>
      <c r="G4535" s="1" t="s">
        <v>114</v>
      </c>
      <c r="H4535" s="1" t="str">
        <f>VLOOKUP(F4535,Countries!$A$1:$B$161,2,0)</f>
        <v>Philippines</v>
      </c>
    </row>
    <row r="4536" spans="1:8" x14ac:dyDescent="0.3">
      <c r="A4536" s="3">
        <v>46245.605162037027</v>
      </c>
      <c r="B4536" s="1">
        <v>6.37</v>
      </c>
      <c r="C4536" s="1">
        <v>5.52</v>
      </c>
      <c r="D4536" s="1">
        <v>0.54</v>
      </c>
      <c r="E4536" s="1" t="s">
        <v>113</v>
      </c>
      <c r="F4536" s="1" t="s">
        <v>113</v>
      </c>
      <c r="G4536" s="1" t="s">
        <v>113</v>
      </c>
      <c r="H4536" s="1" t="str">
        <f>VLOOKUP(F4536,Countries!$A$1:$B$161,2,0)</f>
        <v>United States of America</v>
      </c>
    </row>
    <row r="4537" spans="1:8" x14ac:dyDescent="0.3">
      <c r="A4537" s="3">
        <v>46245.598402777781</v>
      </c>
      <c r="B4537" s="1">
        <v>17.04</v>
      </c>
      <c r="C4537" s="1">
        <v>14.76</v>
      </c>
      <c r="D4537" s="1">
        <v>1.03</v>
      </c>
      <c r="E4537" s="1" t="s">
        <v>114</v>
      </c>
      <c r="F4537" s="1" t="s">
        <v>114</v>
      </c>
      <c r="G4537" s="1" t="s">
        <v>114</v>
      </c>
      <c r="H4537" s="1" t="str">
        <f>VLOOKUP(F4537,Countries!$A$1:$B$161,2,0)</f>
        <v>Philippines</v>
      </c>
    </row>
    <row r="4538" spans="1:8" x14ac:dyDescent="0.3">
      <c r="A4538" s="3">
        <v>46245.598287037043</v>
      </c>
      <c r="B4538" s="1">
        <v>49.98</v>
      </c>
      <c r="C4538" s="1">
        <v>43.29</v>
      </c>
      <c r="D4538" s="1">
        <v>2.2000000000000002</v>
      </c>
      <c r="E4538" s="1" t="s">
        <v>119</v>
      </c>
      <c r="F4538" s="1" t="s">
        <v>119</v>
      </c>
      <c r="G4538" s="1" t="s">
        <v>119</v>
      </c>
      <c r="H4538" s="1" t="str">
        <f>VLOOKUP(F4538,Countries!$A$1:$B$161,2,0)</f>
        <v>Great Britain (United Kingdom)</v>
      </c>
    </row>
    <row r="4539" spans="1:8" x14ac:dyDescent="0.3">
      <c r="A4539" s="3">
        <v>46245.595775462964</v>
      </c>
      <c r="B4539" s="1">
        <v>3.39</v>
      </c>
      <c r="C4539" s="1">
        <v>2.94</v>
      </c>
      <c r="D4539" s="1">
        <v>0.41</v>
      </c>
      <c r="E4539" s="1" t="s">
        <v>114</v>
      </c>
      <c r="F4539" s="1" t="s">
        <v>114</v>
      </c>
      <c r="G4539" s="1" t="s">
        <v>114</v>
      </c>
      <c r="H4539" s="1" t="str">
        <f>VLOOKUP(F4539,Countries!$A$1:$B$161,2,0)</f>
        <v>Philippines</v>
      </c>
    </row>
    <row r="4540" spans="1:8" x14ac:dyDescent="0.3">
      <c r="A4540" s="3">
        <v>46245.58966435185</v>
      </c>
      <c r="B4540" s="1">
        <v>37.03</v>
      </c>
      <c r="C4540" s="1">
        <v>32.08</v>
      </c>
      <c r="D4540" s="1">
        <v>1.37</v>
      </c>
      <c r="E4540" s="1" t="s">
        <v>158</v>
      </c>
      <c r="F4540" s="1" t="s">
        <v>159</v>
      </c>
      <c r="G4540" s="1" t="s">
        <v>159</v>
      </c>
      <c r="H4540" s="1" t="str">
        <f>VLOOKUP(F4540,Countries!$A$1:$B$161,2,0)</f>
        <v>Romania</v>
      </c>
    </row>
    <row r="4541" spans="1:8" x14ac:dyDescent="0.3">
      <c r="A4541" s="3">
        <v>46245.589375000003</v>
      </c>
      <c r="B4541" s="1">
        <v>12.33</v>
      </c>
      <c r="C4541" s="1">
        <v>10.68</v>
      </c>
      <c r="D4541" s="1">
        <v>0.62</v>
      </c>
      <c r="E4541" s="1" t="s">
        <v>158</v>
      </c>
      <c r="F4541" s="1" t="s">
        <v>159</v>
      </c>
      <c r="G4541" s="1" t="s">
        <v>159</v>
      </c>
      <c r="H4541" s="1" t="str">
        <f>VLOOKUP(F4541,Countries!$A$1:$B$161,2,0)</f>
        <v>Romania</v>
      </c>
    </row>
    <row r="4542" spans="1:8" x14ac:dyDescent="0.3">
      <c r="A4542" s="3">
        <v>46245.584155092591</v>
      </c>
      <c r="B4542" s="1">
        <v>12.33</v>
      </c>
      <c r="C4542" s="1">
        <v>10.68</v>
      </c>
      <c r="D4542" s="1">
        <v>0.62</v>
      </c>
      <c r="E4542" s="1" t="s">
        <v>158</v>
      </c>
      <c r="F4542" s="1" t="s">
        <v>159</v>
      </c>
      <c r="G4542" s="1" t="s">
        <v>159</v>
      </c>
      <c r="H4542" s="1" t="str">
        <f>VLOOKUP(F4542,Countries!$A$1:$B$161,2,0)</f>
        <v>Romania</v>
      </c>
    </row>
    <row r="4543" spans="1:8" x14ac:dyDescent="0.3">
      <c r="A4543" s="3">
        <v>46245.583067129628</v>
      </c>
      <c r="B4543" s="1">
        <v>12.48</v>
      </c>
      <c r="C4543" s="1">
        <v>10.81</v>
      </c>
      <c r="D4543" s="1">
        <v>0.74</v>
      </c>
      <c r="E4543" s="1" t="s">
        <v>119</v>
      </c>
      <c r="F4543" s="1" t="s">
        <v>119</v>
      </c>
      <c r="G4543" s="1" t="s">
        <v>119</v>
      </c>
      <c r="H4543" s="1" t="str">
        <f>VLOOKUP(F4543,Countries!$A$1:$B$161,2,0)</f>
        <v>Great Britain (United Kingdom)</v>
      </c>
    </row>
    <row r="4544" spans="1:8" x14ac:dyDescent="0.3">
      <c r="A4544" s="3">
        <v>46245.58116898148</v>
      </c>
      <c r="B4544" s="1">
        <v>19.98</v>
      </c>
      <c r="C4544" s="1">
        <v>17.309999999999999</v>
      </c>
      <c r="D4544" s="1">
        <v>1.03</v>
      </c>
      <c r="E4544" s="1" t="s">
        <v>119</v>
      </c>
      <c r="F4544" s="1" t="s">
        <v>119</v>
      </c>
      <c r="G4544" s="1" t="s">
        <v>119</v>
      </c>
      <c r="H4544" s="1" t="str">
        <f>VLOOKUP(F4544,Countries!$A$1:$B$161,2,0)</f>
        <v>Great Britain (United Kingdom)</v>
      </c>
    </row>
    <row r="4545" spans="1:8" x14ac:dyDescent="0.3">
      <c r="A4545" s="3">
        <v>46245.580590277779</v>
      </c>
      <c r="B4545" s="1">
        <v>6.37</v>
      </c>
      <c r="C4545" s="1">
        <v>5.52</v>
      </c>
      <c r="D4545" s="1">
        <v>0.54</v>
      </c>
      <c r="E4545" s="1" t="s">
        <v>113</v>
      </c>
      <c r="F4545" s="1" t="s">
        <v>113</v>
      </c>
      <c r="G4545" s="1" t="s">
        <v>113</v>
      </c>
      <c r="H4545" s="1" t="str">
        <f>VLOOKUP(F4545,Countries!$A$1:$B$161,2,0)</f>
        <v>United States of America</v>
      </c>
    </row>
    <row r="4546" spans="1:8" x14ac:dyDescent="0.3">
      <c r="A4546" s="3">
        <v>46245.580138888887</v>
      </c>
      <c r="B4546" s="1">
        <v>14.77</v>
      </c>
      <c r="C4546" s="1">
        <v>12.8</v>
      </c>
      <c r="D4546" s="1">
        <v>0.93</v>
      </c>
      <c r="E4546" s="1" t="s">
        <v>113</v>
      </c>
      <c r="F4546" s="1" t="s">
        <v>113</v>
      </c>
      <c r="G4546" s="1" t="s">
        <v>113</v>
      </c>
      <c r="H4546" s="1" t="str">
        <f>VLOOKUP(F4546,Countries!$A$1:$B$161,2,0)</f>
        <v>United States of America</v>
      </c>
    </row>
    <row r="4547" spans="1:8" x14ac:dyDescent="0.3">
      <c r="A4547" s="3">
        <v>46245.578912037039</v>
      </c>
      <c r="B4547" s="1">
        <v>12.33</v>
      </c>
      <c r="C4547" s="1">
        <v>10.68</v>
      </c>
      <c r="D4547" s="1">
        <v>0.62</v>
      </c>
      <c r="E4547" s="1" t="s">
        <v>158</v>
      </c>
      <c r="F4547" s="1" t="s">
        <v>159</v>
      </c>
      <c r="G4547" s="1" t="s">
        <v>159</v>
      </c>
      <c r="H4547" s="1" t="str">
        <f>VLOOKUP(F4547,Countries!$A$1:$B$161,2,0)</f>
        <v>Romania</v>
      </c>
    </row>
    <row r="4548" spans="1:8" x14ac:dyDescent="0.3">
      <c r="A4548" s="3">
        <v>46245.575868055559</v>
      </c>
      <c r="B4548" s="1">
        <v>15.43</v>
      </c>
      <c r="C4548" s="1">
        <v>13.37</v>
      </c>
      <c r="D4548" s="1">
        <v>0.95</v>
      </c>
      <c r="E4548" s="1" t="s">
        <v>130</v>
      </c>
      <c r="F4548" s="1" t="s">
        <v>130</v>
      </c>
      <c r="G4548" s="1" t="s">
        <v>130</v>
      </c>
      <c r="H4548" s="1" t="str">
        <f>VLOOKUP(F4548,Countries!$A$1:$B$161,2,0)</f>
        <v>Australia</v>
      </c>
    </row>
    <row r="4549" spans="1:8" x14ac:dyDescent="0.3">
      <c r="A4549" s="3">
        <v>46245.574317129627</v>
      </c>
      <c r="B4549" s="1">
        <v>22.18</v>
      </c>
      <c r="C4549" s="1">
        <v>19.22</v>
      </c>
      <c r="D4549" s="1">
        <v>1.25</v>
      </c>
      <c r="E4549" s="1" t="s">
        <v>113</v>
      </c>
      <c r="F4549" s="1" t="s">
        <v>113</v>
      </c>
      <c r="G4549" s="1" t="s">
        <v>113</v>
      </c>
      <c r="H4549" s="1" t="str">
        <f>VLOOKUP(F4549,Countries!$A$1:$B$161,2,0)</f>
        <v>United States of America</v>
      </c>
    </row>
    <row r="4550" spans="1:8" x14ac:dyDescent="0.3">
      <c r="A4550" s="3">
        <v>46245.573784722219</v>
      </c>
      <c r="B4550" s="1">
        <v>12.33</v>
      </c>
      <c r="C4550" s="1">
        <v>10.68</v>
      </c>
      <c r="D4550" s="1">
        <v>0.62</v>
      </c>
      <c r="E4550" s="1" t="s">
        <v>158</v>
      </c>
      <c r="F4550" s="1" t="s">
        <v>159</v>
      </c>
      <c r="G4550" s="1" t="s">
        <v>159</v>
      </c>
      <c r="H4550" s="1" t="str">
        <f>VLOOKUP(F4550,Countries!$A$1:$B$161,2,0)</f>
        <v>Romania</v>
      </c>
    </row>
    <row r="4551" spans="1:8" x14ac:dyDescent="0.3">
      <c r="A4551" s="3">
        <v>46245.573703703703</v>
      </c>
      <c r="B4551" s="1">
        <v>27.8</v>
      </c>
      <c r="C4551" s="1">
        <v>24.09</v>
      </c>
      <c r="D4551" s="1">
        <v>1.51</v>
      </c>
      <c r="E4551" s="1" t="s">
        <v>130</v>
      </c>
      <c r="F4551" s="1" t="s">
        <v>130</v>
      </c>
      <c r="G4551" s="1" t="s">
        <v>130</v>
      </c>
      <c r="H4551" s="1" t="str">
        <f>VLOOKUP(F4551,Countries!$A$1:$B$161,2,0)</f>
        <v>Australia</v>
      </c>
    </row>
    <row r="4552" spans="1:8" x14ac:dyDescent="0.3">
      <c r="A4552" s="3">
        <v>46245.572800925933</v>
      </c>
      <c r="B4552" s="1">
        <v>34.75</v>
      </c>
      <c r="C4552" s="1">
        <v>30.11</v>
      </c>
      <c r="D4552" s="1">
        <v>1.3</v>
      </c>
      <c r="E4552" s="1" t="s">
        <v>123</v>
      </c>
      <c r="F4552" s="1" t="s">
        <v>123</v>
      </c>
      <c r="G4552" s="1" t="s">
        <v>123</v>
      </c>
      <c r="H4552" s="1" t="str">
        <f>VLOOKUP(F4552,Countries!$A$1:$B$161,2,0)</f>
        <v>France</v>
      </c>
    </row>
    <row r="4553" spans="1:8" x14ac:dyDescent="0.3">
      <c r="A4553" s="3">
        <v>46245.572268518517</v>
      </c>
      <c r="B4553" s="1">
        <v>26.06</v>
      </c>
      <c r="C4553" s="1">
        <v>22.58</v>
      </c>
      <c r="D4553" s="1">
        <v>1.04</v>
      </c>
      <c r="E4553" s="1" t="s">
        <v>123</v>
      </c>
      <c r="F4553" s="1" t="s">
        <v>123</v>
      </c>
      <c r="G4553" s="1" t="s">
        <v>123</v>
      </c>
      <c r="H4553" s="1" t="str">
        <f>VLOOKUP(F4553,Countries!$A$1:$B$161,2,0)</f>
        <v>France</v>
      </c>
    </row>
    <row r="4554" spans="1:8" x14ac:dyDescent="0.3">
      <c r="A4554" s="3">
        <v>46245.570115740738</v>
      </c>
      <c r="B4554" s="1">
        <v>12.33</v>
      </c>
      <c r="C4554" s="1">
        <v>10.68</v>
      </c>
      <c r="D4554" s="1">
        <v>0.62</v>
      </c>
      <c r="E4554" s="1" t="s">
        <v>158</v>
      </c>
      <c r="F4554" s="1" t="s">
        <v>159</v>
      </c>
      <c r="G4554" s="1" t="s">
        <v>159</v>
      </c>
      <c r="H4554" s="1" t="str">
        <f>VLOOKUP(F4554,Countries!$A$1:$B$161,2,0)</f>
        <v>Romania</v>
      </c>
    </row>
    <row r="4555" spans="1:8" x14ac:dyDescent="0.3">
      <c r="A4555" s="3">
        <v>46245.567754629628</v>
      </c>
      <c r="B4555" s="1">
        <v>7.48</v>
      </c>
      <c r="C4555" s="1">
        <v>6.48</v>
      </c>
      <c r="D4555" s="1">
        <v>0.48</v>
      </c>
      <c r="E4555" s="1" t="s">
        <v>123</v>
      </c>
      <c r="F4555" s="1" t="s">
        <v>123</v>
      </c>
      <c r="G4555" s="1" t="s">
        <v>123</v>
      </c>
      <c r="H4555" s="1" t="str">
        <f>VLOOKUP(F4555,Countries!$A$1:$B$161,2,0)</f>
        <v>France</v>
      </c>
    </row>
    <row r="4556" spans="1:8" x14ac:dyDescent="0.3">
      <c r="A4556" s="3">
        <v>46245.565717592603</v>
      </c>
      <c r="B4556" s="1">
        <v>12.33</v>
      </c>
      <c r="C4556" s="1">
        <v>10.68</v>
      </c>
      <c r="D4556" s="1">
        <v>0.62</v>
      </c>
      <c r="E4556" s="1" t="s">
        <v>158</v>
      </c>
      <c r="F4556" s="1" t="s">
        <v>159</v>
      </c>
      <c r="G4556" s="1" t="s">
        <v>159</v>
      </c>
      <c r="H4556" s="1" t="str">
        <f>VLOOKUP(F4556,Countries!$A$1:$B$161,2,0)</f>
        <v>Romania</v>
      </c>
    </row>
    <row r="4557" spans="1:8" x14ac:dyDescent="0.3">
      <c r="A4557" s="3">
        <v>46245.563472222217</v>
      </c>
      <c r="B4557" s="1">
        <v>43.2</v>
      </c>
      <c r="C4557" s="1">
        <v>37.43</v>
      </c>
      <c r="D4557" s="1">
        <v>1.56</v>
      </c>
      <c r="E4557" s="1" t="s">
        <v>158</v>
      </c>
      <c r="F4557" s="1" t="s">
        <v>159</v>
      </c>
      <c r="G4557" s="1" t="s">
        <v>159</v>
      </c>
      <c r="H4557" s="1" t="str">
        <f>VLOOKUP(F4557,Countries!$A$1:$B$161,2,0)</f>
        <v>Romania</v>
      </c>
    </row>
    <row r="4558" spans="1:8" x14ac:dyDescent="0.3">
      <c r="A4558" s="3">
        <v>46245.562476851846</v>
      </c>
      <c r="B4558" s="1">
        <v>6.37</v>
      </c>
      <c r="C4558" s="1">
        <v>5.52</v>
      </c>
      <c r="D4558" s="1">
        <v>0.54</v>
      </c>
      <c r="E4558" s="1" t="s">
        <v>113</v>
      </c>
      <c r="F4558" s="1" t="s">
        <v>113</v>
      </c>
      <c r="G4558" s="1" t="s">
        <v>113</v>
      </c>
      <c r="H4558" s="1" t="str">
        <f>VLOOKUP(F4558,Countries!$A$1:$B$161,2,0)</f>
        <v>United States of America</v>
      </c>
    </row>
    <row r="4559" spans="1:8" x14ac:dyDescent="0.3">
      <c r="A4559" s="3">
        <v>46245.561689814807</v>
      </c>
      <c r="B4559" s="1">
        <v>7.67</v>
      </c>
      <c r="C4559" s="1">
        <v>6.65</v>
      </c>
      <c r="D4559" s="1">
        <v>0.48</v>
      </c>
      <c r="E4559" s="1" t="s">
        <v>124</v>
      </c>
      <c r="F4559" s="1" t="s">
        <v>124</v>
      </c>
      <c r="G4559" s="1" t="s">
        <v>124</v>
      </c>
      <c r="H4559" s="1" t="str">
        <f>VLOOKUP(F4559,Countries!$A$1:$B$161,2,0)</f>
        <v>Italy</v>
      </c>
    </row>
    <row r="4560" spans="1:8" x14ac:dyDescent="0.3">
      <c r="A4560" s="3">
        <v>46245.549618055556</v>
      </c>
      <c r="B4560" s="1">
        <v>7.58</v>
      </c>
      <c r="C4560" s="1">
        <v>6.57</v>
      </c>
      <c r="D4560" s="1">
        <v>0.48</v>
      </c>
      <c r="E4560" s="1" t="s">
        <v>116</v>
      </c>
      <c r="F4560" s="1" t="s">
        <v>116</v>
      </c>
      <c r="G4560" s="1" t="s">
        <v>116</v>
      </c>
      <c r="H4560" s="1" t="str">
        <f>VLOOKUP(F4560,Countries!$A$1:$B$161,2,0)</f>
        <v>Spain</v>
      </c>
    </row>
    <row r="4561" spans="1:8" x14ac:dyDescent="0.3">
      <c r="A4561" s="3">
        <v>46245.532118055547</v>
      </c>
      <c r="B4561" s="1">
        <v>6.37</v>
      </c>
      <c r="C4561" s="1">
        <v>5.52</v>
      </c>
      <c r="D4561" s="1">
        <v>0.54</v>
      </c>
      <c r="E4561" s="1" t="s">
        <v>113</v>
      </c>
      <c r="F4561" s="1" t="s">
        <v>113</v>
      </c>
      <c r="G4561" s="1" t="s">
        <v>113</v>
      </c>
      <c r="H4561" s="1" t="str">
        <f>VLOOKUP(F4561,Countries!$A$1:$B$161,2,0)</f>
        <v>United States of America</v>
      </c>
    </row>
    <row r="4562" spans="1:8" x14ac:dyDescent="0.3">
      <c r="A4562" s="3">
        <v>46245.526944444442</v>
      </c>
      <c r="B4562" s="1">
        <v>7.48</v>
      </c>
      <c r="C4562" s="1">
        <v>6.48</v>
      </c>
      <c r="D4562" s="1">
        <v>0.48</v>
      </c>
      <c r="E4562" s="1" t="s">
        <v>123</v>
      </c>
      <c r="F4562" s="1" t="s">
        <v>123</v>
      </c>
      <c r="G4562" s="1" t="s">
        <v>123</v>
      </c>
      <c r="H4562" s="1" t="str">
        <f>VLOOKUP(F4562,Countries!$A$1:$B$161,2,0)</f>
        <v>France</v>
      </c>
    </row>
    <row r="4563" spans="1:8" x14ac:dyDescent="0.3">
      <c r="A4563" s="3">
        <v>46245.514594907407</v>
      </c>
      <c r="B4563" s="1">
        <v>6.3</v>
      </c>
      <c r="C4563" s="1">
        <v>5.46</v>
      </c>
      <c r="D4563" s="1">
        <v>0.54</v>
      </c>
      <c r="E4563" s="1" t="s">
        <v>132</v>
      </c>
      <c r="F4563" s="1" t="s">
        <v>132</v>
      </c>
      <c r="G4563" s="1" t="s">
        <v>132</v>
      </c>
      <c r="H4563" s="1" t="str">
        <f>VLOOKUP(F4563,Countries!$A$1:$B$161,2,0)</f>
        <v>Canada</v>
      </c>
    </row>
    <row r="4564" spans="1:8" x14ac:dyDescent="0.3">
      <c r="A4564" s="3">
        <v>46245.512962962966</v>
      </c>
      <c r="B4564" s="1">
        <v>6.37</v>
      </c>
      <c r="C4564" s="1">
        <v>5.52</v>
      </c>
      <c r="D4564" s="1">
        <v>0.54</v>
      </c>
      <c r="E4564" s="1" t="s">
        <v>113</v>
      </c>
      <c r="F4564" s="1" t="s">
        <v>113</v>
      </c>
      <c r="G4564" s="1" t="s">
        <v>113</v>
      </c>
      <c r="H4564" s="1" t="str">
        <f>VLOOKUP(F4564,Countries!$A$1:$B$161,2,0)</f>
        <v>United States of America</v>
      </c>
    </row>
    <row r="4565" spans="1:8" x14ac:dyDescent="0.3">
      <c r="A4565" s="3">
        <v>46245.510983796303</v>
      </c>
      <c r="B4565" s="1">
        <v>12.33</v>
      </c>
      <c r="C4565" s="1">
        <v>10.69</v>
      </c>
      <c r="D4565" s="1">
        <v>0.62</v>
      </c>
      <c r="E4565" s="1" t="s">
        <v>158</v>
      </c>
      <c r="F4565" s="1" t="s">
        <v>159</v>
      </c>
      <c r="G4565" s="1" t="s">
        <v>159</v>
      </c>
      <c r="H4565" s="1" t="str">
        <f>VLOOKUP(F4565,Countries!$A$1:$B$161,2,0)</f>
        <v>Romania</v>
      </c>
    </row>
    <row r="4566" spans="1:8" x14ac:dyDescent="0.3">
      <c r="A4566" s="3">
        <v>46245.502442129633</v>
      </c>
      <c r="B4566" s="1">
        <v>17.36</v>
      </c>
      <c r="C4566" s="1">
        <v>15.05</v>
      </c>
      <c r="D4566" s="1">
        <v>0.93</v>
      </c>
      <c r="E4566" s="1" t="s">
        <v>119</v>
      </c>
      <c r="F4566" s="1" t="s">
        <v>119</v>
      </c>
      <c r="G4566" s="1" t="s">
        <v>119</v>
      </c>
      <c r="H4566" s="1" t="str">
        <f>VLOOKUP(F4566,Countries!$A$1:$B$161,2,0)</f>
        <v>Great Britain (United Kingdom)</v>
      </c>
    </row>
    <row r="4567" spans="1:8" x14ac:dyDescent="0.3">
      <c r="A4567" s="3">
        <v>46245.49931712963</v>
      </c>
      <c r="B4567" s="1">
        <v>22.18</v>
      </c>
      <c r="C4567" s="1">
        <v>19.23</v>
      </c>
      <c r="D4567" s="1">
        <v>1.25</v>
      </c>
      <c r="E4567" s="1" t="s">
        <v>113</v>
      </c>
      <c r="F4567" s="1" t="s">
        <v>113</v>
      </c>
      <c r="G4567" s="1" t="s">
        <v>113</v>
      </c>
      <c r="H4567" s="1" t="str">
        <f>VLOOKUP(F4567,Countries!$A$1:$B$161,2,0)</f>
        <v>United States of America</v>
      </c>
    </row>
    <row r="4568" spans="1:8" x14ac:dyDescent="0.3">
      <c r="A4568" s="3">
        <v>46245.496793981481</v>
      </c>
      <c r="B4568" s="1">
        <v>36.96</v>
      </c>
      <c r="C4568" s="1">
        <v>32.04</v>
      </c>
      <c r="D4568" s="1">
        <v>1.93</v>
      </c>
      <c r="E4568" s="1" t="s">
        <v>113</v>
      </c>
      <c r="F4568" s="1" t="s">
        <v>113</v>
      </c>
      <c r="G4568" s="1" t="s">
        <v>113</v>
      </c>
      <c r="H4568" s="1" t="str">
        <f>VLOOKUP(F4568,Countries!$A$1:$B$161,2,0)</f>
        <v>United States of America</v>
      </c>
    </row>
    <row r="4569" spans="1:8" x14ac:dyDescent="0.3">
      <c r="A4569" s="3">
        <v>46245.493171296293</v>
      </c>
      <c r="B4569" s="1">
        <v>6.37</v>
      </c>
      <c r="C4569" s="1">
        <v>5.52</v>
      </c>
      <c r="D4569" s="1">
        <v>0.54</v>
      </c>
      <c r="E4569" s="1" t="s">
        <v>113</v>
      </c>
      <c r="F4569" s="1" t="s">
        <v>113</v>
      </c>
      <c r="G4569" s="1" t="s">
        <v>113</v>
      </c>
      <c r="H4569" s="1" t="str">
        <f>VLOOKUP(F4569,Countries!$A$1:$B$161,2,0)</f>
        <v>United States of America</v>
      </c>
    </row>
    <row r="4570" spans="1:8" x14ac:dyDescent="0.3">
      <c r="A4570" s="3">
        <v>46245.493078703701</v>
      </c>
      <c r="B4570" s="1">
        <v>7.67</v>
      </c>
      <c r="C4570" s="1">
        <v>6.65</v>
      </c>
      <c r="D4570" s="1">
        <v>0.48</v>
      </c>
      <c r="E4570" s="1" t="s">
        <v>124</v>
      </c>
      <c r="F4570" s="1" t="s">
        <v>124</v>
      </c>
      <c r="G4570" s="1" t="s">
        <v>124</v>
      </c>
      <c r="H4570" s="1" t="str">
        <f>VLOOKUP(F4570,Countries!$A$1:$B$161,2,0)</f>
        <v>Italy</v>
      </c>
    </row>
    <row r="4571" spans="1:8" x14ac:dyDescent="0.3">
      <c r="A4571" s="3">
        <v>46245.490173611113</v>
      </c>
      <c r="B4571" s="1">
        <v>6.37</v>
      </c>
      <c r="C4571" s="1">
        <v>5.52</v>
      </c>
      <c r="D4571" s="1">
        <v>0.54</v>
      </c>
      <c r="E4571" s="1" t="s">
        <v>113</v>
      </c>
      <c r="F4571" s="1" t="s">
        <v>113</v>
      </c>
      <c r="G4571" s="1" t="s">
        <v>113</v>
      </c>
      <c r="H4571" s="1" t="str">
        <f>VLOOKUP(F4571,Countries!$A$1:$B$161,2,0)</f>
        <v>United States of America</v>
      </c>
    </row>
    <row r="4572" spans="1:8" x14ac:dyDescent="0.3">
      <c r="A4572" s="3">
        <v>46245.489699074067</v>
      </c>
      <c r="B4572" s="1">
        <v>6.37</v>
      </c>
      <c r="C4572" s="1">
        <v>5.52</v>
      </c>
      <c r="D4572" s="1">
        <v>0.54</v>
      </c>
      <c r="E4572" s="1" t="s">
        <v>113</v>
      </c>
      <c r="F4572" s="1" t="s">
        <v>113</v>
      </c>
      <c r="G4572" s="1" t="s">
        <v>113</v>
      </c>
      <c r="H4572" s="1" t="str">
        <f>VLOOKUP(F4572,Countries!$A$1:$B$161,2,0)</f>
        <v>United States of America</v>
      </c>
    </row>
    <row r="4573" spans="1:8" x14ac:dyDescent="0.3">
      <c r="A4573" s="3">
        <v>46245.482511574082</v>
      </c>
      <c r="B4573" s="1">
        <v>6.3</v>
      </c>
      <c r="C4573" s="1">
        <v>5.46</v>
      </c>
      <c r="D4573" s="1">
        <v>0.54</v>
      </c>
      <c r="E4573" s="1" t="s">
        <v>132</v>
      </c>
      <c r="F4573" s="1" t="s">
        <v>132</v>
      </c>
      <c r="G4573" s="1" t="s">
        <v>132</v>
      </c>
      <c r="H4573" s="1" t="str">
        <f>VLOOKUP(F4573,Countries!$A$1:$B$161,2,0)</f>
        <v>Canada</v>
      </c>
    </row>
    <row r="4574" spans="1:8" x14ac:dyDescent="0.3">
      <c r="A4574" s="3">
        <v>46245.482152777768</v>
      </c>
      <c r="B4574" s="1">
        <v>6.37</v>
      </c>
      <c r="C4574" s="1">
        <v>5.52</v>
      </c>
      <c r="D4574" s="1">
        <v>0.54</v>
      </c>
      <c r="E4574" s="1" t="s">
        <v>113</v>
      </c>
      <c r="F4574" s="1" t="s">
        <v>113</v>
      </c>
      <c r="G4574" s="1" t="s">
        <v>113</v>
      </c>
      <c r="H4574" s="1" t="str">
        <f>VLOOKUP(F4574,Countries!$A$1:$B$161,2,0)</f>
        <v>United States of America</v>
      </c>
    </row>
    <row r="4575" spans="1:8" x14ac:dyDescent="0.3">
      <c r="A4575" s="3">
        <v>46245.472488425927</v>
      </c>
      <c r="B4575" s="1">
        <v>7.48</v>
      </c>
      <c r="C4575" s="1">
        <v>6.48</v>
      </c>
      <c r="D4575" s="1">
        <v>0.54</v>
      </c>
      <c r="E4575" s="1" t="s">
        <v>119</v>
      </c>
      <c r="F4575" s="1" t="s">
        <v>119</v>
      </c>
      <c r="G4575" s="1" t="s">
        <v>119</v>
      </c>
      <c r="H4575" s="1" t="str">
        <f>VLOOKUP(F4575,Countries!$A$1:$B$161,2,0)</f>
        <v>Great Britain (United Kingdom)</v>
      </c>
    </row>
    <row r="4576" spans="1:8" x14ac:dyDescent="0.3">
      <c r="A4576" s="3">
        <v>46245.466747685183</v>
      </c>
      <c r="B4576" s="1">
        <v>6.65</v>
      </c>
      <c r="C4576" s="1">
        <v>5.76</v>
      </c>
      <c r="D4576" s="1">
        <v>0.56000000000000005</v>
      </c>
      <c r="E4576" s="1" t="s">
        <v>130</v>
      </c>
      <c r="F4576" s="1" t="s">
        <v>130</v>
      </c>
      <c r="G4576" s="1" t="s">
        <v>130</v>
      </c>
      <c r="H4576" s="1" t="str">
        <f>VLOOKUP(F4576,Countries!$A$1:$B$161,2,0)</f>
        <v>Australia</v>
      </c>
    </row>
    <row r="4577" spans="1:8" x14ac:dyDescent="0.3">
      <c r="A4577" s="3">
        <v>46245.463923611111</v>
      </c>
      <c r="B4577" s="1">
        <v>2.11</v>
      </c>
      <c r="C4577" s="1">
        <v>1.83</v>
      </c>
      <c r="D4577" s="1">
        <v>0.35</v>
      </c>
      <c r="E4577" s="1" t="s">
        <v>113</v>
      </c>
      <c r="F4577" s="1" t="s">
        <v>113</v>
      </c>
      <c r="G4577" s="1" t="s">
        <v>113</v>
      </c>
      <c r="H4577" s="1" t="str">
        <f>VLOOKUP(F4577,Countries!$A$1:$B$161,2,0)</f>
        <v>United States of America</v>
      </c>
    </row>
    <row r="4578" spans="1:8" x14ac:dyDescent="0.3">
      <c r="A4578" s="3">
        <v>46245.443773148138</v>
      </c>
      <c r="B4578" s="1">
        <v>7.67</v>
      </c>
      <c r="C4578" s="1">
        <v>6.65</v>
      </c>
      <c r="D4578" s="1">
        <v>0.48</v>
      </c>
      <c r="E4578" s="1" t="s">
        <v>124</v>
      </c>
      <c r="F4578" s="1" t="s">
        <v>124</v>
      </c>
      <c r="G4578" s="1" t="s">
        <v>124</v>
      </c>
      <c r="H4578" s="1" t="str">
        <f>VLOOKUP(F4578,Countries!$A$1:$B$161,2,0)</f>
        <v>Italy</v>
      </c>
    </row>
    <row r="4579" spans="1:8" x14ac:dyDescent="0.3">
      <c r="A4579" s="3">
        <v>46245.442349537043</v>
      </c>
      <c r="B4579" s="1">
        <v>6.37</v>
      </c>
      <c r="C4579" s="1">
        <v>5.52</v>
      </c>
      <c r="D4579" s="1">
        <v>0.54</v>
      </c>
      <c r="E4579" s="1" t="s">
        <v>113</v>
      </c>
      <c r="F4579" s="1" t="s">
        <v>113</v>
      </c>
      <c r="G4579" s="1" t="s">
        <v>113</v>
      </c>
      <c r="H4579" s="1" t="str">
        <f>VLOOKUP(F4579,Countries!$A$1:$B$161,2,0)</f>
        <v>United States of America</v>
      </c>
    </row>
    <row r="4580" spans="1:8" x14ac:dyDescent="0.3">
      <c r="A4580" s="3">
        <v>46245.43986111111</v>
      </c>
      <c r="B4580" s="1">
        <v>6.37</v>
      </c>
      <c r="C4580" s="1">
        <v>5.52</v>
      </c>
      <c r="D4580" s="1">
        <v>0.54</v>
      </c>
      <c r="E4580" s="1" t="s">
        <v>113</v>
      </c>
      <c r="F4580" s="1" t="s">
        <v>113</v>
      </c>
      <c r="G4580" s="1" t="s">
        <v>113</v>
      </c>
      <c r="H4580" s="1" t="str">
        <f>VLOOKUP(F4580,Countries!$A$1:$B$161,2,0)</f>
        <v>United States of America</v>
      </c>
    </row>
    <row r="4581" spans="1:8" x14ac:dyDescent="0.3">
      <c r="A4581" s="3">
        <v>46245.427928240737</v>
      </c>
      <c r="B4581" s="1">
        <v>1.99</v>
      </c>
      <c r="C4581" s="1">
        <v>1.72</v>
      </c>
      <c r="D4581" s="1">
        <v>0.34</v>
      </c>
      <c r="E4581" s="1" t="s">
        <v>135</v>
      </c>
      <c r="F4581" s="1" t="s">
        <v>135</v>
      </c>
      <c r="G4581" s="1" t="s">
        <v>135</v>
      </c>
      <c r="H4581" s="1" t="str">
        <f>VLOOKUP(F4581,Countries!$A$1:$B$161,2,0)</f>
        <v>Kuwait</v>
      </c>
    </row>
    <row r="4582" spans="1:8" x14ac:dyDescent="0.3">
      <c r="A4582" s="3">
        <v>46245.401006944441</v>
      </c>
      <c r="B4582" s="1">
        <v>7.04</v>
      </c>
      <c r="C4582" s="1">
        <v>6.1</v>
      </c>
      <c r="D4582" s="1">
        <v>0.56999999999999995</v>
      </c>
      <c r="E4582" s="1" t="s">
        <v>160</v>
      </c>
      <c r="F4582" s="1" t="s">
        <v>160</v>
      </c>
      <c r="G4582" s="1" t="s">
        <v>160</v>
      </c>
      <c r="H4582" s="1" t="str">
        <f>VLOOKUP(F4582,Countries!$A$1:$B$161,2,0)</f>
        <v>New Zealand</v>
      </c>
    </row>
    <row r="4583" spans="1:8" x14ac:dyDescent="0.3">
      <c r="A4583" s="3">
        <v>46245.395208333342</v>
      </c>
      <c r="B4583" s="1">
        <v>6.3</v>
      </c>
      <c r="C4583" s="1">
        <v>5.46</v>
      </c>
      <c r="D4583" s="1">
        <v>0.54</v>
      </c>
      <c r="E4583" s="1" t="s">
        <v>132</v>
      </c>
      <c r="F4583" s="1" t="s">
        <v>132</v>
      </c>
      <c r="G4583" s="1" t="s">
        <v>132</v>
      </c>
      <c r="H4583" s="1" t="str">
        <f>VLOOKUP(F4583,Countries!$A$1:$B$161,2,0)</f>
        <v>Canada</v>
      </c>
    </row>
    <row r="4584" spans="1:8" x14ac:dyDescent="0.3">
      <c r="A4584" s="3">
        <v>46245.392013888893</v>
      </c>
      <c r="B4584" s="1">
        <v>3.18</v>
      </c>
      <c r="C4584" s="1">
        <v>2.76</v>
      </c>
      <c r="D4584" s="1">
        <v>0.4</v>
      </c>
      <c r="E4584" s="1" t="s">
        <v>113</v>
      </c>
      <c r="F4584" s="1" t="s">
        <v>113</v>
      </c>
      <c r="G4584" s="1" t="s">
        <v>113</v>
      </c>
      <c r="H4584" s="1" t="str">
        <f>VLOOKUP(F4584,Countries!$A$1:$B$161,2,0)</f>
        <v>United States of America</v>
      </c>
    </row>
    <row r="4585" spans="1:8" x14ac:dyDescent="0.3">
      <c r="A4585" s="3">
        <v>46245.387812499997</v>
      </c>
      <c r="B4585" s="1">
        <v>17.36</v>
      </c>
      <c r="C4585" s="1">
        <v>15.05</v>
      </c>
      <c r="D4585" s="1">
        <v>0.93</v>
      </c>
      <c r="E4585" s="1" t="s">
        <v>119</v>
      </c>
      <c r="F4585" s="1" t="s">
        <v>119</v>
      </c>
      <c r="G4585" s="1" t="s">
        <v>119</v>
      </c>
      <c r="H4585" s="1" t="str">
        <f>VLOOKUP(F4585,Countries!$A$1:$B$161,2,0)</f>
        <v>Great Britain (United Kingdom)</v>
      </c>
    </row>
    <row r="4586" spans="1:8" x14ac:dyDescent="0.3">
      <c r="A4586" s="3">
        <v>46245.377986111111</v>
      </c>
      <c r="B4586" s="1">
        <v>52.12</v>
      </c>
      <c r="C4586" s="1">
        <v>45.18</v>
      </c>
      <c r="D4586" s="1">
        <v>2.2799999999999998</v>
      </c>
      <c r="E4586" s="1" t="s">
        <v>119</v>
      </c>
      <c r="F4586" s="1" t="s">
        <v>119</v>
      </c>
      <c r="G4586" s="1" t="s">
        <v>119</v>
      </c>
      <c r="H4586" s="1" t="str">
        <f>VLOOKUP(F4586,Countries!$A$1:$B$161,2,0)</f>
        <v>Great Britain (United Kingdom)</v>
      </c>
    </row>
    <row r="4587" spans="1:8" x14ac:dyDescent="0.3">
      <c r="A4587" s="3">
        <v>46245.377650462957</v>
      </c>
      <c r="B4587" s="1">
        <v>2.99</v>
      </c>
      <c r="C4587" s="1">
        <v>2.59</v>
      </c>
      <c r="D4587" s="1">
        <v>0.38</v>
      </c>
      <c r="E4587" s="1" t="s">
        <v>113</v>
      </c>
      <c r="F4587" s="1" t="s">
        <v>113</v>
      </c>
      <c r="G4587" s="1" t="s">
        <v>113</v>
      </c>
      <c r="H4587" s="1" t="str">
        <f>VLOOKUP(F4587,Countries!$A$1:$B$161,2,0)</f>
        <v>United States of America</v>
      </c>
    </row>
    <row r="4588" spans="1:8" x14ac:dyDescent="0.3">
      <c r="A4588" s="3">
        <v>46245.372314814813</v>
      </c>
      <c r="B4588" s="1">
        <v>17.36</v>
      </c>
      <c r="C4588" s="1">
        <v>15.05</v>
      </c>
      <c r="D4588" s="1">
        <v>0.93</v>
      </c>
      <c r="E4588" s="1" t="s">
        <v>119</v>
      </c>
      <c r="F4588" s="1" t="s">
        <v>119</v>
      </c>
      <c r="G4588" s="1" t="s">
        <v>119</v>
      </c>
      <c r="H4588" s="1" t="str">
        <f>VLOOKUP(F4588,Countries!$A$1:$B$161,2,0)</f>
        <v>Great Britain (United Kingdom)</v>
      </c>
    </row>
    <row r="4589" spans="1:8" x14ac:dyDescent="0.3">
      <c r="A4589" s="3">
        <v>46245.369108796287</v>
      </c>
      <c r="B4589" s="1">
        <v>15.78</v>
      </c>
      <c r="C4589" s="1">
        <v>13.68</v>
      </c>
      <c r="D4589" s="1">
        <v>0.96</v>
      </c>
      <c r="E4589" s="1" t="s">
        <v>114</v>
      </c>
      <c r="F4589" s="1" t="s">
        <v>114</v>
      </c>
      <c r="G4589" s="1" t="s">
        <v>114</v>
      </c>
      <c r="H4589" s="1" t="str">
        <f>VLOOKUP(F4589,Countries!$A$1:$B$161,2,0)</f>
        <v>Philippines</v>
      </c>
    </row>
    <row r="4590" spans="1:8" x14ac:dyDescent="0.3">
      <c r="A4590" s="3">
        <v>46245.361087962963</v>
      </c>
      <c r="B4590" s="1">
        <v>15.99</v>
      </c>
      <c r="C4590" s="1">
        <v>13.86</v>
      </c>
      <c r="D4590" s="1">
        <v>0.98</v>
      </c>
      <c r="E4590" s="1" t="s">
        <v>198</v>
      </c>
      <c r="F4590" s="1" t="s">
        <v>198</v>
      </c>
      <c r="G4590" s="1" t="s">
        <v>198</v>
      </c>
      <c r="H4590" s="1" t="str">
        <f>VLOOKUP(F4590,Countries!$A$1:$B$161,2,0)</f>
        <v>Taiwan</v>
      </c>
    </row>
    <row r="4591" spans="1:8" x14ac:dyDescent="0.3">
      <c r="A4591" s="3">
        <v>46245.359525462962</v>
      </c>
      <c r="B4591" s="1">
        <v>15.78</v>
      </c>
      <c r="C4591" s="1">
        <v>13.68</v>
      </c>
      <c r="D4591" s="1">
        <v>0.96</v>
      </c>
      <c r="E4591" s="1" t="s">
        <v>114</v>
      </c>
      <c r="F4591" s="1" t="s">
        <v>114</v>
      </c>
      <c r="G4591" s="1" t="s">
        <v>114</v>
      </c>
      <c r="H4591" s="1" t="str">
        <f>VLOOKUP(F4591,Countries!$A$1:$B$161,2,0)</f>
        <v>Philippines</v>
      </c>
    </row>
    <row r="4592" spans="1:8" x14ac:dyDescent="0.3">
      <c r="A4592" s="3">
        <v>46245.333414351851</v>
      </c>
      <c r="B4592" s="1">
        <v>6.37</v>
      </c>
      <c r="C4592" s="1">
        <v>5.52</v>
      </c>
      <c r="D4592" s="1">
        <v>0.54</v>
      </c>
      <c r="E4592" s="1" t="s">
        <v>113</v>
      </c>
      <c r="F4592" s="1" t="s">
        <v>113</v>
      </c>
      <c r="G4592" s="1" t="s">
        <v>113</v>
      </c>
      <c r="H4592" s="1" t="str">
        <f>VLOOKUP(F4592,Countries!$A$1:$B$161,2,0)</f>
        <v>United States of America</v>
      </c>
    </row>
    <row r="4593" spans="1:8" x14ac:dyDescent="0.3">
      <c r="A4593" s="3">
        <v>46245.329664351862</v>
      </c>
      <c r="B4593" s="1">
        <v>17.010000000000002</v>
      </c>
      <c r="C4593" s="1">
        <v>14.75</v>
      </c>
      <c r="D4593" s="1">
        <v>1.03</v>
      </c>
      <c r="E4593" s="1" t="s">
        <v>113</v>
      </c>
      <c r="F4593" s="1" t="s">
        <v>113</v>
      </c>
      <c r="G4593" s="1" t="s">
        <v>113</v>
      </c>
      <c r="H4593" s="1" t="str">
        <f>VLOOKUP(F4593,Countries!$A$1:$B$161,2,0)</f>
        <v>United States of America</v>
      </c>
    </row>
    <row r="4594" spans="1:8" x14ac:dyDescent="0.3">
      <c r="A4594" s="3">
        <v>46245.329293981478</v>
      </c>
      <c r="B4594" s="1">
        <v>7.58</v>
      </c>
      <c r="C4594" s="1">
        <v>6.57</v>
      </c>
      <c r="D4594" s="1">
        <v>0.48</v>
      </c>
      <c r="E4594" s="1" t="s">
        <v>116</v>
      </c>
      <c r="F4594" s="1" t="s">
        <v>116</v>
      </c>
      <c r="G4594" s="1" t="s">
        <v>116</v>
      </c>
      <c r="H4594" s="1" t="str">
        <f>VLOOKUP(F4594,Countries!$A$1:$B$161,2,0)</f>
        <v>Spain</v>
      </c>
    </row>
    <row r="4595" spans="1:8" x14ac:dyDescent="0.3">
      <c r="A4595" s="3">
        <v>46245.327326388891</v>
      </c>
      <c r="B4595" s="1">
        <v>7.39</v>
      </c>
      <c r="C4595" s="1">
        <v>6.41</v>
      </c>
      <c r="D4595" s="1">
        <v>0.59</v>
      </c>
      <c r="E4595" s="1" t="s">
        <v>210</v>
      </c>
      <c r="F4595" s="1" t="s">
        <v>113</v>
      </c>
      <c r="G4595" s="1" t="s">
        <v>113</v>
      </c>
      <c r="H4595" s="1" t="str">
        <f>VLOOKUP(F4595,Countries!$A$1:$B$161,2,0)</f>
        <v>United States of America</v>
      </c>
    </row>
    <row r="4596" spans="1:8" x14ac:dyDescent="0.3">
      <c r="A4596" s="3">
        <v>46245.325046296297</v>
      </c>
      <c r="B4596" s="1">
        <v>6.37</v>
      </c>
      <c r="C4596" s="1">
        <v>5.52</v>
      </c>
      <c r="D4596" s="1">
        <v>0.54</v>
      </c>
      <c r="E4596" s="1" t="s">
        <v>113</v>
      </c>
      <c r="F4596" s="1" t="s">
        <v>113</v>
      </c>
      <c r="G4596" s="1" t="s">
        <v>113</v>
      </c>
      <c r="H4596" s="1" t="str">
        <f>VLOOKUP(F4596,Countries!$A$1:$B$161,2,0)</f>
        <v>United States of America</v>
      </c>
    </row>
    <row r="4597" spans="1:8" x14ac:dyDescent="0.3">
      <c r="A4597" s="3">
        <v>46245.323587962957</v>
      </c>
      <c r="B4597" s="1">
        <v>6.37</v>
      </c>
      <c r="C4597" s="1">
        <v>5.52</v>
      </c>
      <c r="D4597" s="1">
        <v>0.54</v>
      </c>
      <c r="E4597" s="1" t="s">
        <v>113</v>
      </c>
      <c r="F4597" s="1" t="s">
        <v>113</v>
      </c>
      <c r="G4597" s="1" t="s">
        <v>113</v>
      </c>
      <c r="H4597" s="1" t="str">
        <f>VLOOKUP(F4597,Countries!$A$1:$B$161,2,0)</f>
        <v>United States of America</v>
      </c>
    </row>
    <row r="4598" spans="1:8" x14ac:dyDescent="0.3">
      <c r="A4598" s="3">
        <v>46245.323425925933</v>
      </c>
      <c r="B4598" s="1">
        <v>7.39</v>
      </c>
      <c r="C4598" s="1">
        <v>6.41</v>
      </c>
      <c r="D4598" s="1">
        <v>0.59</v>
      </c>
      <c r="E4598" s="1" t="s">
        <v>210</v>
      </c>
      <c r="F4598" s="1" t="s">
        <v>113</v>
      </c>
      <c r="G4598" s="1" t="s">
        <v>113</v>
      </c>
      <c r="H4598" s="1" t="str">
        <f>VLOOKUP(F4598,Countries!$A$1:$B$161,2,0)</f>
        <v>United States of America</v>
      </c>
    </row>
    <row r="4599" spans="1:8" x14ac:dyDescent="0.3">
      <c r="A4599" s="3">
        <v>46245.322824074072</v>
      </c>
      <c r="B4599" s="1">
        <v>7.39</v>
      </c>
      <c r="C4599" s="1">
        <v>6.41</v>
      </c>
      <c r="D4599" s="1">
        <v>0.59</v>
      </c>
      <c r="E4599" s="1" t="s">
        <v>210</v>
      </c>
      <c r="F4599" s="1" t="s">
        <v>113</v>
      </c>
      <c r="G4599" s="1" t="s">
        <v>113</v>
      </c>
      <c r="H4599" s="1" t="str">
        <f>VLOOKUP(F4599,Countries!$A$1:$B$161,2,0)</f>
        <v>United States of America</v>
      </c>
    </row>
    <row r="4600" spans="1:8" x14ac:dyDescent="0.3">
      <c r="A4600" s="3">
        <v>46245.321423611109</v>
      </c>
      <c r="B4600" s="1">
        <v>6.37</v>
      </c>
      <c r="C4600" s="1">
        <v>5.52</v>
      </c>
      <c r="D4600" s="1">
        <v>0.54</v>
      </c>
      <c r="E4600" s="1" t="s">
        <v>210</v>
      </c>
      <c r="F4600" s="1" t="s">
        <v>113</v>
      </c>
      <c r="G4600" s="1" t="s">
        <v>113</v>
      </c>
      <c r="H4600" s="1" t="str">
        <f>VLOOKUP(F4600,Countries!$A$1:$B$161,2,0)</f>
        <v>United States of America</v>
      </c>
    </row>
    <row r="4601" spans="1:8" x14ac:dyDescent="0.3">
      <c r="A4601" s="3">
        <v>46245.319351851853</v>
      </c>
      <c r="B4601" s="1">
        <v>7.48</v>
      </c>
      <c r="C4601" s="1">
        <v>6.48</v>
      </c>
      <c r="D4601" s="1">
        <v>0.48</v>
      </c>
      <c r="E4601" s="1" t="s">
        <v>123</v>
      </c>
      <c r="F4601" s="1" t="s">
        <v>123</v>
      </c>
      <c r="G4601" s="1" t="s">
        <v>123</v>
      </c>
      <c r="H4601" s="1" t="str">
        <f>VLOOKUP(F4601,Countries!$A$1:$B$161,2,0)</f>
        <v>France</v>
      </c>
    </row>
    <row r="4602" spans="1:8" x14ac:dyDescent="0.3">
      <c r="A4602" s="3">
        <v>46245.31858796296</v>
      </c>
      <c r="B4602" s="1">
        <v>6.37</v>
      </c>
      <c r="C4602" s="1">
        <v>5.52</v>
      </c>
      <c r="D4602" s="1">
        <v>0.54</v>
      </c>
      <c r="E4602" s="1" t="s">
        <v>210</v>
      </c>
      <c r="F4602" s="1" t="s">
        <v>113</v>
      </c>
      <c r="G4602" s="1" t="s">
        <v>113</v>
      </c>
      <c r="H4602" s="1" t="str">
        <f>VLOOKUP(F4602,Countries!$A$1:$B$161,2,0)</f>
        <v>United States of America</v>
      </c>
    </row>
    <row r="4603" spans="1:8" x14ac:dyDescent="0.3">
      <c r="A4603" s="3">
        <v>46245.31454861111</v>
      </c>
      <c r="B4603" s="1">
        <v>7.98</v>
      </c>
      <c r="C4603" s="1">
        <v>6.92</v>
      </c>
      <c r="D4603" s="1">
        <v>0.61</v>
      </c>
      <c r="E4603" s="1" t="s">
        <v>113</v>
      </c>
      <c r="F4603" s="1" t="s">
        <v>113</v>
      </c>
      <c r="G4603" s="1" t="s">
        <v>113</v>
      </c>
      <c r="H4603" s="1" t="str">
        <f>VLOOKUP(F4603,Countries!$A$1:$B$161,2,0)</f>
        <v>United States of America</v>
      </c>
    </row>
    <row r="4604" spans="1:8" x14ac:dyDescent="0.3">
      <c r="A4604" s="3">
        <v>46245.313668981478</v>
      </c>
      <c r="B4604" s="1">
        <v>6.37</v>
      </c>
      <c r="C4604" s="1">
        <v>5.52</v>
      </c>
      <c r="D4604" s="1">
        <v>0.54</v>
      </c>
      <c r="E4604" s="1" t="s">
        <v>210</v>
      </c>
      <c r="F4604" s="1" t="s">
        <v>113</v>
      </c>
      <c r="G4604" s="1" t="s">
        <v>113</v>
      </c>
      <c r="H4604" s="1" t="str">
        <f>VLOOKUP(F4604,Countries!$A$1:$B$161,2,0)</f>
        <v>United States of America</v>
      </c>
    </row>
    <row r="4605" spans="1:8" x14ac:dyDescent="0.3">
      <c r="A4605" s="3">
        <v>46245.312847222223</v>
      </c>
      <c r="B4605" s="1">
        <v>6.38</v>
      </c>
      <c r="C4605" s="1">
        <v>5.53</v>
      </c>
      <c r="D4605" s="1">
        <v>0.54</v>
      </c>
      <c r="E4605" s="1" t="s">
        <v>210</v>
      </c>
      <c r="F4605" s="1" t="s">
        <v>113</v>
      </c>
      <c r="G4605" s="1" t="s">
        <v>113</v>
      </c>
      <c r="H4605" s="1" t="str">
        <f>VLOOKUP(F4605,Countries!$A$1:$B$161,2,0)</f>
        <v>United States of America</v>
      </c>
    </row>
    <row r="4606" spans="1:8" x14ac:dyDescent="0.3">
      <c r="A4606" s="3">
        <v>46245.312592592592</v>
      </c>
      <c r="B4606" s="1">
        <v>7.44</v>
      </c>
      <c r="C4606" s="1">
        <v>6.45</v>
      </c>
      <c r="D4606" s="1">
        <v>0.59</v>
      </c>
      <c r="E4606" s="1" t="s">
        <v>210</v>
      </c>
      <c r="F4606" s="1" t="s">
        <v>113</v>
      </c>
      <c r="G4606" s="1" t="s">
        <v>113</v>
      </c>
      <c r="H4606" s="1" t="str">
        <f>VLOOKUP(F4606,Countries!$A$1:$B$161,2,0)</f>
        <v>United States of America</v>
      </c>
    </row>
    <row r="4607" spans="1:8" x14ac:dyDescent="0.3">
      <c r="A4607" s="3">
        <v>46245.310729166667</v>
      </c>
      <c r="B4607" s="1">
        <v>5.31</v>
      </c>
      <c r="C4607" s="1">
        <v>4.5999999999999996</v>
      </c>
      <c r="D4607" s="1">
        <v>0.49</v>
      </c>
      <c r="E4607" s="1" t="s">
        <v>210</v>
      </c>
      <c r="F4607" s="1" t="s">
        <v>113</v>
      </c>
      <c r="G4607" s="1" t="s">
        <v>113</v>
      </c>
      <c r="H4607" s="1" t="str">
        <f>VLOOKUP(F4607,Countries!$A$1:$B$161,2,0)</f>
        <v>United States of America</v>
      </c>
    </row>
    <row r="4608" spans="1:8" x14ac:dyDescent="0.3">
      <c r="A4608" s="3">
        <v>46245.307118055563</v>
      </c>
      <c r="B4608" s="1">
        <v>6.37</v>
      </c>
      <c r="C4608" s="1">
        <v>5.52</v>
      </c>
      <c r="D4608" s="1">
        <v>0.54</v>
      </c>
      <c r="E4608" s="1" t="s">
        <v>113</v>
      </c>
      <c r="F4608" s="1" t="s">
        <v>113</v>
      </c>
      <c r="G4608" s="1" t="s">
        <v>113</v>
      </c>
      <c r="H4608" s="1" t="str">
        <f>VLOOKUP(F4608,Countries!$A$1:$B$161,2,0)</f>
        <v>United States of America</v>
      </c>
    </row>
    <row r="4609" spans="1:8" x14ac:dyDescent="0.3">
      <c r="A4609" s="3">
        <v>46245.303252314807</v>
      </c>
      <c r="B4609" s="1">
        <v>22.18</v>
      </c>
      <c r="C4609" s="1">
        <v>19.23</v>
      </c>
      <c r="D4609" s="1">
        <v>1.25</v>
      </c>
      <c r="E4609" s="1" t="s">
        <v>113</v>
      </c>
      <c r="F4609" s="1" t="s">
        <v>113</v>
      </c>
      <c r="G4609" s="1" t="s">
        <v>113</v>
      </c>
      <c r="H4609" s="1" t="str">
        <f>VLOOKUP(F4609,Countries!$A$1:$B$161,2,0)</f>
        <v>United States of America</v>
      </c>
    </row>
    <row r="4610" spans="1:8" x14ac:dyDescent="0.3">
      <c r="A4610" s="3">
        <v>46245.302071759259</v>
      </c>
      <c r="B4610" s="1">
        <v>5.31</v>
      </c>
      <c r="C4610" s="1">
        <v>4.5999999999999996</v>
      </c>
      <c r="D4610" s="1">
        <v>0.49</v>
      </c>
      <c r="E4610" s="1" t="s">
        <v>210</v>
      </c>
      <c r="F4610" s="1" t="s">
        <v>113</v>
      </c>
      <c r="G4610" s="1" t="s">
        <v>113</v>
      </c>
      <c r="H4610" s="1" t="str">
        <f>VLOOKUP(F4610,Countries!$A$1:$B$161,2,0)</f>
        <v>United States of America</v>
      </c>
    </row>
    <row r="4611" spans="1:8" x14ac:dyDescent="0.3">
      <c r="A4611" s="3">
        <v>46245.299976851849</v>
      </c>
      <c r="B4611" s="1">
        <v>5.31</v>
      </c>
      <c r="C4611" s="1">
        <v>4.5999999999999996</v>
      </c>
      <c r="D4611" s="1">
        <v>0.49</v>
      </c>
      <c r="E4611" s="1" t="s">
        <v>210</v>
      </c>
      <c r="F4611" s="1" t="s">
        <v>113</v>
      </c>
      <c r="G4611" s="1" t="s">
        <v>113</v>
      </c>
      <c r="H4611" s="1" t="str">
        <f>VLOOKUP(F4611,Countries!$A$1:$B$161,2,0)</f>
        <v>United States of America</v>
      </c>
    </row>
    <row r="4612" spans="1:8" x14ac:dyDescent="0.3">
      <c r="A4612" s="3">
        <v>46245.299108796287</v>
      </c>
      <c r="B4612" s="1">
        <v>7.44</v>
      </c>
      <c r="C4612" s="1">
        <v>6.45</v>
      </c>
      <c r="D4612" s="1">
        <v>0.59</v>
      </c>
      <c r="E4612" s="1" t="s">
        <v>210</v>
      </c>
      <c r="F4612" s="1" t="s">
        <v>113</v>
      </c>
      <c r="G4612" s="1" t="s">
        <v>113</v>
      </c>
      <c r="H4612" s="1" t="str">
        <f>VLOOKUP(F4612,Countries!$A$1:$B$161,2,0)</f>
        <v>United States of America</v>
      </c>
    </row>
    <row r="4613" spans="1:8" x14ac:dyDescent="0.3">
      <c r="A4613" s="3">
        <v>46245.29583333333</v>
      </c>
      <c r="B4613" s="1">
        <v>7.44</v>
      </c>
      <c r="C4613" s="1">
        <v>6.45</v>
      </c>
      <c r="D4613" s="1">
        <v>0.59</v>
      </c>
      <c r="E4613" s="1" t="s">
        <v>210</v>
      </c>
      <c r="F4613" s="1" t="s">
        <v>113</v>
      </c>
      <c r="G4613" s="1" t="s">
        <v>113</v>
      </c>
      <c r="H4613" s="1" t="str">
        <f>VLOOKUP(F4613,Countries!$A$1:$B$161,2,0)</f>
        <v>United States of America</v>
      </c>
    </row>
    <row r="4614" spans="1:8" x14ac:dyDescent="0.3">
      <c r="A4614" s="3">
        <v>46245.295474537037</v>
      </c>
      <c r="B4614" s="1">
        <v>2.99</v>
      </c>
      <c r="C4614" s="1">
        <v>2.59</v>
      </c>
      <c r="D4614" s="1">
        <v>0.38</v>
      </c>
      <c r="E4614" s="1" t="s">
        <v>114</v>
      </c>
      <c r="F4614" s="1" t="s">
        <v>114</v>
      </c>
      <c r="G4614" s="1" t="s">
        <v>114</v>
      </c>
      <c r="H4614" s="1" t="str">
        <f>VLOOKUP(F4614,Countries!$A$1:$B$161,2,0)</f>
        <v>Philippines</v>
      </c>
    </row>
    <row r="4615" spans="1:8" x14ac:dyDescent="0.3">
      <c r="A4615" s="3">
        <v>46245.29315972222</v>
      </c>
      <c r="B4615" s="1">
        <v>6.37</v>
      </c>
      <c r="C4615" s="1">
        <v>5.52</v>
      </c>
      <c r="D4615" s="1">
        <v>0.54</v>
      </c>
      <c r="E4615" s="1" t="s">
        <v>113</v>
      </c>
      <c r="F4615" s="1" t="s">
        <v>113</v>
      </c>
      <c r="G4615" s="1" t="s">
        <v>113</v>
      </c>
      <c r="H4615" s="1" t="str">
        <f>VLOOKUP(F4615,Countries!$A$1:$B$161,2,0)</f>
        <v>United States of America</v>
      </c>
    </row>
    <row r="4616" spans="1:8" x14ac:dyDescent="0.3">
      <c r="A4616" s="3">
        <v>46245.293090277781</v>
      </c>
      <c r="B4616" s="1">
        <v>6.37</v>
      </c>
      <c r="C4616" s="1">
        <v>5.52</v>
      </c>
      <c r="D4616" s="1">
        <v>0.54</v>
      </c>
      <c r="E4616" s="1" t="s">
        <v>210</v>
      </c>
      <c r="F4616" s="1" t="s">
        <v>113</v>
      </c>
      <c r="G4616" s="1" t="s">
        <v>113</v>
      </c>
      <c r="H4616" s="1" t="str">
        <f>VLOOKUP(F4616,Countries!$A$1:$B$161,2,0)</f>
        <v>United States of America</v>
      </c>
    </row>
    <row r="4617" spans="1:8" x14ac:dyDescent="0.3">
      <c r="A4617" s="3">
        <v>46245.292337962957</v>
      </c>
      <c r="B4617" s="1">
        <v>6.65</v>
      </c>
      <c r="C4617" s="1">
        <v>5.76</v>
      </c>
      <c r="D4617" s="1">
        <v>0.56000000000000005</v>
      </c>
      <c r="E4617" s="1" t="s">
        <v>121</v>
      </c>
      <c r="F4617" s="1" t="s">
        <v>121</v>
      </c>
      <c r="G4617" s="1" t="s">
        <v>121</v>
      </c>
      <c r="H4617" s="1" t="str">
        <f>VLOOKUP(F4617,Countries!$A$1:$B$161,2,0)</f>
        <v>Japan</v>
      </c>
    </row>
    <row r="4618" spans="1:8" x14ac:dyDescent="0.3">
      <c r="A4618" s="3">
        <v>46245.291666666657</v>
      </c>
      <c r="B4618" s="1">
        <v>12.76</v>
      </c>
      <c r="C4618" s="1">
        <v>11.06</v>
      </c>
      <c r="D4618" s="1">
        <v>0.83</v>
      </c>
      <c r="E4618" s="1" t="s">
        <v>113</v>
      </c>
      <c r="F4618" s="1" t="s">
        <v>113</v>
      </c>
      <c r="G4618" s="1" t="s">
        <v>113</v>
      </c>
      <c r="H4618" s="1" t="str">
        <f>VLOOKUP(F4618,Countries!$A$1:$B$161,2,0)</f>
        <v>United States of America</v>
      </c>
    </row>
    <row r="4619" spans="1:8" x14ac:dyDescent="0.3">
      <c r="A4619" s="3">
        <v>46245.29078703704</v>
      </c>
      <c r="B4619" s="1">
        <v>15.95</v>
      </c>
      <c r="C4619" s="1">
        <v>13.82</v>
      </c>
      <c r="D4619" s="1">
        <v>0.98</v>
      </c>
      <c r="E4619" s="1" t="s">
        <v>113</v>
      </c>
      <c r="F4619" s="1" t="s">
        <v>113</v>
      </c>
      <c r="G4619" s="1" t="s">
        <v>113</v>
      </c>
      <c r="H4619" s="1" t="str">
        <f>VLOOKUP(F4619,Countries!$A$1:$B$161,2,0)</f>
        <v>United States of America</v>
      </c>
    </row>
    <row r="4620" spans="1:8" x14ac:dyDescent="0.3">
      <c r="A4620" s="3">
        <v>46245.287754629629</v>
      </c>
      <c r="B4620" s="1">
        <v>6.37</v>
      </c>
      <c r="C4620" s="1">
        <v>5.52</v>
      </c>
      <c r="D4620" s="1">
        <v>0.54</v>
      </c>
      <c r="E4620" s="1" t="s">
        <v>113</v>
      </c>
      <c r="F4620" s="1" t="s">
        <v>113</v>
      </c>
      <c r="G4620" s="1" t="s">
        <v>113</v>
      </c>
      <c r="H4620" s="1" t="str">
        <f>VLOOKUP(F4620,Countries!$A$1:$B$161,2,0)</f>
        <v>United States of America</v>
      </c>
    </row>
    <row r="4621" spans="1:8" x14ac:dyDescent="0.3">
      <c r="A4621" s="3">
        <v>46245.286446759259</v>
      </c>
      <c r="B4621" s="1">
        <v>6.37</v>
      </c>
      <c r="C4621" s="1">
        <v>5.52</v>
      </c>
      <c r="D4621" s="1">
        <v>0.54</v>
      </c>
      <c r="E4621" s="1" t="s">
        <v>113</v>
      </c>
      <c r="F4621" s="1" t="s">
        <v>113</v>
      </c>
      <c r="G4621" s="1" t="s">
        <v>113</v>
      </c>
      <c r="H4621" s="1" t="str">
        <f>VLOOKUP(F4621,Countries!$A$1:$B$161,2,0)</f>
        <v>United States of America</v>
      </c>
    </row>
    <row r="4622" spans="1:8" x14ac:dyDescent="0.3">
      <c r="A4622" s="3">
        <v>46245.283055555563</v>
      </c>
      <c r="B4622" s="1">
        <v>36.96</v>
      </c>
      <c r="C4622" s="1">
        <v>32.020000000000003</v>
      </c>
      <c r="D4622" s="1">
        <v>1.93</v>
      </c>
      <c r="E4622" s="1" t="s">
        <v>113</v>
      </c>
      <c r="F4622" s="1" t="s">
        <v>113</v>
      </c>
      <c r="G4622" s="1" t="s">
        <v>113</v>
      </c>
      <c r="H4622" s="1" t="str">
        <f>VLOOKUP(F4622,Countries!$A$1:$B$161,2,0)</f>
        <v>United States of America</v>
      </c>
    </row>
    <row r="4623" spans="1:8" x14ac:dyDescent="0.3">
      <c r="A4623" s="3">
        <v>46245.282569444447</v>
      </c>
      <c r="B4623" s="1">
        <v>22.18</v>
      </c>
      <c r="C4623" s="1">
        <v>19.22</v>
      </c>
      <c r="D4623" s="1">
        <v>1.25</v>
      </c>
      <c r="E4623" s="1" t="s">
        <v>113</v>
      </c>
      <c r="F4623" s="1" t="s">
        <v>113</v>
      </c>
      <c r="G4623" s="1" t="s">
        <v>113</v>
      </c>
      <c r="H4623" s="1" t="str">
        <f>VLOOKUP(F4623,Countries!$A$1:$B$161,2,0)</f>
        <v>United States of America</v>
      </c>
    </row>
    <row r="4624" spans="1:8" x14ac:dyDescent="0.3">
      <c r="A4624" s="3">
        <v>46245.282002314823</v>
      </c>
      <c r="B4624" s="1">
        <v>6.37</v>
      </c>
      <c r="C4624" s="1">
        <v>5.52</v>
      </c>
      <c r="D4624" s="1">
        <v>0.54</v>
      </c>
      <c r="E4624" s="1" t="s">
        <v>113</v>
      </c>
      <c r="F4624" s="1" t="s">
        <v>113</v>
      </c>
      <c r="G4624" s="1" t="s">
        <v>113</v>
      </c>
      <c r="H4624" s="1" t="str">
        <f>VLOOKUP(F4624,Countries!$A$1:$B$161,2,0)</f>
        <v>United States of America</v>
      </c>
    </row>
    <row r="4625" spans="1:8" x14ac:dyDescent="0.3">
      <c r="A4625" s="3">
        <v>46245.274884259263</v>
      </c>
      <c r="B4625" s="1">
        <v>14.77</v>
      </c>
      <c r="C4625" s="1">
        <v>12.8</v>
      </c>
      <c r="D4625" s="1">
        <v>0.93</v>
      </c>
      <c r="E4625" s="1" t="s">
        <v>113</v>
      </c>
      <c r="F4625" s="1" t="s">
        <v>113</v>
      </c>
      <c r="G4625" s="1" t="s">
        <v>113</v>
      </c>
      <c r="H4625" s="1" t="str">
        <f>VLOOKUP(F4625,Countries!$A$1:$B$161,2,0)</f>
        <v>United States of America</v>
      </c>
    </row>
    <row r="4626" spans="1:8" x14ac:dyDescent="0.3">
      <c r="A4626" s="3">
        <v>46245.272453703707</v>
      </c>
      <c r="B4626" s="1">
        <v>6.3</v>
      </c>
      <c r="C4626" s="1">
        <v>5.46</v>
      </c>
      <c r="D4626" s="1">
        <v>0.54</v>
      </c>
      <c r="E4626" s="1" t="s">
        <v>132</v>
      </c>
      <c r="F4626" s="1" t="s">
        <v>132</v>
      </c>
      <c r="G4626" s="1" t="s">
        <v>132</v>
      </c>
      <c r="H4626" s="1" t="str">
        <f>VLOOKUP(F4626,Countries!$A$1:$B$161,2,0)</f>
        <v>Canada</v>
      </c>
    </row>
    <row r="4627" spans="1:8" x14ac:dyDescent="0.3">
      <c r="A4627" s="3">
        <v>46245.267152777778</v>
      </c>
      <c r="B4627" s="1">
        <v>7.44</v>
      </c>
      <c r="C4627" s="1">
        <v>6.45</v>
      </c>
      <c r="D4627" s="1">
        <v>0.59</v>
      </c>
      <c r="E4627" s="1" t="s">
        <v>210</v>
      </c>
      <c r="F4627" s="1" t="s">
        <v>113</v>
      </c>
      <c r="G4627" s="1" t="s">
        <v>113</v>
      </c>
      <c r="H4627" s="1" t="str">
        <f>VLOOKUP(F4627,Countries!$A$1:$B$161,2,0)</f>
        <v>United States of America</v>
      </c>
    </row>
    <row r="4628" spans="1:8" x14ac:dyDescent="0.3">
      <c r="A4628" s="3">
        <v>46245.265949074077</v>
      </c>
      <c r="B4628" s="1">
        <v>7.44</v>
      </c>
      <c r="C4628" s="1">
        <v>6.45</v>
      </c>
      <c r="D4628" s="1">
        <v>0.59</v>
      </c>
      <c r="E4628" s="1" t="s">
        <v>210</v>
      </c>
      <c r="F4628" s="1" t="s">
        <v>113</v>
      </c>
      <c r="G4628" s="1" t="s">
        <v>113</v>
      </c>
      <c r="H4628" s="1" t="str">
        <f>VLOOKUP(F4628,Countries!$A$1:$B$161,2,0)</f>
        <v>United States of America</v>
      </c>
    </row>
    <row r="4629" spans="1:8" x14ac:dyDescent="0.3">
      <c r="A4629" s="3">
        <v>46245.265810185178</v>
      </c>
      <c r="B4629" s="1">
        <v>6.3</v>
      </c>
      <c r="C4629" s="1">
        <v>5.46</v>
      </c>
      <c r="D4629" s="1">
        <v>0.54</v>
      </c>
      <c r="E4629" s="1" t="s">
        <v>132</v>
      </c>
      <c r="F4629" s="1" t="s">
        <v>132</v>
      </c>
      <c r="G4629" s="1" t="s">
        <v>132</v>
      </c>
      <c r="H4629" s="1" t="str">
        <f>VLOOKUP(F4629,Countries!$A$1:$B$161,2,0)</f>
        <v>Canada</v>
      </c>
    </row>
    <row r="4630" spans="1:8" x14ac:dyDescent="0.3">
      <c r="A4630" s="3">
        <v>46245.265069444453</v>
      </c>
      <c r="B4630" s="1">
        <v>6.37</v>
      </c>
      <c r="C4630" s="1">
        <v>5.52</v>
      </c>
      <c r="D4630" s="1">
        <v>0.54</v>
      </c>
      <c r="E4630" s="1" t="s">
        <v>210</v>
      </c>
      <c r="F4630" s="1" t="s">
        <v>113</v>
      </c>
      <c r="G4630" s="1" t="s">
        <v>113</v>
      </c>
      <c r="H4630" s="1" t="str">
        <f>VLOOKUP(F4630,Countries!$A$1:$B$161,2,0)</f>
        <v>United States of America</v>
      </c>
    </row>
    <row r="4631" spans="1:8" x14ac:dyDescent="0.3">
      <c r="A4631" s="3">
        <v>46245.264467592591</v>
      </c>
      <c r="B4631" s="1">
        <v>6.37</v>
      </c>
      <c r="C4631" s="1">
        <v>5.52</v>
      </c>
      <c r="D4631" s="1">
        <v>0.54</v>
      </c>
      <c r="E4631" s="1" t="s">
        <v>210</v>
      </c>
      <c r="F4631" s="1" t="s">
        <v>113</v>
      </c>
      <c r="G4631" s="1" t="s">
        <v>113</v>
      </c>
      <c r="H4631" s="1" t="str">
        <f>VLOOKUP(F4631,Countries!$A$1:$B$161,2,0)</f>
        <v>United States of America</v>
      </c>
    </row>
    <row r="4632" spans="1:8" x14ac:dyDescent="0.3">
      <c r="A4632" s="3">
        <v>46245.262743055559</v>
      </c>
      <c r="B4632" s="1">
        <v>6.37</v>
      </c>
      <c r="C4632" s="1">
        <v>5.52</v>
      </c>
      <c r="D4632" s="1">
        <v>0.54</v>
      </c>
      <c r="E4632" s="1" t="s">
        <v>210</v>
      </c>
      <c r="F4632" s="1" t="s">
        <v>113</v>
      </c>
      <c r="G4632" s="1" t="s">
        <v>113</v>
      </c>
      <c r="H4632" s="1" t="str">
        <f>VLOOKUP(F4632,Countries!$A$1:$B$161,2,0)</f>
        <v>United States of America</v>
      </c>
    </row>
    <row r="4633" spans="1:8" x14ac:dyDescent="0.3">
      <c r="A4633" s="3">
        <v>46245.262638888889</v>
      </c>
      <c r="B4633" s="1">
        <v>16.34</v>
      </c>
      <c r="C4633" s="1">
        <v>14.16</v>
      </c>
      <c r="D4633" s="1">
        <v>0.99</v>
      </c>
      <c r="E4633" s="1" t="s">
        <v>160</v>
      </c>
      <c r="F4633" s="1" t="s">
        <v>160</v>
      </c>
      <c r="G4633" s="1" t="s">
        <v>160</v>
      </c>
      <c r="H4633" s="1" t="str">
        <f>VLOOKUP(F4633,Countries!$A$1:$B$161,2,0)</f>
        <v>New Zealand</v>
      </c>
    </row>
    <row r="4634" spans="1:8" x14ac:dyDescent="0.3">
      <c r="A4634" s="3">
        <v>46245.262372685182</v>
      </c>
      <c r="B4634" s="1">
        <v>6.37</v>
      </c>
      <c r="C4634" s="1">
        <v>5.52</v>
      </c>
      <c r="D4634" s="1">
        <v>0.54</v>
      </c>
      <c r="E4634" s="1" t="s">
        <v>210</v>
      </c>
      <c r="F4634" s="1" t="s">
        <v>113</v>
      </c>
      <c r="G4634" s="1" t="s">
        <v>113</v>
      </c>
      <c r="H4634" s="1" t="str">
        <f>VLOOKUP(F4634,Countries!$A$1:$B$161,2,0)</f>
        <v>United States of America</v>
      </c>
    </row>
    <row r="4635" spans="1:8" x14ac:dyDescent="0.3">
      <c r="A4635" s="3">
        <v>46245.260706018518</v>
      </c>
      <c r="B4635" s="1">
        <v>32.700000000000003</v>
      </c>
      <c r="C4635" s="1">
        <v>28.33</v>
      </c>
      <c r="D4635" s="1">
        <v>1.74</v>
      </c>
      <c r="E4635" s="1" t="s">
        <v>160</v>
      </c>
      <c r="F4635" s="1" t="s">
        <v>160</v>
      </c>
      <c r="G4635" s="1" t="s">
        <v>160</v>
      </c>
      <c r="H4635" s="1" t="str">
        <f>VLOOKUP(F4635,Countries!$A$1:$B$161,2,0)</f>
        <v>New Zealand</v>
      </c>
    </row>
    <row r="4636" spans="1:8" x14ac:dyDescent="0.3">
      <c r="A4636" s="3">
        <v>46245.260069444441</v>
      </c>
      <c r="B4636" s="1">
        <v>6.37</v>
      </c>
      <c r="C4636" s="1">
        <v>5.52</v>
      </c>
      <c r="D4636" s="1">
        <v>0.54</v>
      </c>
      <c r="E4636" s="1" t="s">
        <v>210</v>
      </c>
      <c r="F4636" s="1" t="s">
        <v>113</v>
      </c>
      <c r="G4636" s="1" t="s">
        <v>113</v>
      </c>
      <c r="H4636" s="1" t="str">
        <f>VLOOKUP(F4636,Countries!$A$1:$B$161,2,0)</f>
        <v>United States of America</v>
      </c>
    </row>
    <row r="4637" spans="1:8" x14ac:dyDescent="0.3">
      <c r="A4637" s="3">
        <v>46245.260034722232</v>
      </c>
      <c r="B4637" s="1">
        <v>9.99</v>
      </c>
      <c r="C4637" s="1">
        <v>8.66</v>
      </c>
      <c r="D4637" s="1">
        <v>0.7</v>
      </c>
      <c r="E4637" s="1" t="s">
        <v>113</v>
      </c>
      <c r="F4637" s="1" t="s">
        <v>113</v>
      </c>
      <c r="G4637" s="1" t="s">
        <v>113</v>
      </c>
      <c r="H4637" s="1" t="str">
        <f>VLOOKUP(F4637,Countries!$A$1:$B$161,2,0)</f>
        <v>United States of America</v>
      </c>
    </row>
    <row r="4638" spans="1:8" x14ac:dyDescent="0.3">
      <c r="A4638" s="3">
        <v>46245.255983796298</v>
      </c>
      <c r="B4638" s="1">
        <v>0.99</v>
      </c>
      <c r="C4638" s="1">
        <v>0.86</v>
      </c>
      <c r="D4638" s="1">
        <v>0.28000000000000003</v>
      </c>
      <c r="E4638" s="1" t="s">
        <v>151</v>
      </c>
      <c r="F4638" s="1" t="s">
        <v>151</v>
      </c>
      <c r="G4638" s="1" t="s">
        <v>151</v>
      </c>
      <c r="H4638" s="1" t="str">
        <f>VLOOKUP(F4638,Countries!$A$1:$B$161,2,0)</f>
        <v>Netherlands (Holland)</v>
      </c>
    </row>
    <row r="4639" spans="1:8" x14ac:dyDescent="0.3">
      <c r="A4639" s="3">
        <v>46245.25576388889</v>
      </c>
      <c r="B4639" s="1">
        <v>2.09</v>
      </c>
      <c r="C4639" s="1">
        <v>1.81</v>
      </c>
      <c r="D4639" s="1">
        <v>0.35</v>
      </c>
      <c r="E4639" s="1" t="s">
        <v>132</v>
      </c>
      <c r="F4639" s="1" t="s">
        <v>132</v>
      </c>
      <c r="G4639" s="1" t="s">
        <v>132</v>
      </c>
      <c r="H4639" s="1" t="str">
        <f>VLOOKUP(F4639,Countries!$A$1:$B$161,2,0)</f>
        <v>Canada</v>
      </c>
    </row>
    <row r="4640" spans="1:8" x14ac:dyDescent="0.3">
      <c r="A4640" s="3">
        <v>46245.255555555559</v>
      </c>
      <c r="B4640" s="1">
        <v>3.18</v>
      </c>
      <c r="C4640" s="1">
        <v>2.76</v>
      </c>
      <c r="D4640" s="1">
        <v>0.4</v>
      </c>
      <c r="E4640" s="1" t="s">
        <v>113</v>
      </c>
      <c r="F4640" s="1" t="s">
        <v>113</v>
      </c>
      <c r="G4640" s="1" t="s">
        <v>113</v>
      </c>
      <c r="H4640" s="1" t="str">
        <f>VLOOKUP(F4640,Countries!$A$1:$B$161,2,0)</f>
        <v>United States of America</v>
      </c>
    </row>
    <row r="4641" spans="1:8" x14ac:dyDescent="0.3">
      <c r="A4641" s="3">
        <v>46245.254016203697</v>
      </c>
      <c r="B4641" s="1">
        <v>6.3</v>
      </c>
      <c r="C4641" s="1">
        <v>5.46</v>
      </c>
      <c r="D4641" s="1">
        <v>0.54</v>
      </c>
      <c r="E4641" s="1" t="s">
        <v>132</v>
      </c>
      <c r="F4641" s="1" t="s">
        <v>132</v>
      </c>
      <c r="G4641" s="1" t="s">
        <v>132</v>
      </c>
      <c r="H4641" s="1" t="str">
        <f>VLOOKUP(F4641,Countries!$A$1:$B$161,2,0)</f>
        <v>Canada</v>
      </c>
    </row>
    <row r="4642" spans="1:8" x14ac:dyDescent="0.3">
      <c r="A4642" s="3">
        <v>46245.253159722219</v>
      </c>
      <c r="B4642" s="1">
        <v>16.34</v>
      </c>
      <c r="C4642" s="1">
        <v>14.16</v>
      </c>
      <c r="D4642" s="1">
        <v>0.99</v>
      </c>
      <c r="E4642" s="1" t="s">
        <v>160</v>
      </c>
      <c r="F4642" s="1" t="s">
        <v>160</v>
      </c>
      <c r="G4642" s="1" t="s">
        <v>160</v>
      </c>
      <c r="H4642" s="1" t="str">
        <f>VLOOKUP(F4642,Countries!$A$1:$B$161,2,0)</f>
        <v>New Zealand</v>
      </c>
    </row>
    <row r="4643" spans="1:8" x14ac:dyDescent="0.3">
      <c r="A4643" s="3">
        <v>46245.247141203698</v>
      </c>
      <c r="B4643" s="1">
        <v>10.62</v>
      </c>
      <c r="C4643" s="1">
        <v>9.1999999999999993</v>
      </c>
      <c r="D4643" s="1">
        <v>0.73</v>
      </c>
      <c r="E4643" s="1" t="s">
        <v>113</v>
      </c>
      <c r="F4643" s="1" t="s">
        <v>113</v>
      </c>
      <c r="G4643" s="1" t="s">
        <v>113</v>
      </c>
      <c r="H4643" s="1" t="str">
        <f>VLOOKUP(F4643,Countries!$A$1:$B$161,2,0)</f>
        <v>United States of America</v>
      </c>
    </row>
    <row r="4644" spans="1:8" x14ac:dyDescent="0.3">
      <c r="A4644" s="3">
        <v>46245.244398148148</v>
      </c>
      <c r="B4644" s="1">
        <v>6.37</v>
      </c>
      <c r="C4644" s="1">
        <v>5.52</v>
      </c>
      <c r="D4644" s="1">
        <v>0.54</v>
      </c>
      <c r="E4644" s="1" t="s">
        <v>183</v>
      </c>
      <c r="F4644" s="1" t="s">
        <v>183</v>
      </c>
      <c r="G4644" s="1" t="s">
        <v>183</v>
      </c>
      <c r="H4644" s="1" t="str">
        <f>VLOOKUP(F4644,Countries!$A$1:$B$161,2,0)</f>
        <v>Malaysia</v>
      </c>
    </row>
    <row r="4645" spans="1:8" x14ac:dyDescent="0.3">
      <c r="A4645" s="3">
        <v>46245.243622685193</v>
      </c>
      <c r="B4645" s="1">
        <v>16.34</v>
      </c>
      <c r="C4645" s="1">
        <v>14.16</v>
      </c>
      <c r="D4645" s="1">
        <v>0.99</v>
      </c>
      <c r="E4645" s="1" t="s">
        <v>160</v>
      </c>
      <c r="F4645" s="1" t="s">
        <v>160</v>
      </c>
      <c r="G4645" s="1" t="s">
        <v>160</v>
      </c>
      <c r="H4645" s="1" t="str">
        <f>VLOOKUP(F4645,Countries!$A$1:$B$161,2,0)</f>
        <v>New Zealand</v>
      </c>
    </row>
    <row r="4646" spans="1:8" x14ac:dyDescent="0.3">
      <c r="A4646" s="3">
        <v>46245.238657407397</v>
      </c>
      <c r="B4646" s="1">
        <v>16.34</v>
      </c>
      <c r="C4646" s="1">
        <v>14.16</v>
      </c>
      <c r="D4646" s="1">
        <v>0.99</v>
      </c>
      <c r="E4646" s="1" t="s">
        <v>160</v>
      </c>
      <c r="F4646" s="1" t="s">
        <v>160</v>
      </c>
      <c r="G4646" s="1" t="s">
        <v>160</v>
      </c>
      <c r="H4646" s="1" t="str">
        <f>VLOOKUP(F4646,Countries!$A$1:$B$161,2,0)</f>
        <v>New Zealand</v>
      </c>
    </row>
    <row r="4647" spans="1:8" x14ac:dyDescent="0.3">
      <c r="A4647" s="3">
        <v>46245.23541666667</v>
      </c>
      <c r="B4647" s="1">
        <v>17.010000000000002</v>
      </c>
      <c r="C4647" s="1">
        <v>14.74</v>
      </c>
      <c r="D4647" s="1">
        <v>1.02</v>
      </c>
      <c r="E4647" s="1" t="s">
        <v>113</v>
      </c>
      <c r="F4647" s="1" t="s">
        <v>113</v>
      </c>
      <c r="G4647" s="1" t="s">
        <v>113</v>
      </c>
      <c r="H4647" s="1" t="str">
        <f>VLOOKUP(F4647,Countries!$A$1:$B$161,2,0)</f>
        <v>United States of America</v>
      </c>
    </row>
    <row r="4648" spans="1:8" x14ac:dyDescent="0.3">
      <c r="A4648" s="3">
        <v>46245.233206018522</v>
      </c>
      <c r="B4648" s="1">
        <v>42.54</v>
      </c>
      <c r="C4648" s="1">
        <v>36.85</v>
      </c>
      <c r="D4648" s="1">
        <v>2.19</v>
      </c>
      <c r="E4648" s="1" t="s">
        <v>113</v>
      </c>
      <c r="F4648" s="1" t="s">
        <v>113</v>
      </c>
      <c r="G4648" s="1" t="s">
        <v>113</v>
      </c>
      <c r="H4648" s="1" t="str">
        <f>VLOOKUP(F4648,Countries!$A$1:$B$161,2,0)</f>
        <v>United States of America</v>
      </c>
    </row>
    <row r="4649" spans="1:8" x14ac:dyDescent="0.3">
      <c r="A4649" s="3">
        <v>46245.233078703714</v>
      </c>
      <c r="B4649" s="1">
        <v>16.34</v>
      </c>
      <c r="C4649" s="1">
        <v>14.16</v>
      </c>
      <c r="D4649" s="1">
        <v>0.99</v>
      </c>
      <c r="E4649" s="1" t="s">
        <v>160</v>
      </c>
      <c r="F4649" s="1" t="s">
        <v>160</v>
      </c>
      <c r="G4649" s="1" t="s">
        <v>160</v>
      </c>
      <c r="H4649" s="1" t="str">
        <f>VLOOKUP(F4649,Countries!$A$1:$B$161,2,0)</f>
        <v>New Zealand</v>
      </c>
    </row>
    <row r="4650" spans="1:8" x14ac:dyDescent="0.3">
      <c r="A4650" s="3">
        <v>46245.228680555563</v>
      </c>
      <c r="B4650" s="1">
        <v>2.99</v>
      </c>
      <c r="C4650" s="1">
        <v>2.59</v>
      </c>
      <c r="D4650" s="1">
        <v>0.34</v>
      </c>
      <c r="E4650" s="1" t="s">
        <v>116</v>
      </c>
      <c r="F4650" s="1" t="s">
        <v>116</v>
      </c>
      <c r="G4650" s="1" t="s">
        <v>116</v>
      </c>
      <c r="H4650" s="1" t="str">
        <f>VLOOKUP(F4650,Countries!$A$1:$B$161,2,0)</f>
        <v>Spain</v>
      </c>
    </row>
    <row r="4651" spans="1:8" x14ac:dyDescent="0.3">
      <c r="A4651" s="3">
        <v>46245.226180555554</v>
      </c>
      <c r="B4651" s="1">
        <v>16.34</v>
      </c>
      <c r="C4651" s="1">
        <v>14.16</v>
      </c>
      <c r="D4651" s="1">
        <v>0.99</v>
      </c>
      <c r="E4651" s="1" t="s">
        <v>160</v>
      </c>
      <c r="F4651" s="1" t="s">
        <v>160</v>
      </c>
      <c r="G4651" s="1" t="s">
        <v>160</v>
      </c>
      <c r="H4651" s="1" t="str">
        <f>VLOOKUP(F4651,Countries!$A$1:$B$161,2,0)</f>
        <v>New Zealand</v>
      </c>
    </row>
    <row r="4652" spans="1:8" x14ac:dyDescent="0.3">
      <c r="A4652" s="3">
        <v>46245.217083333337</v>
      </c>
      <c r="B4652" s="1">
        <v>0.99</v>
      </c>
      <c r="C4652" s="1">
        <v>0.86</v>
      </c>
      <c r="D4652" s="1">
        <v>0.3</v>
      </c>
      <c r="E4652" s="1" t="s">
        <v>113</v>
      </c>
      <c r="F4652" s="1" t="s">
        <v>113</v>
      </c>
      <c r="G4652" s="1" t="s">
        <v>113</v>
      </c>
      <c r="H4652" s="1" t="str">
        <f>VLOOKUP(F4652,Countries!$A$1:$B$161,2,0)</f>
        <v>United States of America</v>
      </c>
    </row>
    <row r="4653" spans="1:8" x14ac:dyDescent="0.3">
      <c r="A4653" s="3">
        <v>46245.211909722217</v>
      </c>
      <c r="B4653" s="1">
        <v>7.58</v>
      </c>
      <c r="C4653" s="1">
        <v>6.57</v>
      </c>
      <c r="D4653" s="1">
        <v>0.48</v>
      </c>
      <c r="E4653" s="1" t="s">
        <v>154</v>
      </c>
      <c r="F4653" s="1" t="s">
        <v>154</v>
      </c>
      <c r="G4653" s="1" t="s">
        <v>154</v>
      </c>
      <c r="H4653" s="1" t="str">
        <f>VLOOKUP(F4653,Countries!$A$1:$B$161,2,0)</f>
        <v>Belgium</v>
      </c>
    </row>
    <row r="4654" spans="1:8" x14ac:dyDescent="0.3">
      <c r="A4654" s="3">
        <v>46245.211770833332</v>
      </c>
      <c r="B4654" s="1">
        <v>6.37</v>
      </c>
      <c r="C4654" s="1">
        <v>5.52</v>
      </c>
      <c r="D4654" s="1">
        <v>0.54</v>
      </c>
      <c r="E4654" s="1" t="s">
        <v>113</v>
      </c>
      <c r="F4654" s="1" t="s">
        <v>113</v>
      </c>
      <c r="G4654" s="1" t="s">
        <v>113</v>
      </c>
      <c r="H4654" s="1" t="str">
        <f>VLOOKUP(F4654,Countries!$A$1:$B$161,2,0)</f>
        <v>United States of America</v>
      </c>
    </row>
    <row r="4655" spans="1:8" x14ac:dyDescent="0.3">
      <c r="A4655" s="3">
        <v>46245.185752314806</v>
      </c>
      <c r="B4655" s="1">
        <v>21.94</v>
      </c>
      <c r="C4655" s="1">
        <v>19.010000000000002</v>
      </c>
      <c r="D4655" s="1">
        <v>1.25</v>
      </c>
      <c r="E4655" s="1" t="s">
        <v>132</v>
      </c>
      <c r="F4655" s="1" t="s">
        <v>132</v>
      </c>
      <c r="G4655" s="1" t="s">
        <v>132</v>
      </c>
      <c r="H4655" s="1" t="str">
        <f>VLOOKUP(F4655,Countries!$A$1:$B$161,2,0)</f>
        <v>Canada</v>
      </c>
    </row>
    <row r="4656" spans="1:8" x14ac:dyDescent="0.3">
      <c r="A4656" s="3">
        <v>46245.184039351851</v>
      </c>
      <c r="B4656" s="1">
        <v>10.62</v>
      </c>
      <c r="C4656" s="1">
        <v>9.1999999999999993</v>
      </c>
      <c r="D4656" s="1">
        <v>0.73</v>
      </c>
      <c r="E4656" s="1" t="s">
        <v>210</v>
      </c>
      <c r="F4656" s="1" t="s">
        <v>113</v>
      </c>
      <c r="G4656" s="1" t="s">
        <v>113</v>
      </c>
      <c r="H4656" s="1" t="str">
        <f>VLOOKUP(F4656,Countries!$A$1:$B$161,2,0)</f>
        <v>United States of America</v>
      </c>
    </row>
    <row r="4657" spans="1:8" x14ac:dyDescent="0.3">
      <c r="A4657" s="3">
        <v>46245.182951388888</v>
      </c>
      <c r="B4657" s="1">
        <v>42.54</v>
      </c>
      <c r="C4657" s="1">
        <v>36.85</v>
      </c>
      <c r="D4657" s="1">
        <v>2.19</v>
      </c>
      <c r="E4657" s="1" t="s">
        <v>113</v>
      </c>
      <c r="F4657" s="1" t="s">
        <v>113</v>
      </c>
      <c r="G4657" s="1" t="s">
        <v>113</v>
      </c>
      <c r="H4657" s="1" t="str">
        <f>VLOOKUP(F4657,Countries!$A$1:$B$161,2,0)</f>
        <v>United States of America</v>
      </c>
    </row>
    <row r="4658" spans="1:8" x14ac:dyDescent="0.3">
      <c r="A4658" s="3">
        <v>46245.18273148148</v>
      </c>
      <c r="B4658" s="1">
        <v>6.3</v>
      </c>
      <c r="C4658" s="1">
        <v>5.46</v>
      </c>
      <c r="D4658" s="1">
        <v>0.54</v>
      </c>
      <c r="E4658" s="1" t="s">
        <v>132</v>
      </c>
      <c r="F4658" s="1" t="s">
        <v>132</v>
      </c>
      <c r="G4658" s="1" t="s">
        <v>132</v>
      </c>
      <c r="H4658" s="1" t="str">
        <f>VLOOKUP(F4658,Countries!$A$1:$B$161,2,0)</f>
        <v>Canada</v>
      </c>
    </row>
    <row r="4659" spans="1:8" x14ac:dyDescent="0.3">
      <c r="A4659" s="3">
        <v>46245.175937499997</v>
      </c>
      <c r="B4659" s="1">
        <v>6.37</v>
      </c>
      <c r="C4659" s="1">
        <v>5.52</v>
      </c>
      <c r="D4659" s="1">
        <v>0.54</v>
      </c>
      <c r="E4659" s="1" t="s">
        <v>113</v>
      </c>
      <c r="F4659" s="1" t="s">
        <v>113</v>
      </c>
      <c r="G4659" s="1" t="s">
        <v>113</v>
      </c>
      <c r="H4659" s="1" t="str">
        <f>VLOOKUP(F4659,Countries!$A$1:$B$161,2,0)</f>
        <v>United States of America</v>
      </c>
    </row>
    <row r="4660" spans="1:8" x14ac:dyDescent="0.3">
      <c r="A4660" s="3">
        <v>46245.175462962958</v>
      </c>
      <c r="B4660" s="1">
        <v>2.11</v>
      </c>
      <c r="C4660" s="1">
        <v>1.83</v>
      </c>
      <c r="D4660" s="1">
        <v>0.35</v>
      </c>
      <c r="E4660" s="1" t="s">
        <v>113</v>
      </c>
      <c r="F4660" s="1" t="s">
        <v>113</v>
      </c>
      <c r="G4660" s="1" t="s">
        <v>113</v>
      </c>
      <c r="H4660" s="1" t="str">
        <f>VLOOKUP(F4660,Countries!$A$1:$B$161,2,0)</f>
        <v>United States of America</v>
      </c>
    </row>
    <row r="4661" spans="1:8" x14ac:dyDescent="0.3">
      <c r="A4661" s="3">
        <v>46245.169363425928</v>
      </c>
      <c r="B4661" s="1">
        <v>6.65</v>
      </c>
      <c r="C4661" s="1">
        <v>5.76</v>
      </c>
      <c r="D4661" s="1">
        <v>0.56000000000000005</v>
      </c>
      <c r="E4661" s="1" t="s">
        <v>130</v>
      </c>
      <c r="F4661" s="1" t="s">
        <v>130</v>
      </c>
      <c r="G4661" s="1" t="s">
        <v>130</v>
      </c>
      <c r="H4661" s="1" t="str">
        <f>VLOOKUP(F4661,Countries!$A$1:$B$161,2,0)</f>
        <v>Australia</v>
      </c>
    </row>
    <row r="4662" spans="1:8" x14ac:dyDescent="0.3">
      <c r="A4662" s="3">
        <v>46245.168124999997</v>
      </c>
      <c r="B4662" s="1">
        <v>2.99</v>
      </c>
      <c r="C4662" s="1">
        <v>2.59</v>
      </c>
      <c r="D4662" s="1">
        <v>0.38</v>
      </c>
      <c r="E4662" s="1" t="s">
        <v>217</v>
      </c>
      <c r="F4662" s="1" t="s">
        <v>217</v>
      </c>
      <c r="G4662" s="1" t="s">
        <v>217</v>
      </c>
      <c r="H4662" s="1" t="str">
        <f>VLOOKUP(F4662,Countries!$A$1:$B$161,2,0)</f>
        <v>Panama</v>
      </c>
    </row>
    <row r="4663" spans="1:8" x14ac:dyDescent="0.3">
      <c r="A4663" s="3">
        <v>46245.166354166657</v>
      </c>
      <c r="B4663" s="1">
        <v>6.37</v>
      </c>
      <c r="C4663" s="1">
        <v>5.52</v>
      </c>
      <c r="D4663" s="1">
        <v>0.54</v>
      </c>
      <c r="E4663" s="1" t="s">
        <v>113</v>
      </c>
      <c r="F4663" s="1" t="s">
        <v>113</v>
      </c>
      <c r="G4663" s="1" t="s">
        <v>113</v>
      </c>
      <c r="H4663" s="1" t="str">
        <f>VLOOKUP(F4663,Countries!$A$1:$B$161,2,0)</f>
        <v>United States of America</v>
      </c>
    </row>
    <row r="4664" spans="1:8" x14ac:dyDescent="0.3">
      <c r="A4664" s="3">
        <v>46245.165844907409</v>
      </c>
      <c r="B4664" s="1">
        <v>5.99</v>
      </c>
      <c r="C4664" s="1">
        <v>5.19</v>
      </c>
      <c r="D4664" s="1">
        <v>0.52</v>
      </c>
      <c r="E4664" s="1" t="s">
        <v>135</v>
      </c>
      <c r="F4664" s="1" t="s">
        <v>135</v>
      </c>
      <c r="G4664" s="1" t="s">
        <v>135</v>
      </c>
      <c r="H4664" s="1" t="str">
        <f>VLOOKUP(F4664,Countries!$A$1:$B$161,2,0)</f>
        <v>Kuwait</v>
      </c>
    </row>
    <row r="4665" spans="1:8" x14ac:dyDescent="0.3">
      <c r="A4665" s="3">
        <v>46245.153136574067</v>
      </c>
      <c r="B4665" s="1">
        <v>3.73</v>
      </c>
      <c r="C4665" s="1">
        <v>3.23</v>
      </c>
      <c r="D4665" s="1">
        <v>0.39</v>
      </c>
      <c r="E4665" s="1" t="s">
        <v>119</v>
      </c>
      <c r="F4665" s="1" t="s">
        <v>119</v>
      </c>
      <c r="G4665" s="1" t="s">
        <v>119</v>
      </c>
      <c r="H4665" s="1" t="str">
        <f>VLOOKUP(F4665,Countries!$A$1:$B$161,2,0)</f>
        <v>Great Britain (United Kingdom)</v>
      </c>
    </row>
    <row r="4666" spans="1:8" x14ac:dyDescent="0.3">
      <c r="A4666" s="3">
        <v>46245.152488425927</v>
      </c>
      <c r="B4666" s="1">
        <v>16.34</v>
      </c>
      <c r="C4666" s="1">
        <v>14.16</v>
      </c>
      <c r="D4666" s="1">
        <v>0.99</v>
      </c>
      <c r="E4666" s="1" t="s">
        <v>160</v>
      </c>
      <c r="F4666" s="1" t="s">
        <v>160</v>
      </c>
      <c r="G4666" s="1" t="s">
        <v>160</v>
      </c>
      <c r="H4666" s="1" t="str">
        <f>VLOOKUP(F4666,Countries!$A$1:$B$161,2,0)</f>
        <v>New Zealand</v>
      </c>
    </row>
    <row r="4667" spans="1:8" x14ac:dyDescent="0.3">
      <c r="A4667" s="3">
        <v>46245.149733796286</v>
      </c>
      <c r="B4667" s="1">
        <v>89.94</v>
      </c>
      <c r="C4667" s="1">
        <v>77.94</v>
      </c>
      <c r="D4667" s="1">
        <v>4.34</v>
      </c>
      <c r="E4667" s="1" t="s">
        <v>160</v>
      </c>
      <c r="F4667" s="1" t="s">
        <v>160</v>
      </c>
      <c r="G4667" s="1" t="s">
        <v>160</v>
      </c>
      <c r="H4667" s="1" t="str">
        <f>VLOOKUP(F4667,Countries!$A$1:$B$161,2,0)</f>
        <v>New Zealand</v>
      </c>
    </row>
    <row r="4668" spans="1:8" x14ac:dyDescent="0.3">
      <c r="A4668" s="3">
        <v>46245.144988425927</v>
      </c>
      <c r="B4668" s="1">
        <v>16.34</v>
      </c>
      <c r="C4668" s="1">
        <v>14.16</v>
      </c>
      <c r="D4668" s="1">
        <v>0.99</v>
      </c>
      <c r="E4668" s="1" t="s">
        <v>160</v>
      </c>
      <c r="F4668" s="1" t="s">
        <v>160</v>
      </c>
      <c r="G4668" s="1" t="s">
        <v>160</v>
      </c>
      <c r="H4668" s="1" t="str">
        <f>VLOOKUP(F4668,Countries!$A$1:$B$161,2,0)</f>
        <v>New Zealand</v>
      </c>
    </row>
    <row r="4669" spans="1:8" x14ac:dyDescent="0.3">
      <c r="A4669" s="3">
        <v>46245.144201388888</v>
      </c>
      <c r="B4669" s="1">
        <v>7.21</v>
      </c>
      <c r="C4669" s="1">
        <v>6.25</v>
      </c>
      <c r="D4669" s="1">
        <v>0.57999999999999996</v>
      </c>
      <c r="E4669" s="1" t="s">
        <v>165</v>
      </c>
      <c r="F4669" s="1" t="s">
        <v>165</v>
      </c>
      <c r="G4669" s="1" t="s">
        <v>165</v>
      </c>
      <c r="H4669" s="1" t="str">
        <f>VLOOKUP(F4669,Countries!$A$1:$B$161,2,0)</f>
        <v>Israel</v>
      </c>
    </row>
    <row r="4670" spans="1:8" x14ac:dyDescent="0.3">
      <c r="A4670" s="3">
        <v>46245.134606481479</v>
      </c>
      <c r="B4670" s="1">
        <v>16.34</v>
      </c>
      <c r="C4670" s="1">
        <v>14.16</v>
      </c>
      <c r="D4670" s="1">
        <v>0.99</v>
      </c>
      <c r="E4670" s="1" t="s">
        <v>160</v>
      </c>
      <c r="F4670" s="1" t="s">
        <v>160</v>
      </c>
      <c r="G4670" s="1" t="s">
        <v>160</v>
      </c>
      <c r="H4670" s="1" t="str">
        <f>VLOOKUP(F4670,Countries!$A$1:$B$161,2,0)</f>
        <v>New Zealand</v>
      </c>
    </row>
    <row r="4671" spans="1:8" x14ac:dyDescent="0.3">
      <c r="A4671" s="3">
        <v>46245.134432870371</v>
      </c>
      <c r="B4671" s="1">
        <v>122.64</v>
      </c>
      <c r="C4671" s="1">
        <v>106.27</v>
      </c>
      <c r="D4671" s="1">
        <v>5.83</v>
      </c>
      <c r="E4671" s="1" t="s">
        <v>160</v>
      </c>
      <c r="F4671" s="1" t="s">
        <v>160</v>
      </c>
      <c r="G4671" s="1" t="s">
        <v>160</v>
      </c>
      <c r="H4671" s="1" t="str">
        <f>VLOOKUP(F4671,Countries!$A$1:$B$161,2,0)</f>
        <v>New Zealand</v>
      </c>
    </row>
    <row r="4672" spans="1:8" x14ac:dyDescent="0.3">
      <c r="A4672" s="3">
        <v>46245.131319444437</v>
      </c>
      <c r="B4672" s="1">
        <v>6.37</v>
      </c>
      <c r="C4672" s="1">
        <v>5.52</v>
      </c>
      <c r="D4672" s="1">
        <v>0.54</v>
      </c>
      <c r="E4672" s="1" t="s">
        <v>183</v>
      </c>
      <c r="F4672" s="1" t="s">
        <v>183</v>
      </c>
      <c r="G4672" s="1" t="s">
        <v>183</v>
      </c>
      <c r="H4672" s="1" t="str">
        <f>VLOOKUP(F4672,Countries!$A$1:$B$161,2,0)</f>
        <v>Malaysia</v>
      </c>
    </row>
    <row r="4673" spans="1:8" x14ac:dyDescent="0.3">
      <c r="A4673" s="3">
        <v>46245.124618055554</v>
      </c>
      <c r="B4673" s="1">
        <v>2.99</v>
      </c>
      <c r="C4673" s="1">
        <v>2.59</v>
      </c>
      <c r="D4673" s="1">
        <v>0.38</v>
      </c>
      <c r="E4673" s="1" t="s">
        <v>113</v>
      </c>
      <c r="F4673" s="1" t="s">
        <v>163</v>
      </c>
      <c r="G4673" s="1" t="s">
        <v>163</v>
      </c>
      <c r="H4673" s="1" t="str">
        <f>VLOOKUP(F4673,Countries!$A$1:$B$161,2,0)</f>
        <v>Saudi Arabia</v>
      </c>
    </row>
    <row r="4674" spans="1:8" x14ac:dyDescent="0.3">
      <c r="A4674" s="3">
        <v>46245.119780092587</v>
      </c>
      <c r="B4674" s="1">
        <v>3.98</v>
      </c>
      <c r="C4674" s="1">
        <v>3.45</v>
      </c>
      <c r="D4674" s="1">
        <v>0.37</v>
      </c>
      <c r="E4674" s="1" t="s">
        <v>172</v>
      </c>
      <c r="F4674" s="1" t="s">
        <v>172</v>
      </c>
      <c r="G4674" s="1" t="s">
        <v>172</v>
      </c>
      <c r="H4674" s="1" t="str">
        <f>VLOOKUP(F4674,Countries!$A$1:$B$161,2,0)</f>
        <v>Croatia</v>
      </c>
    </row>
    <row r="4675" spans="1:8" x14ac:dyDescent="0.3">
      <c r="A4675" s="3">
        <v>46245.112557870372</v>
      </c>
      <c r="B4675" s="1">
        <v>16.350000000000001</v>
      </c>
      <c r="C4675" s="1">
        <v>14.16</v>
      </c>
      <c r="D4675" s="1">
        <v>0.99</v>
      </c>
      <c r="E4675" s="1" t="s">
        <v>160</v>
      </c>
      <c r="F4675" s="1" t="s">
        <v>160</v>
      </c>
      <c r="G4675" s="1" t="s">
        <v>160</v>
      </c>
      <c r="H4675" s="1" t="str">
        <f>VLOOKUP(F4675,Countries!$A$1:$B$161,2,0)</f>
        <v>New Zealand</v>
      </c>
    </row>
    <row r="4676" spans="1:8" x14ac:dyDescent="0.3">
      <c r="A4676" s="3">
        <v>46245.11037037037</v>
      </c>
      <c r="B4676" s="1">
        <v>16.350000000000001</v>
      </c>
      <c r="C4676" s="1">
        <v>14.16</v>
      </c>
      <c r="D4676" s="1">
        <v>0.99</v>
      </c>
      <c r="E4676" s="1" t="s">
        <v>160</v>
      </c>
      <c r="F4676" s="1" t="s">
        <v>160</v>
      </c>
      <c r="G4676" s="1" t="s">
        <v>160</v>
      </c>
      <c r="H4676" s="1" t="str">
        <f>VLOOKUP(F4676,Countries!$A$1:$B$161,2,0)</f>
        <v>New Zealand</v>
      </c>
    </row>
    <row r="4677" spans="1:8" x14ac:dyDescent="0.3">
      <c r="A4677" s="3">
        <v>46245.109756944446</v>
      </c>
      <c r="B4677" s="1">
        <v>6.37</v>
      </c>
      <c r="C4677" s="1">
        <v>5.52</v>
      </c>
      <c r="D4677" s="1">
        <v>0.54</v>
      </c>
      <c r="E4677" s="1" t="s">
        <v>113</v>
      </c>
      <c r="F4677" s="1" t="s">
        <v>113</v>
      </c>
      <c r="G4677" s="1" t="s">
        <v>113</v>
      </c>
      <c r="H4677" s="1" t="str">
        <f>VLOOKUP(F4677,Countries!$A$1:$B$161,2,0)</f>
        <v>United States of America</v>
      </c>
    </row>
    <row r="4678" spans="1:8" x14ac:dyDescent="0.3">
      <c r="A4678" s="3">
        <v>46245.102210648147</v>
      </c>
      <c r="B4678" s="1">
        <v>6.37</v>
      </c>
      <c r="C4678" s="1">
        <v>5.52</v>
      </c>
      <c r="D4678" s="1">
        <v>0.54</v>
      </c>
      <c r="E4678" s="1" t="s">
        <v>113</v>
      </c>
      <c r="F4678" s="1" t="s">
        <v>113</v>
      </c>
      <c r="G4678" s="1" t="s">
        <v>113</v>
      </c>
      <c r="H4678" s="1" t="str">
        <f>VLOOKUP(F4678,Countries!$A$1:$B$161,2,0)</f>
        <v>United States of America</v>
      </c>
    </row>
    <row r="4679" spans="1:8" x14ac:dyDescent="0.3">
      <c r="A4679" s="3">
        <v>46245.100729166668</v>
      </c>
      <c r="B4679" s="1">
        <v>2.99</v>
      </c>
      <c r="C4679" s="1">
        <v>2.59</v>
      </c>
      <c r="D4679" s="1">
        <v>0.38</v>
      </c>
      <c r="E4679" s="1" t="s">
        <v>113</v>
      </c>
      <c r="F4679" s="1" t="s">
        <v>113</v>
      </c>
      <c r="G4679" s="1" t="s">
        <v>113</v>
      </c>
      <c r="H4679" s="1" t="str">
        <f>VLOOKUP(F4679,Countries!$A$1:$B$161,2,0)</f>
        <v>United States of America</v>
      </c>
    </row>
    <row r="4680" spans="1:8" x14ac:dyDescent="0.3">
      <c r="A4680" s="3">
        <v>46245.095914351848</v>
      </c>
      <c r="B4680" s="1">
        <v>6.37</v>
      </c>
      <c r="C4680" s="1">
        <v>5.52</v>
      </c>
      <c r="D4680" s="1">
        <v>0.54</v>
      </c>
      <c r="E4680" s="1" t="s">
        <v>113</v>
      </c>
      <c r="F4680" s="1" t="s">
        <v>113</v>
      </c>
      <c r="G4680" s="1" t="s">
        <v>113</v>
      </c>
      <c r="H4680" s="1" t="str">
        <f>VLOOKUP(F4680,Countries!$A$1:$B$161,2,0)</f>
        <v>United States of America</v>
      </c>
    </row>
    <row r="4681" spans="1:8" x14ac:dyDescent="0.3">
      <c r="A4681" s="3">
        <v>46245.093275462961</v>
      </c>
      <c r="B4681" s="1">
        <v>7.21</v>
      </c>
      <c r="C4681" s="1">
        <v>6.24</v>
      </c>
      <c r="D4681" s="1">
        <v>0.56999999999999995</v>
      </c>
      <c r="E4681" s="1" t="s">
        <v>165</v>
      </c>
      <c r="F4681" s="1" t="s">
        <v>165</v>
      </c>
      <c r="G4681" s="1" t="s">
        <v>165</v>
      </c>
      <c r="H4681" s="1" t="str">
        <f>VLOOKUP(F4681,Countries!$A$1:$B$161,2,0)</f>
        <v>Israel</v>
      </c>
    </row>
    <row r="4682" spans="1:8" x14ac:dyDescent="0.3">
      <c r="A4682" s="3">
        <v>46245.084027777782</v>
      </c>
      <c r="B4682" s="1">
        <v>3.73</v>
      </c>
      <c r="C4682" s="1">
        <v>3.23</v>
      </c>
      <c r="D4682" s="1">
        <v>0.36</v>
      </c>
      <c r="E4682" s="1" t="s">
        <v>123</v>
      </c>
      <c r="F4682" s="1" t="s">
        <v>123</v>
      </c>
      <c r="G4682" s="1" t="s">
        <v>123</v>
      </c>
      <c r="H4682" s="1" t="str">
        <f>VLOOKUP(F4682,Countries!$A$1:$B$161,2,0)</f>
        <v>France</v>
      </c>
    </row>
    <row r="4683" spans="1:8" x14ac:dyDescent="0.3">
      <c r="A4683" s="3">
        <v>46245.082569444443</v>
      </c>
      <c r="B4683" s="1">
        <v>6.37</v>
      </c>
      <c r="C4683" s="1">
        <v>5.52</v>
      </c>
      <c r="D4683" s="1">
        <v>0.54</v>
      </c>
      <c r="E4683" s="1" t="s">
        <v>113</v>
      </c>
      <c r="F4683" s="1" t="s">
        <v>113</v>
      </c>
      <c r="G4683" s="1" t="s">
        <v>113</v>
      </c>
      <c r="H4683" s="1" t="str">
        <f>VLOOKUP(F4683,Countries!$A$1:$B$161,2,0)</f>
        <v>United States of America</v>
      </c>
    </row>
    <row r="4684" spans="1:8" x14ac:dyDescent="0.3">
      <c r="A4684" s="3">
        <v>46245.079687500001</v>
      </c>
      <c r="B4684" s="1">
        <v>36.96</v>
      </c>
      <c r="C4684" s="1">
        <v>32.01</v>
      </c>
      <c r="D4684" s="1">
        <v>1.93</v>
      </c>
      <c r="E4684" s="1" t="s">
        <v>113</v>
      </c>
      <c r="F4684" s="1" t="s">
        <v>113</v>
      </c>
      <c r="G4684" s="1" t="s">
        <v>113</v>
      </c>
      <c r="H4684" s="1" t="str">
        <f>VLOOKUP(F4684,Countries!$A$1:$B$161,2,0)</f>
        <v>United States of America</v>
      </c>
    </row>
    <row r="4685" spans="1:8" x14ac:dyDescent="0.3">
      <c r="A4685" s="3">
        <v>46245.0783912037</v>
      </c>
      <c r="B4685" s="1">
        <v>6.37</v>
      </c>
      <c r="C4685" s="1">
        <v>5.52</v>
      </c>
      <c r="D4685" s="1">
        <v>0.54</v>
      </c>
      <c r="E4685" s="1" t="s">
        <v>113</v>
      </c>
      <c r="F4685" s="1" t="s">
        <v>113</v>
      </c>
      <c r="G4685" s="1" t="s">
        <v>113</v>
      </c>
      <c r="H4685" s="1" t="str">
        <f>VLOOKUP(F4685,Countries!$A$1:$B$161,2,0)</f>
        <v>United States of America</v>
      </c>
    </row>
    <row r="4686" spans="1:8" x14ac:dyDescent="0.3">
      <c r="A4686" s="3">
        <v>46245.054583333331</v>
      </c>
      <c r="B4686" s="1">
        <v>6.37</v>
      </c>
      <c r="C4686" s="1">
        <v>5.52</v>
      </c>
      <c r="D4686" s="1">
        <v>0.54</v>
      </c>
      <c r="E4686" s="1" t="s">
        <v>113</v>
      </c>
      <c r="F4686" s="1" t="s">
        <v>113</v>
      </c>
      <c r="G4686" s="1" t="s">
        <v>113</v>
      </c>
      <c r="H4686" s="1" t="str">
        <f>VLOOKUP(F4686,Countries!$A$1:$B$161,2,0)</f>
        <v>United States of America</v>
      </c>
    </row>
    <row r="4687" spans="1:8" x14ac:dyDescent="0.3">
      <c r="A4687" s="3">
        <v>46245.05060185185</v>
      </c>
      <c r="B4687" s="1">
        <v>3.18</v>
      </c>
      <c r="C4687" s="1">
        <v>2.75</v>
      </c>
      <c r="D4687" s="1">
        <v>0.4</v>
      </c>
      <c r="E4687" s="1" t="s">
        <v>113</v>
      </c>
      <c r="F4687" s="1" t="s">
        <v>113</v>
      </c>
      <c r="G4687" s="1" t="s">
        <v>113</v>
      </c>
      <c r="H4687" s="1" t="str">
        <f>VLOOKUP(F4687,Countries!$A$1:$B$161,2,0)</f>
        <v>United States of America</v>
      </c>
    </row>
    <row r="4688" spans="1:8" x14ac:dyDescent="0.3">
      <c r="A4688" s="3">
        <v>46245.046157407407</v>
      </c>
      <c r="B4688" s="1">
        <v>6.37</v>
      </c>
      <c r="C4688" s="1">
        <v>5.52</v>
      </c>
      <c r="D4688" s="1">
        <v>0.54</v>
      </c>
      <c r="E4688" s="1" t="s">
        <v>113</v>
      </c>
      <c r="F4688" s="1" t="s">
        <v>113</v>
      </c>
      <c r="G4688" s="1" t="s">
        <v>113</v>
      </c>
      <c r="H4688" s="1" t="str">
        <f>VLOOKUP(F4688,Countries!$A$1:$B$161,2,0)</f>
        <v>United States of America</v>
      </c>
    </row>
    <row r="4689" spans="1:8" x14ac:dyDescent="0.3">
      <c r="A4689" s="3">
        <v>46245.04478009259</v>
      </c>
      <c r="B4689" s="1">
        <v>3.88</v>
      </c>
      <c r="C4689" s="1">
        <v>3.36</v>
      </c>
      <c r="D4689" s="1">
        <v>0.37</v>
      </c>
      <c r="E4689" s="1" t="s">
        <v>117</v>
      </c>
      <c r="F4689" s="1" t="s">
        <v>117</v>
      </c>
      <c r="G4689" s="1" t="s">
        <v>117</v>
      </c>
      <c r="H4689" s="1" t="str">
        <f>VLOOKUP(F4689,Countries!$A$1:$B$161,2,0)</f>
        <v>Slovak Republic</v>
      </c>
    </row>
    <row r="4690" spans="1:8" x14ac:dyDescent="0.3">
      <c r="A4690" s="3">
        <v>46245.041631944441</v>
      </c>
      <c r="B4690" s="1">
        <v>6.37</v>
      </c>
      <c r="C4690" s="1">
        <v>5.52</v>
      </c>
      <c r="D4690" s="1">
        <v>0.54</v>
      </c>
      <c r="E4690" s="1" t="s">
        <v>113</v>
      </c>
      <c r="F4690" s="1" t="s">
        <v>113</v>
      </c>
      <c r="G4690" s="1" t="s">
        <v>113</v>
      </c>
      <c r="H4690" s="1" t="str">
        <f>VLOOKUP(F4690,Countries!$A$1:$B$161,2,0)</f>
        <v>United States of America</v>
      </c>
    </row>
    <row r="4691" spans="1:8" x14ac:dyDescent="0.3">
      <c r="A4691" s="3">
        <v>46245.035937499997</v>
      </c>
      <c r="B4691" s="1">
        <v>16.350000000000001</v>
      </c>
      <c r="C4691" s="1">
        <v>14.16</v>
      </c>
      <c r="D4691" s="1">
        <v>0.99</v>
      </c>
      <c r="E4691" s="1" t="s">
        <v>160</v>
      </c>
      <c r="F4691" s="1" t="s">
        <v>160</v>
      </c>
      <c r="G4691" s="1" t="s">
        <v>160</v>
      </c>
      <c r="H4691" s="1" t="str">
        <f>VLOOKUP(F4691,Countries!$A$1:$B$161,2,0)</f>
        <v>New Zealand</v>
      </c>
    </row>
    <row r="4692" spans="1:8" x14ac:dyDescent="0.3">
      <c r="A4692" s="3">
        <v>46245.034895833327</v>
      </c>
      <c r="B4692" s="1">
        <v>16.350000000000001</v>
      </c>
      <c r="C4692" s="1">
        <v>14.16</v>
      </c>
      <c r="D4692" s="1">
        <v>0.99</v>
      </c>
      <c r="E4692" s="1" t="s">
        <v>160</v>
      </c>
      <c r="F4692" s="1" t="s">
        <v>160</v>
      </c>
      <c r="G4692" s="1" t="s">
        <v>160</v>
      </c>
      <c r="H4692" s="1" t="str">
        <f>VLOOKUP(F4692,Countries!$A$1:$B$161,2,0)</f>
        <v>New Zealand</v>
      </c>
    </row>
    <row r="4693" spans="1:8" x14ac:dyDescent="0.3">
      <c r="A4693" s="3">
        <v>46245.032685185193</v>
      </c>
      <c r="B4693" s="1">
        <v>65.28</v>
      </c>
      <c r="C4693" s="1">
        <v>56.54</v>
      </c>
      <c r="D4693" s="1">
        <v>3.22</v>
      </c>
      <c r="E4693" s="1" t="s">
        <v>160</v>
      </c>
      <c r="F4693" s="1" t="s">
        <v>160</v>
      </c>
      <c r="G4693" s="1" t="s">
        <v>160</v>
      </c>
      <c r="H4693" s="1" t="str">
        <f>VLOOKUP(F4693,Countries!$A$1:$B$161,2,0)</f>
        <v>New Zealand</v>
      </c>
    </row>
    <row r="4694" spans="1:8" x14ac:dyDescent="0.3">
      <c r="A4694" s="3">
        <v>46245.028240740743</v>
      </c>
      <c r="B4694" s="1">
        <v>16.34</v>
      </c>
      <c r="C4694" s="1">
        <v>14.15</v>
      </c>
      <c r="D4694" s="1">
        <v>0.99</v>
      </c>
      <c r="E4694" s="1" t="s">
        <v>160</v>
      </c>
      <c r="F4694" s="1" t="s">
        <v>160</v>
      </c>
      <c r="G4694" s="1" t="s">
        <v>160</v>
      </c>
      <c r="H4694" s="1" t="str">
        <f>VLOOKUP(F4694,Countries!$A$1:$B$161,2,0)</f>
        <v>New Zealand</v>
      </c>
    </row>
    <row r="4695" spans="1:8" x14ac:dyDescent="0.3">
      <c r="A4695" s="3">
        <v>46245.028020833342</v>
      </c>
      <c r="B4695" s="1">
        <v>7.58</v>
      </c>
      <c r="C4695" s="1">
        <v>6.57</v>
      </c>
      <c r="D4695" s="1">
        <v>0.48</v>
      </c>
      <c r="E4695" s="1" t="s">
        <v>116</v>
      </c>
      <c r="F4695" s="1" t="s">
        <v>116</v>
      </c>
      <c r="G4695" s="1" t="s">
        <v>116</v>
      </c>
      <c r="H4695" s="1" t="str">
        <f>VLOOKUP(F4695,Countries!$A$1:$B$161,2,0)</f>
        <v>Spain</v>
      </c>
    </row>
    <row r="4696" spans="1:8" x14ac:dyDescent="0.3">
      <c r="A4696" s="3">
        <v>46245.025925925933</v>
      </c>
      <c r="B4696" s="1">
        <v>49.05</v>
      </c>
      <c r="C4696" s="1">
        <v>42.49</v>
      </c>
      <c r="D4696" s="1">
        <v>2.48</v>
      </c>
      <c r="E4696" s="1" t="s">
        <v>160</v>
      </c>
      <c r="F4696" s="1" t="s">
        <v>160</v>
      </c>
      <c r="G4696" s="1" t="s">
        <v>160</v>
      </c>
      <c r="H4696" s="1" t="str">
        <f>VLOOKUP(F4696,Countries!$A$1:$B$161,2,0)</f>
        <v>New Zealand</v>
      </c>
    </row>
    <row r="4697" spans="1:8" x14ac:dyDescent="0.3">
      <c r="A4697" s="3">
        <v>46245.025520833333</v>
      </c>
      <c r="B4697" s="1">
        <v>65.28</v>
      </c>
      <c r="C4697" s="1">
        <v>56.54</v>
      </c>
      <c r="D4697" s="1">
        <v>3.22</v>
      </c>
      <c r="E4697" s="1" t="s">
        <v>160</v>
      </c>
      <c r="F4697" s="1" t="s">
        <v>160</v>
      </c>
      <c r="G4697" s="1" t="s">
        <v>160</v>
      </c>
      <c r="H4697" s="1" t="str">
        <f>VLOOKUP(F4697,Countries!$A$1:$B$161,2,0)</f>
        <v>New Zealand</v>
      </c>
    </row>
    <row r="4698" spans="1:8" x14ac:dyDescent="0.3">
      <c r="A4698" s="3">
        <v>46245.02239583333</v>
      </c>
      <c r="B4698" s="1">
        <v>6.37</v>
      </c>
      <c r="C4698" s="1">
        <v>5.52</v>
      </c>
      <c r="D4698" s="1">
        <v>0.54</v>
      </c>
      <c r="E4698" s="1" t="s">
        <v>113</v>
      </c>
      <c r="F4698" s="1" t="s">
        <v>113</v>
      </c>
      <c r="G4698" s="1" t="s">
        <v>113</v>
      </c>
      <c r="H4698" s="1" t="str">
        <f>VLOOKUP(F4698,Countries!$A$1:$B$161,2,0)</f>
        <v>United States of America</v>
      </c>
    </row>
    <row r="4699" spans="1:8" x14ac:dyDescent="0.3">
      <c r="A4699" s="3">
        <v>46245.018761574072</v>
      </c>
      <c r="B4699" s="1">
        <v>6.37</v>
      </c>
      <c r="C4699" s="1">
        <v>5.52</v>
      </c>
      <c r="D4699" s="1">
        <v>0.54</v>
      </c>
      <c r="E4699" s="1" t="s">
        <v>113</v>
      </c>
      <c r="F4699" s="1" t="s">
        <v>113</v>
      </c>
      <c r="G4699" s="1" t="s">
        <v>113</v>
      </c>
      <c r="H4699" s="1" t="str">
        <f>VLOOKUP(F4699,Countries!$A$1:$B$161,2,0)</f>
        <v>United States of America</v>
      </c>
    </row>
    <row r="4700" spans="1:8" x14ac:dyDescent="0.3">
      <c r="A4700" s="3">
        <v>46245.017500000002</v>
      </c>
      <c r="B4700" s="1">
        <v>6.37</v>
      </c>
      <c r="C4700" s="1">
        <v>5.52</v>
      </c>
      <c r="D4700" s="1">
        <v>0.54</v>
      </c>
      <c r="E4700" s="1" t="s">
        <v>113</v>
      </c>
      <c r="F4700" s="1" t="s">
        <v>113</v>
      </c>
      <c r="G4700" s="1" t="s">
        <v>113</v>
      </c>
      <c r="H4700" s="1" t="str">
        <f>VLOOKUP(F4700,Countries!$A$1:$B$161,2,0)</f>
        <v>United States of America</v>
      </c>
    </row>
    <row r="4701" spans="1:8" x14ac:dyDescent="0.3">
      <c r="A4701" s="3">
        <v>46245.012731481482</v>
      </c>
      <c r="B4701" s="1">
        <v>16.34</v>
      </c>
      <c r="C4701" s="1">
        <v>14.15</v>
      </c>
      <c r="D4701" s="1">
        <v>0.99</v>
      </c>
      <c r="E4701" s="1" t="s">
        <v>160</v>
      </c>
      <c r="F4701" s="1" t="s">
        <v>160</v>
      </c>
      <c r="G4701" s="1" t="s">
        <v>160</v>
      </c>
      <c r="H4701" s="1" t="str">
        <f>VLOOKUP(F4701,Countries!$A$1:$B$161,2,0)</f>
        <v>New Zealand</v>
      </c>
    </row>
    <row r="4702" spans="1:8" x14ac:dyDescent="0.3">
      <c r="A4702" s="3">
        <v>46245.009745370371</v>
      </c>
      <c r="B4702" s="1">
        <v>3.69</v>
      </c>
      <c r="C4702" s="1">
        <v>3.2</v>
      </c>
      <c r="D4702" s="1">
        <v>0.36</v>
      </c>
      <c r="E4702" s="1" t="s">
        <v>159</v>
      </c>
      <c r="F4702" s="1" t="s">
        <v>159</v>
      </c>
      <c r="G4702" s="1" t="s">
        <v>159</v>
      </c>
      <c r="H4702" s="1" t="str">
        <f>VLOOKUP(F4702,Countries!$A$1:$B$161,2,0)</f>
        <v>Romania</v>
      </c>
    </row>
    <row r="4703" spans="1:8" x14ac:dyDescent="0.3">
      <c r="A4703" s="3">
        <v>46245.005648148152</v>
      </c>
      <c r="B4703" s="1">
        <v>12.33</v>
      </c>
      <c r="C4703" s="1">
        <v>10.68</v>
      </c>
      <c r="D4703" s="1">
        <v>0.62</v>
      </c>
      <c r="E4703" s="1" t="s">
        <v>158</v>
      </c>
      <c r="F4703" s="1" t="s">
        <v>159</v>
      </c>
      <c r="G4703" s="1" t="s">
        <v>159</v>
      </c>
      <c r="H4703" s="1" t="str">
        <f>VLOOKUP(F4703,Countries!$A$1:$B$161,2,0)</f>
        <v>Romania</v>
      </c>
    </row>
    <row r="4704" spans="1:8" x14ac:dyDescent="0.3">
      <c r="A4704" s="3">
        <v>46244.998101851852</v>
      </c>
      <c r="B4704" s="1">
        <v>16.34</v>
      </c>
      <c r="C4704" s="1">
        <v>14.15</v>
      </c>
      <c r="D4704" s="1">
        <v>0.99</v>
      </c>
      <c r="E4704" s="1" t="s">
        <v>160</v>
      </c>
      <c r="F4704" s="1" t="s">
        <v>160</v>
      </c>
      <c r="G4704" s="1" t="s">
        <v>160</v>
      </c>
      <c r="H4704" s="1" t="str">
        <f>VLOOKUP(F4704,Countries!$A$1:$B$161,2,0)</f>
        <v>New Zealand</v>
      </c>
    </row>
    <row r="4705" spans="1:8" x14ac:dyDescent="0.3">
      <c r="A4705" s="3">
        <v>46244.994895833333</v>
      </c>
      <c r="B4705" s="1">
        <v>14.78</v>
      </c>
      <c r="C4705" s="1">
        <v>12.8</v>
      </c>
      <c r="D4705" s="1">
        <v>0.93</v>
      </c>
      <c r="E4705" s="1" t="s">
        <v>113</v>
      </c>
      <c r="F4705" s="1" t="s">
        <v>113</v>
      </c>
      <c r="G4705" s="1" t="s">
        <v>113</v>
      </c>
      <c r="H4705" s="1" t="str">
        <f>VLOOKUP(F4705,Countries!$A$1:$B$161,2,0)</f>
        <v>United States of America</v>
      </c>
    </row>
    <row r="4706" spans="1:8" x14ac:dyDescent="0.3">
      <c r="A4706" s="3">
        <v>46244.985219907408</v>
      </c>
      <c r="B4706" s="1">
        <v>16.34</v>
      </c>
      <c r="C4706" s="1">
        <v>14.15</v>
      </c>
      <c r="D4706" s="1">
        <v>0.99</v>
      </c>
      <c r="E4706" s="1" t="s">
        <v>160</v>
      </c>
      <c r="F4706" s="1" t="s">
        <v>160</v>
      </c>
      <c r="G4706" s="1" t="s">
        <v>160</v>
      </c>
      <c r="H4706" s="1" t="str">
        <f>VLOOKUP(F4706,Countries!$A$1:$B$161,2,0)</f>
        <v>New Zealand</v>
      </c>
    </row>
    <row r="4707" spans="1:8" x14ac:dyDescent="0.3">
      <c r="A4707" s="3">
        <v>46244.982361111113</v>
      </c>
      <c r="B4707" s="1">
        <v>6.37</v>
      </c>
      <c r="C4707" s="1">
        <v>5.52</v>
      </c>
      <c r="D4707" s="1">
        <v>0.54</v>
      </c>
      <c r="E4707" s="1" t="s">
        <v>113</v>
      </c>
      <c r="F4707" s="1" t="s">
        <v>113</v>
      </c>
      <c r="G4707" s="1" t="s">
        <v>113</v>
      </c>
      <c r="H4707" s="1" t="str">
        <f>VLOOKUP(F4707,Countries!$A$1:$B$161,2,0)</f>
        <v>United States of America</v>
      </c>
    </row>
    <row r="4708" spans="1:8" x14ac:dyDescent="0.3">
      <c r="A4708" s="3">
        <v>46244.982233796298</v>
      </c>
      <c r="B4708" s="1">
        <v>65.41</v>
      </c>
      <c r="C4708" s="1">
        <v>56.66</v>
      </c>
      <c r="D4708" s="1">
        <v>3.22</v>
      </c>
      <c r="E4708" s="1" t="s">
        <v>160</v>
      </c>
      <c r="F4708" s="1" t="s">
        <v>160</v>
      </c>
      <c r="G4708" s="1" t="s">
        <v>160</v>
      </c>
      <c r="H4708" s="1" t="str">
        <f>VLOOKUP(F4708,Countries!$A$1:$B$161,2,0)</f>
        <v>New Zealand</v>
      </c>
    </row>
    <row r="4709" spans="1:8" x14ac:dyDescent="0.3">
      <c r="A4709" s="3">
        <v>46244.97247685185</v>
      </c>
      <c r="B4709" s="1">
        <v>10.62</v>
      </c>
      <c r="C4709" s="1">
        <v>9.1999999999999993</v>
      </c>
      <c r="D4709" s="1">
        <v>0.73</v>
      </c>
      <c r="E4709" s="1" t="s">
        <v>113</v>
      </c>
      <c r="F4709" s="1" t="s">
        <v>113</v>
      </c>
      <c r="G4709" s="1" t="s">
        <v>113</v>
      </c>
      <c r="H4709" s="1" t="str">
        <f>VLOOKUP(F4709,Countries!$A$1:$B$161,2,0)</f>
        <v>United States of America</v>
      </c>
    </row>
    <row r="4710" spans="1:8" x14ac:dyDescent="0.3">
      <c r="A4710" s="3">
        <v>46244.971712962957</v>
      </c>
      <c r="B4710" s="1">
        <v>7.48</v>
      </c>
      <c r="C4710" s="1">
        <v>6.48</v>
      </c>
      <c r="D4710" s="1">
        <v>0.48</v>
      </c>
      <c r="E4710" s="1" t="s">
        <v>123</v>
      </c>
      <c r="F4710" s="1" t="s">
        <v>123</v>
      </c>
      <c r="G4710" s="1" t="s">
        <v>123</v>
      </c>
      <c r="H4710" s="1" t="str">
        <f>VLOOKUP(F4710,Countries!$A$1:$B$161,2,0)</f>
        <v>France</v>
      </c>
    </row>
    <row r="4711" spans="1:8" x14ac:dyDescent="0.3">
      <c r="A4711" s="3">
        <v>46244.969456018523</v>
      </c>
      <c r="B4711" s="1">
        <v>6.37</v>
      </c>
      <c r="C4711" s="1">
        <v>5.52</v>
      </c>
      <c r="D4711" s="1">
        <v>0.54</v>
      </c>
      <c r="E4711" s="1" t="s">
        <v>113</v>
      </c>
      <c r="F4711" s="1" t="s">
        <v>113</v>
      </c>
      <c r="G4711" s="1" t="s">
        <v>113</v>
      </c>
      <c r="H4711" s="1" t="str">
        <f>VLOOKUP(F4711,Countries!$A$1:$B$161,2,0)</f>
        <v>United States of America</v>
      </c>
    </row>
    <row r="4712" spans="1:8" x14ac:dyDescent="0.3">
      <c r="A4712" s="3">
        <v>46244.967476851853</v>
      </c>
      <c r="B4712" s="1">
        <v>6.37</v>
      </c>
      <c r="C4712" s="1">
        <v>5.52</v>
      </c>
      <c r="D4712" s="1">
        <v>0.54</v>
      </c>
      <c r="E4712" s="1" t="s">
        <v>113</v>
      </c>
      <c r="F4712" s="1" t="s">
        <v>113</v>
      </c>
      <c r="G4712" s="1" t="s">
        <v>113</v>
      </c>
      <c r="H4712" s="1" t="str">
        <f>VLOOKUP(F4712,Countries!$A$1:$B$161,2,0)</f>
        <v>United States of America</v>
      </c>
    </row>
    <row r="4713" spans="1:8" x14ac:dyDescent="0.3">
      <c r="A4713" s="3">
        <v>46244.96638888889</v>
      </c>
      <c r="B4713" s="1">
        <v>6.37</v>
      </c>
      <c r="C4713" s="1">
        <v>5.52</v>
      </c>
      <c r="D4713" s="1">
        <v>0.54</v>
      </c>
      <c r="E4713" s="1" t="s">
        <v>113</v>
      </c>
      <c r="F4713" s="1" t="s">
        <v>113</v>
      </c>
      <c r="G4713" s="1" t="s">
        <v>113</v>
      </c>
      <c r="H4713" s="1" t="str">
        <f>VLOOKUP(F4713,Countries!$A$1:$B$161,2,0)</f>
        <v>United States of America</v>
      </c>
    </row>
    <row r="4714" spans="1:8" x14ac:dyDescent="0.3">
      <c r="A4714" s="3">
        <v>46244.964629629627</v>
      </c>
      <c r="B4714" s="1">
        <v>14.78</v>
      </c>
      <c r="C4714" s="1">
        <v>12.8</v>
      </c>
      <c r="D4714" s="1">
        <v>0.93</v>
      </c>
      <c r="E4714" s="1" t="s">
        <v>113</v>
      </c>
      <c r="F4714" s="1" t="s">
        <v>113</v>
      </c>
      <c r="G4714" s="1" t="s">
        <v>113</v>
      </c>
      <c r="H4714" s="1" t="str">
        <f>VLOOKUP(F4714,Countries!$A$1:$B$161,2,0)</f>
        <v>United States of America</v>
      </c>
    </row>
    <row r="4715" spans="1:8" x14ac:dyDescent="0.3">
      <c r="A4715" s="3">
        <v>46244.964513888888</v>
      </c>
      <c r="B4715" s="1">
        <v>12.33</v>
      </c>
      <c r="C4715" s="1">
        <v>10.68</v>
      </c>
      <c r="D4715" s="1">
        <v>0.62</v>
      </c>
      <c r="E4715" s="1" t="s">
        <v>158</v>
      </c>
      <c r="F4715" s="1" t="s">
        <v>159</v>
      </c>
      <c r="G4715" s="1" t="s">
        <v>159</v>
      </c>
      <c r="H4715" s="1" t="str">
        <f>VLOOKUP(F4715,Countries!$A$1:$B$161,2,0)</f>
        <v>Romania</v>
      </c>
    </row>
    <row r="4716" spans="1:8" x14ac:dyDescent="0.3">
      <c r="A4716" s="3">
        <v>46244.960439814808</v>
      </c>
      <c r="B4716" s="1">
        <v>6.37</v>
      </c>
      <c r="C4716" s="1">
        <v>5.52</v>
      </c>
      <c r="D4716" s="1">
        <v>0.54</v>
      </c>
      <c r="E4716" s="1" t="s">
        <v>113</v>
      </c>
      <c r="F4716" s="1" t="s">
        <v>113</v>
      </c>
      <c r="G4716" s="1" t="s">
        <v>113</v>
      </c>
      <c r="H4716" s="1" t="str">
        <f>VLOOKUP(F4716,Countries!$A$1:$B$161,2,0)</f>
        <v>United States of America</v>
      </c>
    </row>
    <row r="4717" spans="1:8" x14ac:dyDescent="0.3">
      <c r="A4717" s="3">
        <v>46244.952175925922</v>
      </c>
      <c r="B4717" s="1">
        <v>57.23</v>
      </c>
      <c r="C4717" s="1">
        <v>49.58</v>
      </c>
      <c r="D4717" s="1">
        <v>2.85</v>
      </c>
      <c r="E4717" s="1" t="s">
        <v>160</v>
      </c>
      <c r="F4717" s="1" t="s">
        <v>160</v>
      </c>
      <c r="G4717" s="1" t="s">
        <v>160</v>
      </c>
      <c r="H4717" s="1" t="str">
        <f>VLOOKUP(F4717,Countries!$A$1:$B$161,2,0)</f>
        <v>New Zealand</v>
      </c>
    </row>
    <row r="4718" spans="1:8" x14ac:dyDescent="0.3">
      <c r="A4718" s="3">
        <v>46244.952037037037</v>
      </c>
      <c r="B4718" s="1">
        <v>16.34</v>
      </c>
      <c r="C4718" s="1">
        <v>14.16</v>
      </c>
      <c r="D4718" s="1">
        <v>0.99</v>
      </c>
      <c r="E4718" s="1" t="s">
        <v>160</v>
      </c>
      <c r="F4718" s="1" t="s">
        <v>160</v>
      </c>
      <c r="G4718" s="1" t="s">
        <v>160</v>
      </c>
      <c r="H4718" s="1" t="str">
        <f>VLOOKUP(F4718,Countries!$A$1:$B$161,2,0)</f>
        <v>New Zealand</v>
      </c>
    </row>
    <row r="4719" spans="1:8" x14ac:dyDescent="0.3">
      <c r="A4719" s="3">
        <v>46244.94971064815</v>
      </c>
      <c r="B4719" s="1">
        <v>15.78</v>
      </c>
      <c r="C4719" s="1">
        <v>13.67</v>
      </c>
      <c r="D4719" s="1">
        <v>0.96</v>
      </c>
      <c r="E4719" s="1" t="s">
        <v>114</v>
      </c>
      <c r="F4719" s="1" t="s">
        <v>114</v>
      </c>
      <c r="G4719" s="1" t="s">
        <v>114</v>
      </c>
      <c r="H4719" s="1" t="str">
        <f>VLOOKUP(F4719,Countries!$A$1:$B$161,2,0)</f>
        <v>Philippines</v>
      </c>
    </row>
    <row r="4720" spans="1:8" x14ac:dyDescent="0.3">
      <c r="A4720" s="3">
        <v>46244.94425925926</v>
      </c>
      <c r="B4720" s="1">
        <v>7.48</v>
      </c>
      <c r="C4720" s="1">
        <v>6.48</v>
      </c>
      <c r="D4720" s="1">
        <v>0.54</v>
      </c>
      <c r="E4720" s="1" t="s">
        <v>119</v>
      </c>
      <c r="F4720" s="1" t="s">
        <v>119</v>
      </c>
      <c r="G4720" s="1" t="s">
        <v>119</v>
      </c>
      <c r="H4720" s="1" t="str">
        <f>VLOOKUP(F4720,Countries!$A$1:$B$161,2,0)</f>
        <v>Great Britain (United Kingdom)</v>
      </c>
    </row>
    <row r="4721" spans="1:8" x14ac:dyDescent="0.3">
      <c r="A4721" s="3">
        <v>46244.943831018521</v>
      </c>
      <c r="B4721" s="1">
        <v>6.3</v>
      </c>
      <c r="C4721" s="1">
        <v>5.46</v>
      </c>
      <c r="D4721" s="1">
        <v>0.54</v>
      </c>
      <c r="E4721" s="1" t="s">
        <v>132</v>
      </c>
      <c r="F4721" s="1" t="s">
        <v>132</v>
      </c>
      <c r="G4721" s="1" t="s">
        <v>132</v>
      </c>
      <c r="H4721" s="1" t="str">
        <f>VLOOKUP(F4721,Countries!$A$1:$B$161,2,0)</f>
        <v>Canada</v>
      </c>
    </row>
    <row r="4722" spans="1:8" x14ac:dyDescent="0.3">
      <c r="A4722" s="3">
        <v>46244.940706018519</v>
      </c>
      <c r="B4722" s="1">
        <v>7.48</v>
      </c>
      <c r="C4722" s="1">
        <v>6.48</v>
      </c>
      <c r="D4722" s="1">
        <v>0.48</v>
      </c>
      <c r="E4722" s="1" t="s">
        <v>123</v>
      </c>
      <c r="F4722" s="1" t="s">
        <v>123</v>
      </c>
      <c r="G4722" s="1" t="s">
        <v>123</v>
      </c>
      <c r="H4722" s="1" t="str">
        <f>VLOOKUP(F4722,Countries!$A$1:$B$161,2,0)</f>
        <v>France</v>
      </c>
    </row>
    <row r="4723" spans="1:8" x14ac:dyDescent="0.3">
      <c r="A4723" s="3">
        <v>46244.937337962961</v>
      </c>
      <c r="B4723" s="1">
        <v>3.51</v>
      </c>
      <c r="C4723" s="1">
        <v>3.04</v>
      </c>
      <c r="D4723" s="1">
        <v>0.39</v>
      </c>
      <c r="E4723" s="1" t="s">
        <v>119</v>
      </c>
      <c r="F4723" s="1" t="s">
        <v>119</v>
      </c>
      <c r="G4723" s="1" t="s">
        <v>119</v>
      </c>
      <c r="H4723" s="1" t="str">
        <f>VLOOKUP(F4723,Countries!$A$1:$B$161,2,0)</f>
        <v>Great Britain (United Kingdom)</v>
      </c>
    </row>
    <row r="4724" spans="1:8" x14ac:dyDescent="0.3">
      <c r="A4724" s="3">
        <v>46244.936111111107</v>
      </c>
      <c r="B4724" s="1">
        <v>7.48</v>
      </c>
      <c r="C4724" s="1">
        <v>6.48</v>
      </c>
      <c r="D4724" s="1">
        <v>0.48</v>
      </c>
      <c r="E4724" s="1" t="s">
        <v>123</v>
      </c>
      <c r="F4724" s="1" t="s">
        <v>123</v>
      </c>
      <c r="G4724" s="1" t="s">
        <v>123</v>
      </c>
      <c r="H4724" s="1" t="str">
        <f>VLOOKUP(F4724,Countries!$A$1:$B$161,2,0)</f>
        <v>France</v>
      </c>
    </row>
    <row r="4725" spans="1:8" x14ac:dyDescent="0.3">
      <c r="A4725" s="3">
        <v>46244.933946759258</v>
      </c>
      <c r="B4725" s="1">
        <v>14.77</v>
      </c>
      <c r="C4725" s="1">
        <v>12.8</v>
      </c>
      <c r="D4725" s="1">
        <v>0.93</v>
      </c>
      <c r="E4725" s="1" t="s">
        <v>113</v>
      </c>
      <c r="F4725" s="1" t="s">
        <v>113</v>
      </c>
      <c r="G4725" s="1" t="s">
        <v>113</v>
      </c>
      <c r="H4725" s="1" t="str">
        <f>VLOOKUP(F4725,Countries!$A$1:$B$161,2,0)</f>
        <v>United States of America</v>
      </c>
    </row>
    <row r="4726" spans="1:8" x14ac:dyDescent="0.3">
      <c r="A4726" s="3">
        <v>46244.930937500001</v>
      </c>
      <c r="B4726" s="1">
        <v>12.48</v>
      </c>
      <c r="C4726" s="1">
        <v>10.81</v>
      </c>
      <c r="D4726" s="1">
        <v>0.63</v>
      </c>
      <c r="E4726" s="1" t="s">
        <v>123</v>
      </c>
      <c r="F4726" s="1" t="s">
        <v>123</v>
      </c>
      <c r="G4726" s="1" t="s">
        <v>123</v>
      </c>
      <c r="H4726" s="1" t="str">
        <f>VLOOKUP(F4726,Countries!$A$1:$B$161,2,0)</f>
        <v>France</v>
      </c>
    </row>
    <row r="4727" spans="1:8" x14ac:dyDescent="0.3">
      <c r="A4727" s="3">
        <v>46244.925312500003</v>
      </c>
      <c r="B4727" s="1">
        <v>6.37</v>
      </c>
      <c r="C4727" s="1">
        <v>5.52</v>
      </c>
      <c r="D4727" s="1">
        <v>0.54</v>
      </c>
      <c r="E4727" s="1" t="s">
        <v>113</v>
      </c>
      <c r="F4727" s="1" t="s">
        <v>113</v>
      </c>
      <c r="G4727" s="1" t="s">
        <v>113</v>
      </c>
      <c r="H4727" s="1" t="str">
        <f>VLOOKUP(F4727,Countries!$A$1:$B$161,2,0)</f>
        <v>United States of America</v>
      </c>
    </row>
    <row r="4728" spans="1:8" x14ac:dyDescent="0.3">
      <c r="A4728" s="3">
        <v>46244.920451388891</v>
      </c>
      <c r="B4728" s="1">
        <v>2.99</v>
      </c>
      <c r="C4728" s="1">
        <v>2.59</v>
      </c>
      <c r="D4728" s="1">
        <v>0.34</v>
      </c>
      <c r="E4728" s="1" t="s">
        <v>178</v>
      </c>
      <c r="F4728" s="1" t="s">
        <v>178</v>
      </c>
      <c r="G4728" s="1" t="s">
        <v>178</v>
      </c>
      <c r="H4728" s="1" t="str">
        <f>VLOOKUP(F4728,Countries!$A$1:$B$161,2,0)</f>
        <v>Sweden</v>
      </c>
    </row>
    <row r="4729" spans="1:8" x14ac:dyDescent="0.3">
      <c r="A4729" s="3">
        <v>46244.918807870366</v>
      </c>
      <c r="B4729" s="1">
        <v>6.37</v>
      </c>
      <c r="C4729" s="1">
        <v>5.52</v>
      </c>
      <c r="D4729" s="1">
        <v>0.54</v>
      </c>
      <c r="E4729" s="1" t="s">
        <v>113</v>
      </c>
      <c r="F4729" s="1" t="s">
        <v>113</v>
      </c>
      <c r="G4729" s="1" t="s">
        <v>113</v>
      </c>
      <c r="H4729" s="1" t="str">
        <f>VLOOKUP(F4729,Countries!$A$1:$B$161,2,0)</f>
        <v>United States of America</v>
      </c>
    </row>
    <row r="4730" spans="1:8" x14ac:dyDescent="0.3">
      <c r="A4730" s="3">
        <v>46244.915370370371</v>
      </c>
      <c r="B4730" s="1">
        <v>6.37</v>
      </c>
      <c r="C4730" s="1">
        <v>5.52</v>
      </c>
      <c r="D4730" s="1">
        <v>0.54</v>
      </c>
      <c r="E4730" s="1" t="s">
        <v>113</v>
      </c>
      <c r="F4730" s="1" t="s">
        <v>113</v>
      </c>
      <c r="G4730" s="1" t="s">
        <v>113</v>
      </c>
      <c r="H4730" s="1" t="str">
        <f>VLOOKUP(F4730,Countries!$A$1:$B$161,2,0)</f>
        <v>United States of America</v>
      </c>
    </row>
    <row r="4731" spans="1:8" x14ac:dyDescent="0.3">
      <c r="A4731" s="3">
        <v>46244.912233796298</v>
      </c>
      <c r="B4731" s="1">
        <v>2.99</v>
      </c>
      <c r="C4731" s="1">
        <v>2.59</v>
      </c>
      <c r="D4731" s="1">
        <v>0.38</v>
      </c>
      <c r="E4731" s="1" t="s">
        <v>129</v>
      </c>
      <c r="F4731" s="1" t="s">
        <v>129</v>
      </c>
      <c r="G4731" s="1" t="s">
        <v>129</v>
      </c>
      <c r="H4731" s="1" t="str">
        <f>VLOOKUP(F4731,Countries!$A$1:$B$161,2,0)</f>
        <v>Qatar</v>
      </c>
    </row>
    <row r="4732" spans="1:8" x14ac:dyDescent="0.3">
      <c r="A4732" s="3">
        <v>46244.908680555563</v>
      </c>
      <c r="B4732" s="1">
        <v>7.04</v>
      </c>
      <c r="C4732" s="1">
        <v>6.1</v>
      </c>
      <c r="D4732" s="1">
        <v>0.56999999999999995</v>
      </c>
      <c r="E4732" s="1" t="s">
        <v>160</v>
      </c>
      <c r="F4732" s="1" t="s">
        <v>160</v>
      </c>
      <c r="G4732" s="1" t="s">
        <v>160</v>
      </c>
      <c r="H4732" s="1" t="str">
        <f>VLOOKUP(F4732,Countries!$A$1:$B$161,2,0)</f>
        <v>New Zealand</v>
      </c>
    </row>
    <row r="4733" spans="1:8" x14ac:dyDescent="0.3">
      <c r="A4733" s="3">
        <v>46244.907442129632</v>
      </c>
      <c r="B4733" s="1">
        <v>57.23</v>
      </c>
      <c r="C4733" s="1">
        <v>49.58</v>
      </c>
      <c r="D4733" s="1">
        <v>2.85</v>
      </c>
      <c r="E4733" s="1" t="s">
        <v>160</v>
      </c>
      <c r="F4733" s="1" t="s">
        <v>160</v>
      </c>
      <c r="G4733" s="1" t="s">
        <v>160</v>
      </c>
      <c r="H4733" s="1" t="str">
        <f>VLOOKUP(F4733,Countries!$A$1:$B$161,2,0)</f>
        <v>New Zealand</v>
      </c>
    </row>
    <row r="4734" spans="1:8" x14ac:dyDescent="0.3">
      <c r="A4734" s="3">
        <v>46244.893819444442</v>
      </c>
      <c r="B4734" s="1">
        <v>6.37</v>
      </c>
      <c r="C4734" s="1">
        <v>5.52</v>
      </c>
      <c r="D4734" s="1">
        <v>0.54</v>
      </c>
      <c r="E4734" s="1" t="s">
        <v>113</v>
      </c>
      <c r="F4734" s="1" t="s">
        <v>113</v>
      </c>
      <c r="G4734" s="1" t="s">
        <v>113</v>
      </c>
      <c r="H4734" s="1" t="str">
        <f>VLOOKUP(F4734,Countries!$A$1:$B$161,2,0)</f>
        <v>United States of America</v>
      </c>
    </row>
    <row r="4735" spans="1:8" x14ac:dyDescent="0.3">
      <c r="A4735" s="3">
        <v>46244.893819444442</v>
      </c>
      <c r="B4735" s="1">
        <v>1.99</v>
      </c>
      <c r="C4735" s="1">
        <v>1.72</v>
      </c>
      <c r="D4735" s="1">
        <v>0.34</v>
      </c>
      <c r="E4735" s="1" t="s">
        <v>190</v>
      </c>
      <c r="F4735" s="1" t="s">
        <v>134</v>
      </c>
      <c r="G4735" s="1" t="s">
        <v>134</v>
      </c>
      <c r="H4735" s="1" t="str">
        <f>VLOOKUP(F4735,Countries!$A$1:$B$161,2,0)</f>
        <v>Hong Kong</v>
      </c>
    </row>
    <row r="4736" spans="1:8" x14ac:dyDescent="0.3">
      <c r="A4736" s="3">
        <v>46244.890023148153</v>
      </c>
      <c r="B4736" s="1">
        <v>2.11</v>
      </c>
      <c r="C4736" s="1">
        <v>1.83</v>
      </c>
      <c r="D4736" s="1">
        <v>0.35</v>
      </c>
      <c r="E4736" s="1" t="s">
        <v>113</v>
      </c>
      <c r="F4736" s="1" t="s">
        <v>113</v>
      </c>
      <c r="G4736" s="1" t="s">
        <v>113</v>
      </c>
      <c r="H4736" s="1" t="str">
        <f>VLOOKUP(F4736,Countries!$A$1:$B$161,2,0)</f>
        <v>United States of America</v>
      </c>
    </row>
    <row r="4737" spans="1:8" x14ac:dyDescent="0.3">
      <c r="A4737" s="3">
        <v>46244.881585648152</v>
      </c>
      <c r="B4737" s="1">
        <v>6.58</v>
      </c>
      <c r="C4737" s="1">
        <v>5.7</v>
      </c>
      <c r="D4737" s="1">
        <v>0.55000000000000004</v>
      </c>
      <c r="E4737" s="1" t="s">
        <v>152</v>
      </c>
      <c r="F4737" s="1" t="s">
        <v>152</v>
      </c>
      <c r="G4737" s="1" t="s">
        <v>152</v>
      </c>
      <c r="H4737" s="1" t="str">
        <f>VLOOKUP(F4737,Countries!$A$1:$B$161,2,0)</f>
        <v>Singapore</v>
      </c>
    </row>
    <row r="4738" spans="1:8" x14ac:dyDescent="0.3">
      <c r="A4738" s="3">
        <v>46244.878518518519</v>
      </c>
      <c r="B4738" s="1">
        <v>14.77</v>
      </c>
      <c r="C4738" s="1">
        <v>12.8</v>
      </c>
      <c r="D4738" s="1">
        <v>0.93</v>
      </c>
      <c r="E4738" s="1" t="s">
        <v>113</v>
      </c>
      <c r="F4738" s="1" t="s">
        <v>113</v>
      </c>
      <c r="G4738" s="1" t="s">
        <v>113</v>
      </c>
      <c r="H4738" s="1" t="str">
        <f>VLOOKUP(F4738,Countries!$A$1:$B$161,2,0)</f>
        <v>United States of America</v>
      </c>
    </row>
    <row r="4739" spans="1:8" x14ac:dyDescent="0.3">
      <c r="A4739" s="3">
        <v>46244.876203703701</v>
      </c>
      <c r="B4739" s="1">
        <v>65.41</v>
      </c>
      <c r="C4739" s="1">
        <v>56.67</v>
      </c>
      <c r="D4739" s="1">
        <v>3.22</v>
      </c>
      <c r="E4739" s="1" t="s">
        <v>160</v>
      </c>
      <c r="F4739" s="1" t="s">
        <v>160</v>
      </c>
      <c r="G4739" s="1" t="s">
        <v>160</v>
      </c>
      <c r="H4739" s="1" t="str">
        <f>VLOOKUP(F4739,Countries!$A$1:$B$161,2,0)</f>
        <v>New Zealand</v>
      </c>
    </row>
    <row r="4740" spans="1:8" x14ac:dyDescent="0.3">
      <c r="A4740" s="3">
        <v>46244.87394675926</v>
      </c>
      <c r="B4740" s="1">
        <v>51.75</v>
      </c>
      <c r="C4740" s="1">
        <v>44.84</v>
      </c>
      <c r="D4740" s="1">
        <v>2.61</v>
      </c>
      <c r="E4740" s="1" t="s">
        <v>113</v>
      </c>
      <c r="F4740" s="1" t="s">
        <v>113</v>
      </c>
      <c r="G4740" s="1" t="s">
        <v>113</v>
      </c>
      <c r="H4740" s="1" t="str">
        <f>VLOOKUP(F4740,Countries!$A$1:$B$161,2,0)</f>
        <v>United States of America</v>
      </c>
    </row>
    <row r="4741" spans="1:8" x14ac:dyDescent="0.3">
      <c r="A4741" s="3">
        <v>46244.871238425927</v>
      </c>
      <c r="B4741" s="1">
        <v>1.99</v>
      </c>
      <c r="C4741" s="1">
        <v>1.72</v>
      </c>
      <c r="D4741" s="1">
        <v>0.34</v>
      </c>
      <c r="E4741" s="1" t="s">
        <v>140</v>
      </c>
      <c r="F4741" s="1" t="s">
        <v>140</v>
      </c>
      <c r="G4741" s="1" t="s">
        <v>140</v>
      </c>
      <c r="H4741" s="1" t="str">
        <f>VLOOKUP(F4741,Countries!$A$1:$B$161,2,0)</f>
        <v>Colombia</v>
      </c>
    </row>
    <row r="4742" spans="1:8" x14ac:dyDescent="0.3">
      <c r="A4742" s="3">
        <v>46244.856898148151</v>
      </c>
      <c r="B4742" s="1">
        <v>7.58</v>
      </c>
      <c r="C4742" s="1">
        <v>6.57</v>
      </c>
      <c r="D4742" s="1">
        <v>0.48</v>
      </c>
      <c r="E4742" s="1" t="s">
        <v>116</v>
      </c>
      <c r="F4742" s="1" t="s">
        <v>116</v>
      </c>
      <c r="G4742" s="1" t="s">
        <v>116</v>
      </c>
      <c r="H4742" s="1" t="str">
        <f>VLOOKUP(F4742,Countries!$A$1:$B$161,2,0)</f>
        <v>Spain</v>
      </c>
    </row>
    <row r="4743" spans="1:8" x14ac:dyDescent="0.3">
      <c r="A4743" s="3">
        <v>46244.850648148153</v>
      </c>
      <c r="B4743" s="1">
        <v>6.37</v>
      </c>
      <c r="C4743" s="1">
        <v>5.52</v>
      </c>
      <c r="D4743" s="1">
        <v>0.54</v>
      </c>
      <c r="E4743" s="1" t="s">
        <v>113</v>
      </c>
      <c r="F4743" s="1" t="s">
        <v>113</v>
      </c>
      <c r="G4743" s="1" t="s">
        <v>113</v>
      </c>
      <c r="H4743" s="1" t="str">
        <f>VLOOKUP(F4743,Countries!$A$1:$B$161,2,0)</f>
        <v>United States of America</v>
      </c>
    </row>
    <row r="4744" spans="1:8" x14ac:dyDescent="0.3">
      <c r="A4744" s="3">
        <v>46244.845532407409</v>
      </c>
      <c r="B4744" s="1">
        <v>3.88</v>
      </c>
      <c r="C4744" s="1">
        <v>3.36</v>
      </c>
      <c r="D4744" s="1">
        <v>0.37</v>
      </c>
      <c r="E4744" s="1" t="s">
        <v>117</v>
      </c>
      <c r="F4744" s="1" t="s">
        <v>117</v>
      </c>
      <c r="G4744" s="1" t="s">
        <v>117</v>
      </c>
      <c r="H4744" s="1" t="str">
        <f>VLOOKUP(F4744,Countries!$A$1:$B$161,2,0)</f>
        <v>Slovak Republic</v>
      </c>
    </row>
    <row r="4745" spans="1:8" x14ac:dyDescent="0.3">
      <c r="A4745" s="3">
        <v>46244.842222222222</v>
      </c>
      <c r="B4745" s="1">
        <v>58.41</v>
      </c>
      <c r="C4745" s="1">
        <v>50.61</v>
      </c>
      <c r="D4745" s="1">
        <v>2.9</v>
      </c>
      <c r="E4745" s="1" t="s">
        <v>132</v>
      </c>
      <c r="F4745" s="1" t="s">
        <v>132</v>
      </c>
      <c r="G4745" s="1" t="s">
        <v>132</v>
      </c>
      <c r="H4745" s="1" t="str">
        <f>VLOOKUP(F4745,Countries!$A$1:$B$161,2,0)</f>
        <v>Canada</v>
      </c>
    </row>
    <row r="4746" spans="1:8" x14ac:dyDescent="0.3">
      <c r="A4746" s="3">
        <v>46244.841863425929</v>
      </c>
      <c r="B4746" s="1">
        <v>16.829999999999998</v>
      </c>
      <c r="C4746" s="1">
        <v>14.58</v>
      </c>
      <c r="D4746" s="1">
        <v>1.01</v>
      </c>
      <c r="E4746" s="1" t="s">
        <v>132</v>
      </c>
      <c r="F4746" s="1" t="s">
        <v>132</v>
      </c>
      <c r="G4746" s="1" t="s">
        <v>132</v>
      </c>
      <c r="H4746" s="1" t="str">
        <f>VLOOKUP(F4746,Countries!$A$1:$B$161,2,0)</f>
        <v>Canada</v>
      </c>
    </row>
    <row r="4747" spans="1:8" x14ac:dyDescent="0.3">
      <c r="A4747" s="3">
        <v>46244.841099537043</v>
      </c>
      <c r="B4747" s="1">
        <v>32.700000000000003</v>
      </c>
      <c r="C4747" s="1">
        <v>28.33</v>
      </c>
      <c r="D4747" s="1">
        <v>1.74</v>
      </c>
      <c r="E4747" s="1" t="s">
        <v>160</v>
      </c>
      <c r="F4747" s="1" t="s">
        <v>160</v>
      </c>
      <c r="G4747" s="1" t="s">
        <v>160</v>
      </c>
      <c r="H4747" s="1" t="str">
        <f>VLOOKUP(F4747,Countries!$A$1:$B$161,2,0)</f>
        <v>New Zealand</v>
      </c>
    </row>
    <row r="4748" spans="1:8" x14ac:dyDescent="0.3">
      <c r="A4748" s="3">
        <v>46244.839317129627</v>
      </c>
      <c r="B4748" s="1">
        <v>6.37</v>
      </c>
      <c r="C4748" s="1">
        <v>5.52</v>
      </c>
      <c r="D4748" s="1">
        <v>0.54</v>
      </c>
      <c r="E4748" s="1" t="s">
        <v>113</v>
      </c>
      <c r="F4748" s="1" t="s">
        <v>113</v>
      </c>
      <c r="G4748" s="1" t="s">
        <v>113</v>
      </c>
      <c r="H4748" s="1" t="str">
        <f>VLOOKUP(F4748,Countries!$A$1:$B$161,2,0)</f>
        <v>United States of America</v>
      </c>
    </row>
    <row r="4749" spans="1:8" x14ac:dyDescent="0.3">
      <c r="A4749" s="3">
        <v>46244.837337962963</v>
      </c>
      <c r="B4749" s="1">
        <v>6.37</v>
      </c>
      <c r="C4749" s="1">
        <v>5.52</v>
      </c>
      <c r="D4749" s="1">
        <v>0.54</v>
      </c>
      <c r="E4749" s="1" t="s">
        <v>113</v>
      </c>
      <c r="F4749" s="1" t="s">
        <v>113</v>
      </c>
      <c r="G4749" s="1" t="s">
        <v>113</v>
      </c>
      <c r="H4749" s="1" t="str">
        <f>VLOOKUP(F4749,Countries!$A$1:$B$161,2,0)</f>
        <v>United States of America</v>
      </c>
    </row>
    <row r="4750" spans="1:8" x14ac:dyDescent="0.3">
      <c r="A4750" s="3">
        <v>46244.833553240736</v>
      </c>
      <c r="B4750" s="1">
        <v>14.62</v>
      </c>
      <c r="C4750" s="1">
        <v>12.67</v>
      </c>
      <c r="D4750" s="1">
        <v>0.91</v>
      </c>
      <c r="E4750" s="1" t="s">
        <v>132</v>
      </c>
      <c r="F4750" s="1" t="s">
        <v>132</v>
      </c>
      <c r="G4750" s="1" t="s">
        <v>132</v>
      </c>
      <c r="H4750" s="1" t="str">
        <f>VLOOKUP(F4750,Countries!$A$1:$B$161,2,0)</f>
        <v>Canada</v>
      </c>
    </row>
    <row r="4751" spans="1:8" x14ac:dyDescent="0.3">
      <c r="A4751" s="3">
        <v>46244.830150462964</v>
      </c>
      <c r="B4751" s="1">
        <v>6.37</v>
      </c>
      <c r="C4751" s="1">
        <v>5.52</v>
      </c>
      <c r="D4751" s="1">
        <v>0.54</v>
      </c>
      <c r="E4751" s="1" t="s">
        <v>167</v>
      </c>
      <c r="F4751" s="1" t="s">
        <v>152</v>
      </c>
      <c r="G4751" s="1" t="s">
        <v>152</v>
      </c>
      <c r="H4751" s="1" t="str">
        <f>VLOOKUP(F4751,Countries!$A$1:$B$161,2,0)</f>
        <v>Singapore</v>
      </c>
    </row>
    <row r="4752" spans="1:8" x14ac:dyDescent="0.3">
      <c r="A4752" s="3">
        <v>46244.829918981479</v>
      </c>
      <c r="B4752" s="1">
        <v>12.97</v>
      </c>
      <c r="C4752" s="1">
        <v>11.24</v>
      </c>
      <c r="D4752" s="1">
        <v>0.64</v>
      </c>
      <c r="E4752" s="1" t="s">
        <v>137</v>
      </c>
      <c r="F4752" s="1" t="s">
        <v>137</v>
      </c>
      <c r="G4752" s="1" t="s">
        <v>137</v>
      </c>
      <c r="H4752" s="1" t="str">
        <f>VLOOKUP(F4752,Countries!$A$1:$B$161,2,0)</f>
        <v>Poland</v>
      </c>
    </row>
    <row r="4753" spans="1:8" x14ac:dyDescent="0.3">
      <c r="A4753" s="3">
        <v>46244.829548611109</v>
      </c>
      <c r="B4753" s="1">
        <v>6.37</v>
      </c>
      <c r="C4753" s="1">
        <v>5.52</v>
      </c>
      <c r="D4753" s="1">
        <v>0.54</v>
      </c>
      <c r="E4753" s="1" t="s">
        <v>113</v>
      </c>
      <c r="F4753" s="1" t="s">
        <v>113</v>
      </c>
      <c r="G4753" s="1" t="s">
        <v>113</v>
      </c>
      <c r="H4753" s="1" t="str">
        <f>VLOOKUP(F4753,Countries!$A$1:$B$161,2,0)</f>
        <v>United States of America</v>
      </c>
    </row>
    <row r="4754" spans="1:8" x14ac:dyDescent="0.3">
      <c r="A4754" s="3">
        <v>46244.827060185176</v>
      </c>
      <c r="B4754" s="1">
        <v>43.43</v>
      </c>
      <c r="C4754" s="1">
        <v>37.630000000000003</v>
      </c>
      <c r="D4754" s="1">
        <v>1.94</v>
      </c>
      <c r="E4754" s="1" t="s">
        <v>119</v>
      </c>
      <c r="F4754" s="1" t="s">
        <v>119</v>
      </c>
      <c r="G4754" s="1" t="s">
        <v>119</v>
      </c>
      <c r="H4754" s="1" t="str">
        <f>VLOOKUP(F4754,Countries!$A$1:$B$161,2,0)</f>
        <v>Great Britain (United Kingdom)</v>
      </c>
    </row>
    <row r="4755" spans="1:8" x14ac:dyDescent="0.3">
      <c r="A4755" s="3">
        <v>46244.826319444437</v>
      </c>
      <c r="B4755" s="1">
        <v>10.62</v>
      </c>
      <c r="C4755" s="1">
        <v>9.1999999999999993</v>
      </c>
      <c r="D4755" s="1">
        <v>0.73</v>
      </c>
      <c r="E4755" s="1" t="s">
        <v>113</v>
      </c>
      <c r="F4755" s="1" t="s">
        <v>113</v>
      </c>
      <c r="G4755" s="1" t="s">
        <v>113</v>
      </c>
      <c r="H4755" s="1" t="str">
        <f>VLOOKUP(F4755,Countries!$A$1:$B$161,2,0)</f>
        <v>United States of America</v>
      </c>
    </row>
    <row r="4756" spans="1:8" x14ac:dyDescent="0.3">
      <c r="A4756" s="3">
        <v>46244.826238425929</v>
      </c>
      <c r="B4756" s="1">
        <v>6.37</v>
      </c>
      <c r="C4756" s="1">
        <v>5.52</v>
      </c>
      <c r="D4756" s="1">
        <v>0.5</v>
      </c>
      <c r="E4756" s="1" t="s">
        <v>119</v>
      </c>
      <c r="F4756" s="1" t="s">
        <v>119</v>
      </c>
      <c r="G4756" s="1" t="s">
        <v>119</v>
      </c>
      <c r="H4756" s="1" t="str">
        <f>VLOOKUP(F4756,Countries!$A$1:$B$161,2,0)</f>
        <v>Great Britain (United Kingdom)</v>
      </c>
    </row>
    <row r="4757" spans="1:8" x14ac:dyDescent="0.3">
      <c r="A4757" s="3">
        <v>46244.823229166657</v>
      </c>
      <c r="B4757" s="1">
        <v>6.37</v>
      </c>
      <c r="C4757" s="1">
        <v>5.52</v>
      </c>
      <c r="D4757" s="1">
        <v>0.54</v>
      </c>
      <c r="E4757" s="1" t="s">
        <v>113</v>
      </c>
      <c r="F4757" s="1" t="s">
        <v>113</v>
      </c>
      <c r="G4757" s="1" t="s">
        <v>113</v>
      </c>
      <c r="H4757" s="1" t="str">
        <f>VLOOKUP(F4757,Countries!$A$1:$B$161,2,0)</f>
        <v>United States of America</v>
      </c>
    </row>
    <row r="4758" spans="1:8" x14ac:dyDescent="0.3">
      <c r="A4758" s="3">
        <v>46244.822187500002</v>
      </c>
      <c r="B4758" s="1">
        <v>10.62</v>
      </c>
      <c r="C4758" s="1">
        <v>9.1999999999999993</v>
      </c>
      <c r="D4758" s="1">
        <v>0.73</v>
      </c>
      <c r="E4758" s="1" t="s">
        <v>113</v>
      </c>
      <c r="F4758" s="1" t="s">
        <v>113</v>
      </c>
      <c r="G4758" s="1" t="s">
        <v>113</v>
      </c>
      <c r="H4758" s="1" t="str">
        <f>VLOOKUP(F4758,Countries!$A$1:$B$161,2,0)</f>
        <v>United States of America</v>
      </c>
    </row>
    <row r="4759" spans="1:8" x14ac:dyDescent="0.3">
      <c r="A4759" s="3">
        <v>46244.820740740739</v>
      </c>
      <c r="B4759" s="1">
        <v>2.99</v>
      </c>
      <c r="C4759" s="1">
        <v>2.59</v>
      </c>
      <c r="D4759" s="1">
        <v>0.38</v>
      </c>
      <c r="E4759" s="1" t="s">
        <v>217</v>
      </c>
      <c r="F4759" s="1" t="s">
        <v>217</v>
      </c>
      <c r="G4759" s="1" t="s">
        <v>217</v>
      </c>
      <c r="H4759" s="1" t="str">
        <f>VLOOKUP(F4759,Countries!$A$1:$B$161,2,0)</f>
        <v>Panama</v>
      </c>
    </row>
    <row r="4760" spans="1:8" x14ac:dyDescent="0.3">
      <c r="A4760" s="3">
        <v>46244.820462962962</v>
      </c>
      <c r="B4760" s="1">
        <v>19.14</v>
      </c>
      <c r="C4760" s="1">
        <v>16.579999999999998</v>
      </c>
      <c r="D4760" s="1">
        <v>1.1200000000000001</v>
      </c>
      <c r="E4760" s="1" t="s">
        <v>113</v>
      </c>
      <c r="F4760" s="1" t="s">
        <v>113</v>
      </c>
      <c r="G4760" s="1" t="s">
        <v>113</v>
      </c>
      <c r="H4760" s="1" t="str">
        <f>VLOOKUP(F4760,Countries!$A$1:$B$161,2,0)</f>
        <v>United States of America</v>
      </c>
    </row>
    <row r="4761" spans="1:8" x14ac:dyDescent="0.3">
      <c r="A4761" s="3">
        <v>46244.817569444444</v>
      </c>
      <c r="B4761" s="1">
        <v>10.62</v>
      </c>
      <c r="C4761" s="1">
        <v>9.1999999999999993</v>
      </c>
      <c r="D4761" s="1">
        <v>0.73</v>
      </c>
      <c r="E4761" s="1" t="s">
        <v>113</v>
      </c>
      <c r="F4761" s="1" t="s">
        <v>113</v>
      </c>
      <c r="G4761" s="1" t="s">
        <v>113</v>
      </c>
      <c r="H4761" s="1" t="str">
        <f>VLOOKUP(F4761,Countries!$A$1:$B$161,2,0)</f>
        <v>United States of America</v>
      </c>
    </row>
    <row r="4762" spans="1:8" x14ac:dyDescent="0.3">
      <c r="A4762" s="3">
        <v>46244.817118055558</v>
      </c>
      <c r="B4762" s="1">
        <v>19.14</v>
      </c>
      <c r="C4762" s="1">
        <v>16.579999999999998</v>
      </c>
      <c r="D4762" s="1">
        <v>1.1200000000000001</v>
      </c>
      <c r="E4762" s="1" t="s">
        <v>113</v>
      </c>
      <c r="F4762" s="1" t="s">
        <v>113</v>
      </c>
      <c r="G4762" s="1" t="s">
        <v>113</v>
      </c>
      <c r="H4762" s="1" t="str">
        <f>VLOOKUP(F4762,Countries!$A$1:$B$161,2,0)</f>
        <v>United States of America</v>
      </c>
    </row>
    <row r="4763" spans="1:8" x14ac:dyDescent="0.3">
      <c r="A4763" s="3">
        <v>46244.815300925933</v>
      </c>
      <c r="B4763" s="1">
        <v>14.77</v>
      </c>
      <c r="C4763" s="1">
        <v>12.8</v>
      </c>
      <c r="D4763" s="1">
        <v>0.93</v>
      </c>
      <c r="E4763" s="1" t="s">
        <v>113</v>
      </c>
      <c r="F4763" s="1" t="s">
        <v>113</v>
      </c>
      <c r="G4763" s="1" t="s">
        <v>113</v>
      </c>
      <c r="H4763" s="1" t="str">
        <f>VLOOKUP(F4763,Countries!$A$1:$B$161,2,0)</f>
        <v>United States of America</v>
      </c>
    </row>
    <row r="4764" spans="1:8" x14ac:dyDescent="0.3">
      <c r="A4764" s="3">
        <v>46244.814745370371</v>
      </c>
      <c r="B4764" s="1">
        <v>26.59</v>
      </c>
      <c r="C4764" s="1">
        <v>23.04</v>
      </c>
      <c r="D4764" s="1">
        <v>1.46</v>
      </c>
      <c r="E4764" s="1" t="s">
        <v>113</v>
      </c>
      <c r="F4764" s="1" t="s">
        <v>113</v>
      </c>
      <c r="G4764" s="1" t="s">
        <v>113</v>
      </c>
      <c r="H4764" s="1" t="str">
        <f>VLOOKUP(F4764,Countries!$A$1:$B$161,2,0)</f>
        <v>United States of America</v>
      </c>
    </row>
    <row r="4765" spans="1:8" x14ac:dyDescent="0.3">
      <c r="A4765" s="3">
        <v>46244.813784722217</v>
      </c>
      <c r="B4765" s="1">
        <v>6.37</v>
      </c>
      <c r="C4765" s="1">
        <v>5.52</v>
      </c>
      <c r="D4765" s="1">
        <v>0.54</v>
      </c>
      <c r="E4765" s="1" t="s">
        <v>113</v>
      </c>
      <c r="F4765" s="1" t="s">
        <v>113</v>
      </c>
      <c r="G4765" s="1" t="s">
        <v>113</v>
      </c>
      <c r="H4765" s="1" t="str">
        <f>VLOOKUP(F4765,Countries!$A$1:$B$161,2,0)</f>
        <v>United States of America</v>
      </c>
    </row>
    <row r="4766" spans="1:8" x14ac:dyDescent="0.3">
      <c r="A4766" s="3">
        <v>46244.812824074077</v>
      </c>
      <c r="B4766" s="1">
        <v>130.57</v>
      </c>
      <c r="C4766" s="1">
        <v>113.13</v>
      </c>
      <c r="D4766" s="1">
        <v>6.19</v>
      </c>
      <c r="E4766" s="1" t="s">
        <v>160</v>
      </c>
      <c r="F4766" s="1" t="s">
        <v>160</v>
      </c>
      <c r="G4766" s="1" t="s">
        <v>160</v>
      </c>
      <c r="H4766" s="1" t="str">
        <f>VLOOKUP(F4766,Countries!$A$1:$B$161,2,0)</f>
        <v>New Zealand</v>
      </c>
    </row>
    <row r="4767" spans="1:8" x14ac:dyDescent="0.3">
      <c r="A4767" s="3">
        <v>46244.812488425923</v>
      </c>
      <c r="B4767" s="1">
        <v>10.62</v>
      </c>
      <c r="C4767" s="1">
        <v>9.1999999999999993</v>
      </c>
      <c r="D4767" s="1">
        <v>0.73</v>
      </c>
      <c r="E4767" s="1" t="s">
        <v>113</v>
      </c>
      <c r="F4767" s="1" t="s">
        <v>113</v>
      </c>
      <c r="G4767" s="1" t="s">
        <v>113</v>
      </c>
      <c r="H4767" s="1" t="str">
        <f>VLOOKUP(F4767,Countries!$A$1:$B$161,2,0)</f>
        <v>United States of America</v>
      </c>
    </row>
    <row r="4768" spans="1:8" x14ac:dyDescent="0.3">
      <c r="A4768" s="3">
        <v>46244.811608796299</v>
      </c>
      <c r="B4768" s="1">
        <v>23.4</v>
      </c>
      <c r="C4768" s="1">
        <v>20.27</v>
      </c>
      <c r="D4768" s="1">
        <v>1.32</v>
      </c>
      <c r="E4768" s="1" t="s">
        <v>113</v>
      </c>
      <c r="F4768" s="1" t="s">
        <v>113</v>
      </c>
      <c r="G4768" s="1" t="s">
        <v>113</v>
      </c>
      <c r="H4768" s="1" t="str">
        <f>VLOOKUP(F4768,Countries!$A$1:$B$161,2,0)</f>
        <v>United States of America</v>
      </c>
    </row>
    <row r="4769" spans="1:8" x14ac:dyDescent="0.3">
      <c r="A4769" s="3">
        <v>46244.798043981478</v>
      </c>
      <c r="B4769" s="1">
        <v>2.99</v>
      </c>
      <c r="C4769" s="1">
        <v>2.59</v>
      </c>
      <c r="D4769" s="1">
        <v>0.34</v>
      </c>
      <c r="E4769" s="1" t="s">
        <v>120</v>
      </c>
      <c r="F4769" s="1" t="s">
        <v>120</v>
      </c>
      <c r="G4769" s="1" t="s">
        <v>120</v>
      </c>
      <c r="H4769" s="1" t="str">
        <f>VLOOKUP(F4769,Countries!$A$1:$B$161,2,0)</f>
        <v>Czech Republic</v>
      </c>
    </row>
    <row r="4770" spans="1:8" x14ac:dyDescent="0.3">
      <c r="A4770" s="3">
        <v>46244.795046296298</v>
      </c>
      <c r="B4770" s="1">
        <v>14.62</v>
      </c>
      <c r="C4770" s="1">
        <v>12.67</v>
      </c>
      <c r="D4770" s="1">
        <v>0.91</v>
      </c>
      <c r="E4770" s="1" t="s">
        <v>132</v>
      </c>
      <c r="F4770" s="1" t="s">
        <v>132</v>
      </c>
      <c r="G4770" s="1" t="s">
        <v>132</v>
      </c>
      <c r="H4770" s="1" t="str">
        <f>VLOOKUP(F4770,Countries!$A$1:$B$161,2,0)</f>
        <v>Canada</v>
      </c>
    </row>
    <row r="4771" spans="1:8" x14ac:dyDescent="0.3">
      <c r="A4771" s="3">
        <v>46244.793391203697</v>
      </c>
      <c r="B4771" s="1">
        <v>6.65</v>
      </c>
      <c r="C4771" s="1">
        <v>5.76</v>
      </c>
      <c r="D4771" s="1">
        <v>0.56000000000000005</v>
      </c>
      <c r="E4771" s="1" t="s">
        <v>121</v>
      </c>
      <c r="F4771" s="1" t="s">
        <v>121</v>
      </c>
      <c r="G4771" s="1" t="s">
        <v>121</v>
      </c>
      <c r="H4771" s="1" t="str">
        <f>VLOOKUP(F4771,Countries!$A$1:$B$161,2,0)</f>
        <v>Japan</v>
      </c>
    </row>
    <row r="4772" spans="1:8" x14ac:dyDescent="0.3">
      <c r="A4772" s="3">
        <v>46244.791365740741</v>
      </c>
      <c r="B4772" s="1">
        <v>2.11</v>
      </c>
      <c r="C4772" s="1">
        <v>1.83</v>
      </c>
      <c r="D4772" s="1">
        <v>0.35</v>
      </c>
      <c r="E4772" s="1" t="s">
        <v>113</v>
      </c>
      <c r="F4772" s="1" t="s">
        <v>113</v>
      </c>
      <c r="G4772" s="1" t="s">
        <v>113</v>
      </c>
      <c r="H4772" s="1" t="str">
        <f>VLOOKUP(F4772,Countries!$A$1:$B$161,2,0)</f>
        <v>United States of America</v>
      </c>
    </row>
    <row r="4773" spans="1:8" x14ac:dyDescent="0.3">
      <c r="A4773" s="3">
        <v>46244.785717592589</v>
      </c>
      <c r="B4773" s="1">
        <v>2.4500000000000002</v>
      </c>
      <c r="C4773" s="1">
        <v>2.12</v>
      </c>
      <c r="D4773" s="1">
        <v>0.32</v>
      </c>
      <c r="E4773" s="1" t="s">
        <v>147</v>
      </c>
      <c r="F4773" s="1" t="s">
        <v>147</v>
      </c>
      <c r="G4773" s="1" t="s">
        <v>147</v>
      </c>
      <c r="H4773" s="1" t="str">
        <f>VLOOKUP(F4773,Countries!$A$1:$B$161,2,0)</f>
        <v>Germany</v>
      </c>
    </row>
    <row r="4774" spans="1:8" x14ac:dyDescent="0.3">
      <c r="A4774" s="3">
        <v>46244.785208333327</v>
      </c>
      <c r="B4774" s="1">
        <v>65.28</v>
      </c>
      <c r="C4774" s="1">
        <v>56.56</v>
      </c>
      <c r="D4774" s="1">
        <v>3.22</v>
      </c>
      <c r="E4774" s="1" t="s">
        <v>160</v>
      </c>
      <c r="F4774" s="1" t="s">
        <v>160</v>
      </c>
      <c r="G4774" s="1" t="s">
        <v>160</v>
      </c>
      <c r="H4774" s="1" t="str">
        <f>VLOOKUP(F4774,Countries!$A$1:$B$161,2,0)</f>
        <v>New Zealand</v>
      </c>
    </row>
    <row r="4775" spans="1:8" x14ac:dyDescent="0.3">
      <c r="A4775" s="3">
        <v>46244.775173611109</v>
      </c>
      <c r="B4775" s="1">
        <v>17.010000000000002</v>
      </c>
      <c r="C4775" s="1">
        <v>14.74</v>
      </c>
      <c r="D4775" s="1">
        <v>1.02</v>
      </c>
      <c r="E4775" s="1" t="s">
        <v>113</v>
      </c>
      <c r="F4775" s="1" t="s">
        <v>113</v>
      </c>
      <c r="G4775" s="1" t="s">
        <v>113</v>
      </c>
      <c r="H4775" s="1" t="str">
        <f>VLOOKUP(F4775,Countries!$A$1:$B$161,2,0)</f>
        <v>United States of America</v>
      </c>
    </row>
    <row r="4776" spans="1:8" x14ac:dyDescent="0.3">
      <c r="A4776" s="3">
        <v>46244.767476851863</v>
      </c>
      <c r="B4776" s="1">
        <v>7.48</v>
      </c>
      <c r="C4776" s="1">
        <v>6.48</v>
      </c>
      <c r="D4776" s="1">
        <v>0.54</v>
      </c>
      <c r="E4776" s="1" t="s">
        <v>119</v>
      </c>
      <c r="F4776" s="1" t="s">
        <v>119</v>
      </c>
      <c r="G4776" s="1" t="s">
        <v>119</v>
      </c>
      <c r="H4776" s="1" t="str">
        <f>VLOOKUP(F4776,Countries!$A$1:$B$161,2,0)</f>
        <v>Great Britain (United Kingdom)</v>
      </c>
    </row>
    <row r="4777" spans="1:8" x14ac:dyDescent="0.3">
      <c r="A4777" s="3">
        <v>46244.760601851849</v>
      </c>
      <c r="B4777" s="1">
        <v>6.37</v>
      </c>
      <c r="C4777" s="1">
        <v>5.52</v>
      </c>
      <c r="D4777" s="1">
        <v>0.54</v>
      </c>
      <c r="E4777" s="1" t="s">
        <v>113</v>
      </c>
      <c r="F4777" s="1" t="s">
        <v>113</v>
      </c>
      <c r="G4777" s="1" t="s">
        <v>113</v>
      </c>
      <c r="H4777" s="1" t="str">
        <f>VLOOKUP(F4777,Countries!$A$1:$B$161,2,0)</f>
        <v>United States of America</v>
      </c>
    </row>
    <row r="4778" spans="1:8" x14ac:dyDescent="0.3">
      <c r="A4778" s="3">
        <v>46244.750601851847</v>
      </c>
      <c r="B4778" s="1">
        <v>14.77</v>
      </c>
      <c r="C4778" s="1">
        <v>12.79</v>
      </c>
      <c r="D4778" s="1">
        <v>0.93</v>
      </c>
      <c r="E4778" s="1" t="s">
        <v>113</v>
      </c>
      <c r="F4778" s="1" t="s">
        <v>113</v>
      </c>
      <c r="G4778" s="1" t="s">
        <v>113</v>
      </c>
      <c r="H4778" s="1" t="str">
        <f>VLOOKUP(F4778,Countries!$A$1:$B$161,2,0)</f>
        <v>United States of America</v>
      </c>
    </row>
    <row r="4779" spans="1:8" x14ac:dyDescent="0.3">
      <c r="A4779" s="3">
        <v>46244.74659722222</v>
      </c>
      <c r="B4779" s="1">
        <v>10.85</v>
      </c>
      <c r="C4779" s="1">
        <v>9.4</v>
      </c>
      <c r="D4779" s="1">
        <v>0.75</v>
      </c>
      <c r="E4779" s="1" t="s">
        <v>115</v>
      </c>
      <c r="F4779" s="1" t="s">
        <v>115</v>
      </c>
      <c r="G4779" s="1" t="s">
        <v>115</v>
      </c>
      <c r="H4779" s="1" t="str">
        <f>VLOOKUP(F4779,Countries!$A$1:$B$161,2,0)</f>
        <v>Switzerland</v>
      </c>
    </row>
    <row r="4780" spans="1:8" x14ac:dyDescent="0.3">
      <c r="A4780" s="3">
        <v>46244.731354166674</v>
      </c>
      <c r="B4780" s="1">
        <v>14.77</v>
      </c>
      <c r="C4780" s="1">
        <v>12.79</v>
      </c>
      <c r="D4780" s="1">
        <v>0.93</v>
      </c>
      <c r="E4780" s="1" t="s">
        <v>113</v>
      </c>
      <c r="F4780" s="1" t="s">
        <v>113</v>
      </c>
      <c r="G4780" s="1" t="s">
        <v>113</v>
      </c>
      <c r="H4780" s="1" t="str">
        <f>VLOOKUP(F4780,Countries!$A$1:$B$161,2,0)</f>
        <v>United States of America</v>
      </c>
    </row>
    <row r="4781" spans="1:8" x14ac:dyDescent="0.3">
      <c r="A4781" s="3">
        <v>46244.730671296304</v>
      </c>
      <c r="B4781" s="1">
        <v>2.11</v>
      </c>
      <c r="C4781" s="1">
        <v>1.83</v>
      </c>
      <c r="D4781" s="1">
        <v>0.35</v>
      </c>
      <c r="E4781" s="1" t="s">
        <v>113</v>
      </c>
      <c r="F4781" s="1" t="s">
        <v>113</v>
      </c>
      <c r="G4781" s="1" t="s">
        <v>113</v>
      </c>
      <c r="H4781" s="1" t="str">
        <f>VLOOKUP(F4781,Countries!$A$1:$B$161,2,0)</f>
        <v>United States of America</v>
      </c>
    </row>
    <row r="4782" spans="1:8" x14ac:dyDescent="0.3">
      <c r="A4782" s="3">
        <v>46244.71365740741</v>
      </c>
      <c r="B4782" s="1">
        <v>14.77</v>
      </c>
      <c r="C4782" s="1">
        <v>12.79</v>
      </c>
      <c r="D4782" s="1">
        <v>0.93</v>
      </c>
      <c r="E4782" s="1" t="s">
        <v>113</v>
      </c>
      <c r="F4782" s="1" t="s">
        <v>113</v>
      </c>
      <c r="G4782" s="1" t="s">
        <v>113</v>
      </c>
      <c r="H4782" s="1" t="str">
        <f>VLOOKUP(F4782,Countries!$A$1:$B$161,2,0)</f>
        <v>United States of America</v>
      </c>
    </row>
    <row r="4783" spans="1:8" x14ac:dyDescent="0.3">
      <c r="A4783" s="3">
        <v>46244.708414351851</v>
      </c>
      <c r="B4783" s="1">
        <v>15</v>
      </c>
      <c r="C4783" s="1">
        <v>12.99</v>
      </c>
      <c r="D4783" s="1">
        <v>0.93</v>
      </c>
      <c r="E4783" s="1" t="s">
        <v>113</v>
      </c>
      <c r="F4783" s="1" t="s">
        <v>113</v>
      </c>
      <c r="G4783" s="1" t="s">
        <v>113</v>
      </c>
      <c r="H4783" s="1" t="str">
        <f>VLOOKUP(F4783,Countries!$A$1:$B$161,2,0)</f>
        <v>United States of America</v>
      </c>
    </row>
    <row r="4784" spans="1:8" x14ac:dyDescent="0.3">
      <c r="A4784" s="3">
        <v>46244.705057870371</v>
      </c>
      <c r="B4784" s="1">
        <v>6.37</v>
      </c>
      <c r="C4784" s="1">
        <v>5.51</v>
      </c>
      <c r="D4784" s="1">
        <v>0.54</v>
      </c>
      <c r="E4784" s="1" t="s">
        <v>113</v>
      </c>
      <c r="F4784" s="1" t="s">
        <v>113</v>
      </c>
      <c r="G4784" s="1" t="s">
        <v>113</v>
      </c>
      <c r="H4784" s="1" t="str">
        <f>VLOOKUP(F4784,Countries!$A$1:$B$161,2,0)</f>
        <v>United States of America</v>
      </c>
    </row>
    <row r="4785" spans="1:8" x14ac:dyDescent="0.3">
      <c r="A4785" s="3">
        <v>46244.699212962973</v>
      </c>
      <c r="B4785" s="1">
        <v>14.77</v>
      </c>
      <c r="C4785" s="1">
        <v>12.79</v>
      </c>
      <c r="D4785" s="1">
        <v>0.93</v>
      </c>
      <c r="E4785" s="1" t="s">
        <v>113</v>
      </c>
      <c r="F4785" s="1" t="s">
        <v>113</v>
      </c>
      <c r="G4785" s="1" t="s">
        <v>113</v>
      </c>
      <c r="H4785" s="1" t="str">
        <f>VLOOKUP(F4785,Countries!$A$1:$B$161,2,0)</f>
        <v>United States of America</v>
      </c>
    </row>
    <row r="4786" spans="1:8" x14ac:dyDescent="0.3">
      <c r="A4786" s="3">
        <v>46244.690150462957</v>
      </c>
      <c r="B4786" s="1">
        <v>17.739999999999998</v>
      </c>
      <c r="C4786" s="1">
        <v>15.36</v>
      </c>
      <c r="D4786" s="1">
        <v>1.06</v>
      </c>
      <c r="E4786" s="1" t="s">
        <v>113</v>
      </c>
      <c r="F4786" s="1" t="s">
        <v>113</v>
      </c>
      <c r="G4786" s="1" t="s">
        <v>113</v>
      </c>
      <c r="H4786" s="1" t="str">
        <f>VLOOKUP(F4786,Countries!$A$1:$B$161,2,0)</f>
        <v>United States of America</v>
      </c>
    </row>
    <row r="4787" spans="1:8" x14ac:dyDescent="0.3">
      <c r="A4787" s="3">
        <v>46244.689814814818</v>
      </c>
      <c r="B4787" s="1">
        <v>2.99</v>
      </c>
      <c r="C4787" s="1">
        <v>2.59</v>
      </c>
      <c r="D4787" s="1">
        <v>0.38</v>
      </c>
      <c r="E4787" s="1" t="s">
        <v>114</v>
      </c>
      <c r="F4787" s="1" t="s">
        <v>114</v>
      </c>
      <c r="G4787" s="1" t="s">
        <v>114</v>
      </c>
      <c r="H4787" s="1" t="str">
        <f>VLOOKUP(F4787,Countries!$A$1:$B$161,2,0)</f>
        <v>Philippines</v>
      </c>
    </row>
    <row r="4788" spans="1:8" x14ac:dyDescent="0.3">
      <c r="A4788" s="3">
        <v>46244.68922453704</v>
      </c>
      <c r="B4788" s="1">
        <v>14.77</v>
      </c>
      <c r="C4788" s="1">
        <v>12.79</v>
      </c>
      <c r="D4788" s="1">
        <v>0.93</v>
      </c>
      <c r="E4788" s="1" t="s">
        <v>113</v>
      </c>
      <c r="F4788" s="1" t="s">
        <v>113</v>
      </c>
      <c r="G4788" s="1" t="s">
        <v>113</v>
      </c>
      <c r="H4788" s="1" t="str">
        <f>VLOOKUP(F4788,Countries!$A$1:$B$161,2,0)</f>
        <v>United States of America</v>
      </c>
    </row>
    <row r="4789" spans="1:8" x14ac:dyDescent="0.3">
      <c r="A4789" s="3">
        <v>46244.688668981478</v>
      </c>
      <c r="B4789" s="1">
        <v>6.37</v>
      </c>
      <c r="C4789" s="1">
        <v>5.51</v>
      </c>
      <c r="D4789" s="1">
        <v>0.54</v>
      </c>
      <c r="E4789" s="1" t="s">
        <v>113</v>
      </c>
      <c r="F4789" s="1" t="s">
        <v>113</v>
      </c>
      <c r="G4789" s="1" t="s">
        <v>113</v>
      </c>
      <c r="H4789" s="1" t="str">
        <f>VLOOKUP(F4789,Countries!$A$1:$B$161,2,0)</f>
        <v>United States of America</v>
      </c>
    </row>
    <row r="4790" spans="1:8" x14ac:dyDescent="0.3">
      <c r="A4790" s="3">
        <v>46244.686898148153</v>
      </c>
      <c r="B4790" s="1">
        <v>127.64</v>
      </c>
      <c r="C4790" s="1">
        <v>110.5</v>
      </c>
      <c r="D4790" s="1">
        <v>6.05</v>
      </c>
      <c r="E4790" s="1" t="s">
        <v>113</v>
      </c>
      <c r="F4790" s="1" t="s">
        <v>113</v>
      </c>
      <c r="G4790" s="1" t="s">
        <v>113</v>
      </c>
      <c r="H4790" s="1" t="str">
        <f>VLOOKUP(F4790,Countries!$A$1:$B$161,2,0)</f>
        <v>United States of America</v>
      </c>
    </row>
    <row r="4791" spans="1:8" x14ac:dyDescent="0.3">
      <c r="A4791" s="3">
        <v>46244.683749999997</v>
      </c>
      <c r="B4791" s="1">
        <v>6.37</v>
      </c>
      <c r="C4791" s="1">
        <v>5.51</v>
      </c>
      <c r="D4791" s="1">
        <v>0.54</v>
      </c>
      <c r="E4791" s="1" t="s">
        <v>113</v>
      </c>
      <c r="F4791" s="1" t="s">
        <v>113</v>
      </c>
      <c r="G4791" s="1" t="s">
        <v>113</v>
      </c>
      <c r="H4791" s="1" t="str">
        <f>VLOOKUP(F4791,Countries!$A$1:$B$161,2,0)</f>
        <v>United States of America</v>
      </c>
    </row>
    <row r="4792" spans="1:8" x14ac:dyDescent="0.3">
      <c r="A4792" s="3">
        <v>46244.681863425933</v>
      </c>
      <c r="B4792" s="1">
        <v>10.62</v>
      </c>
      <c r="C4792" s="1">
        <v>9.19</v>
      </c>
      <c r="D4792" s="1">
        <v>0.73</v>
      </c>
      <c r="E4792" s="1" t="s">
        <v>113</v>
      </c>
      <c r="F4792" s="1" t="s">
        <v>113</v>
      </c>
      <c r="G4792" s="1" t="s">
        <v>113</v>
      </c>
      <c r="H4792" s="1" t="str">
        <f>VLOOKUP(F4792,Countries!$A$1:$B$161,2,0)</f>
        <v>United States of America</v>
      </c>
    </row>
    <row r="4793" spans="1:8" x14ac:dyDescent="0.3">
      <c r="A4793" s="3">
        <v>46244.678090277783</v>
      </c>
      <c r="B4793" s="1">
        <v>14.77</v>
      </c>
      <c r="C4793" s="1">
        <v>12.79</v>
      </c>
      <c r="D4793" s="1">
        <v>0.93</v>
      </c>
      <c r="E4793" s="1" t="s">
        <v>113</v>
      </c>
      <c r="F4793" s="1" t="s">
        <v>113</v>
      </c>
      <c r="G4793" s="1" t="s">
        <v>113</v>
      </c>
      <c r="H4793" s="1" t="str">
        <f>VLOOKUP(F4793,Countries!$A$1:$B$161,2,0)</f>
        <v>United States of America</v>
      </c>
    </row>
    <row r="4794" spans="1:8" x14ac:dyDescent="0.3">
      <c r="A4794" s="3">
        <v>46244.677037037043</v>
      </c>
      <c r="B4794" s="1">
        <v>51.75</v>
      </c>
      <c r="C4794" s="1">
        <v>44.8</v>
      </c>
      <c r="D4794" s="1">
        <v>2.61</v>
      </c>
      <c r="E4794" s="1" t="s">
        <v>113</v>
      </c>
      <c r="F4794" s="1" t="s">
        <v>113</v>
      </c>
      <c r="G4794" s="1" t="s">
        <v>113</v>
      </c>
      <c r="H4794" s="1" t="str">
        <f>VLOOKUP(F4794,Countries!$A$1:$B$161,2,0)</f>
        <v>United States of America</v>
      </c>
    </row>
    <row r="4795" spans="1:8" x14ac:dyDescent="0.3">
      <c r="A4795" s="3">
        <v>46244.676979166667</v>
      </c>
      <c r="B4795" s="1">
        <v>6.37</v>
      </c>
      <c r="C4795" s="1">
        <v>5.51</v>
      </c>
      <c r="D4795" s="1">
        <v>0.54</v>
      </c>
      <c r="E4795" s="1" t="s">
        <v>113</v>
      </c>
      <c r="F4795" s="1" t="s">
        <v>113</v>
      </c>
      <c r="G4795" s="1" t="s">
        <v>113</v>
      </c>
      <c r="H4795" s="1" t="str">
        <f>VLOOKUP(F4795,Countries!$A$1:$B$161,2,0)</f>
        <v>United States of America</v>
      </c>
    </row>
    <row r="4796" spans="1:8" x14ac:dyDescent="0.3">
      <c r="A4796" s="3">
        <v>46244.676076388889</v>
      </c>
      <c r="B4796" s="1">
        <v>5.99</v>
      </c>
      <c r="C4796" s="1">
        <v>5.19</v>
      </c>
      <c r="D4796" s="1">
        <v>0.52</v>
      </c>
      <c r="E4796" s="1" t="s">
        <v>113</v>
      </c>
      <c r="F4796" s="1" t="s">
        <v>113</v>
      </c>
      <c r="G4796" s="1" t="s">
        <v>113</v>
      </c>
      <c r="H4796" s="1" t="str">
        <f>VLOOKUP(F4796,Countries!$A$1:$B$161,2,0)</f>
        <v>United States of America</v>
      </c>
    </row>
    <row r="4797" spans="1:8" x14ac:dyDescent="0.3">
      <c r="A4797" s="3">
        <v>46244.671377314808</v>
      </c>
      <c r="B4797" s="1">
        <v>14.77</v>
      </c>
      <c r="C4797" s="1">
        <v>12.79</v>
      </c>
      <c r="D4797" s="1">
        <v>0.93</v>
      </c>
      <c r="E4797" s="1" t="s">
        <v>113</v>
      </c>
      <c r="F4797" s="1" t="s">
        <v>113</v>
      </c>
      <c r="G4797" s="1" t="s">
        <v>113</v>
      </c>
      <c r="H4797" s="1" t="str">
        <f>VLOOKUP(F4797,Countries!$A$1:$B$161,2,0)</f>
        <v>United States of America</v>
      </c>
    </row>
    <row r="4798" spans="1:8" x14ac:dyDescent="0.3">
      <c r="A4798" s="3">
        <v>46244.671249999999</v>
      </c>
      <c r="B4798" s="1">
        <v>14.77</v>
      </c>
      <c r="C4798" s="1">
        <v>12.79</v>
      </c>
      <c r="D4798" s="1">
        <v>0.93</v>
      </c>
      <c r="E4798" s="1" t="s">
        <v>113</v>
      </c>
      <c r="F4798" s="1" t="s">
        <v>113</v>
      </c>
      <c r="G4798" s="1" t="s">
        <v>113</v>
      </c>
      <c r="H4798" s="1" t="str">
        <f>VLOOKUP(F4798,Countries!$A$1:$B$161,2,0)</f>
        <v>United States of America</v>
      </c>
    </row>
    <row r="4799" spans="1:8" x14ac:dyDescent="0.3">
      <c r="A4799" s="3">
        <v>46244.671122685177</v>
      </c>
      <c r="B4799" s="1">
        <v>14.77</v>
      </c>
      <c r="C4799" s="1">
        <v>12.79</v>
      </c>
      <c r="D4799" s="1">
        <v>0.93</v>
      </c>
      <c r="E4799" s="1" t="s">
        <v>113</v>
      </c>
      <c r="F4799" s="1" t="s">
        <v>113</v>
      </c>
      <c r="G4799" s="1" t="s">
        <v>113</v>
      </c>
      <c r="H4799" s="1" t="str">
        <f>VLOOKUP(F4799,Countries!$A$1:$B$161,2,0)</f>
        <v>United States of America</v>
      </c>
    </row>
    <row r="4800" spans="1:8" x14ac:dyDescent="0.3">
      <c r="A4800" s="3">
        <v>46244.670902777783</v>
      </c>
      <c r="B4800" s="1">
        <v>14.77</v>
      </c>
      <c r="C4800" s="1">
        <v>12.79</v>
      </c>
      <c r="D4800" s="1">
        <v>0.93</v>
      </c>
      <c r="E4800" s="1" t="s">
        <v>113</v>
      </c>
      <c r="F4800" s="1" t="s">
        <v>113</v>
      </c>
      <c r="G4800" s="1" t="s">
        <v>113</v>
      </c>
      <c r="H4800" s="1" t="str">
        <f>VLOOKUP(F4800,Countries!$A$1:$B$161,2,0)</f>
        <v>United States of America</v>
      </c>
    </row>
    <row r="4801" spans="1:8" x14ac:dyDescent="0.3">
      <c r="A4801" s="3">
        <v>46244.668761574067</v>
      </c>
      <c r="B4801" s="1">
        <v>6.37</v>
      </c>
      <c r="C4801" s="1">
        <v>5.51</v>
      </c>
      <c r="D4801" s="1">
        <v>0.54</v>
      </c>
      <c r="E4801" s="1" t="s">
        <v>113</v>
      </c>
      <c r="F4801" s="1" t="s">
        <v>113</v>
      </c>
      <c r="G4801" s="1" t="s">
        <v>113</v>
      </c>
      <c r="H4801" s="1" t="str">
        <f>VLOOKUP(F4801,Countries!$A$1:$B$161,2,0)</f>
        <v>United States of America</v>
      </c>
    </row>
    <row r="4802" spans="1:8" x14ac:dyDescent="0.3">
      <c r="A4802" s="3">
        <v>46244.664131944453</v>
      </c>
      <c r="B4802" s="1">
        <v>6.37</v>
      </c>
      <c r="C4802" s="1">
        <v>5.51</v>
      </c>
      <c r="D4802" s="1">
        <v>0.54</v>
      </c>
      <c r="E4802" s="1" t="s">
        <v>113</v>
      </c>
      <c r="F4802" s="1" t="s">
        <v>113</v>
      </c>
      <c r="G4802" s="1" t="s">
        <v>113</v>
      </c>
      <c r="H4802" s="1" t="str">
        <f>VLOOKUP(F4802,Countries!$A$1:$B$161,2,0)</f>
        <v>United States of America</v>
      </c>
    </row>
    <row r="4803" spans="1:8" x14ac:dyDescent="0.3">
      <c r="A4803" s="3">
        <v>46244.663657407407</v>
      </c>
      <c r="B4803" s="1">
        <v>6.37</v>
      </c>
      <c r="C4803" s="1">
        <v>5.51</v>
      </c>
      <c r="D4803" s="1">
        <v>0.54</v>
      </c>
      <c r="E4803" s="1" t="s">
        <v>113</v>
      </c>
      <c r="F4803" s="1" t="s">
        <v>113</v>
      </c>
      <c r="G4803" s="1" t="s">
        <v>113</v>
      </c>
      <c r="H4803" s="1" t="str">
        <f>VLOOKUP(F4803,Countries!$A$1:$B$161,2,0)</f>
        <v>United States of America</v>
      </c>
    </row>
    <row r="4804" spans="1:8" x14ac:dyDescent="0.3">
      <c r="A4804" s="3">
        <v>46244.658136574071</v>
      </c>
      <c r="B4804" s="1">
        <v>6.37</v>
      </c>
      <c r="C4804" s="1">
        <v>5.51</v>
      </c>
      <c r="D4804" s="1">
        <v>0.54</v>
      </c>
      <c r="E4804" s="1" t="s">
        <v>140</v>
      </c>
      <c r="F4804" s="1" t="s">
        <v>140</v>
      </c>
      <c r="G4804" s="1" t="s">
        <v>140</v>
      </c>
      <c r="H4804" s="1" t="str">
        <f>VLOOKUP(F4804,Countries!$A$1:$B$161,2,0)</f>
        <v>Colombia</v>
      </c>
    </row>
    <row r="4805" spans="1:8" x14ac:dyDescent="0.3">
      <c r="A4805" s="3">
        <v>46244.631111111114</v>
      </c>
      <c r="B4805" s="1">
        <v>2.99</v>
      </c>
      <c r="C4805" s="1">
        <v>2.59</v>
      </c>
      <c r="D4805" s="1">
        <v>0.38</v>
      </c>
      <c r="E4805" s="1" t="s">
        <v>200</v>
      </c>
      <c r="F4805" s="1" t="s">
        <v>200</v>
      </c>
      <c r="G4805" s="1" t="s">
        <v>200</v>
      </c>
      <c r="H4805" s="1" t="str">
        <f>VLOOKUP(F4805,Countries!$A$1:$B$161,2,0)</f>
        <v>Iraq</v>
      </c>
    </row>
    <row r="4806" spans="1:8" x14ac:dyDescent="0.3">
      <c r="A4806" s="3">
        <v>46244.625798611109</v>
      </c>
      <c r="B4806" s="1">
        <v>14.77</v>
      </c>
      <c r="C4806" s="1">
        <v>12.79</v>
      </c>
      <c r="D4806" s="1">
        <v>0.93</v>
      </c>
      <c r="E4806" s="1" t="s">
        <v>113</v>
      </c>
      <c r="F4806" s="1" t="s">
        <v>113</v>
      </c>
      <c r="G4806" s="1" t="s">
        <v>113</v>
      </c>
      <c r="H4806" s="1" t="str">
        <f>VLOOKUP(F4806,Countries!$A$1:$B$161,2,0)</f>
        <v>United States of America</v>
      </c>
    </row>
    <row r="4807" spans="1:8" x14ac:dyDescent="0.3">
      <c r="A4807" s="3">
        <v>46244.623425925929</v>
      </c>
      <c r="B4807" s="1">
        <v>7.77</v>
      </c>
      <c r="C4807" s="1">
        <v>6.73</v>
      </c>
      <c r="D4807" s="1">
        <v>0.48</v>
      </c>
      <c r="E4807" s="1" t="s">
        <v>137</v>
      </c>
      <c r="F4807" s="1" t="s">
        <v>137</v>
      </c>
      <c r="G4807" s="1" t="s">
        <v>137</v>
      </c>
      <c r="H4807" s="1" t="str">
        <f>VLOOKUP(F4807,Countries!$A$1:$B$161,2,0)</f>
        <v>Poland</v>
      </c>
    </row>
    <row r="4808" spans="1:8" x14ac:dyDescent="0.3">
      <c r="A4808" s="3">
        <v>46244.621180555558</v>
      </c>
      <c r="B4808" s="1">
        <v>12.97</v>
      </c>
      <c r="C4808" s="1">
        <v>11.23</v>
      </c>
      <c r="D4808" s="1">
        <v>0.64</v>
      </c>
      <c r="E4808" s="1" t="s">
        <v>137</v>
      </c>
      <c r="F4808" s="1" t="s">
        <v>137</v>
      </c>
      <c r="G4808" s="1" t="s">
        <v>137</v>
      </c>
      <c r="H4808" s="1" t="str">
        <f>VLOOKUP(F4808,Countries!$A$1:$B$161,2,0)</f>
        <v>Poland</v>
      </c>
    </row>
    <row r="4809" spans="1:8" x14ac:dyDescent="0.3">
      <c r="A4809" s="3">
        <v>46244.613495370373</v>
      </c>
      <c r="B4809" s="1">
        <v>58.41</v>
      </c>
      <c r="C4809" s="1">
        <v>50.59</v>
      </c>
      <c r="D4809" s="1">
        <v>2.9</v>
      </c>
      <c r="E4809" s="1" t="s">
        <v>132</v>
      </c>
      <c r="F4809" s="1" t="s">
        <v>132</v>
      </c>
      <c r="G4809" s="1" t="s">
        <v>132</v>
      </c>
      <c r="H4809" s="1" t="str">
        <f>VLOOKUP(F4809,Countries!$A$1:$B$161,2,0)</f>
        <v>Canada</v>
      </c>
    </row>
    <row r="4810" spans="1:8" x14ac:dyDescent="0.3">
      <c r="A4810" s="3">
        <v>46244.61173611111</v>
      </c>
      <c r="B4810" s="1">
        <v>7.48</v>
      </c>
      <c r="C4810" s="1">
        <v>6.48</v>
      </c>
      <c r="D4810" s="1">
        <v>0.48</v>
      </c>
      <c r="E4810" s="1" t="s">
        <v>123</v>
      </c>
      <c r="F4810" s="1" t="s">
        <v>123</v>
      </c>
      <c r="G4810" s="1" t="s">
        <v>123</v>
      </c>
      <c r="H4810" s="1" t="str">
        <f>VLOOKUP(F4810,Countries!$A$1:$B$161,2,0)</f>
        <v>France</v>
      </c>
    </row>
    <row r="4811" spans="1:8" x14ac:dyDescent="0.3">
      <c r="A4811" s="3">
        <v>46244.607442129629</v>
      </c>
      <c r="B4811" s="1">
        <v>14.62</v>
      </c>
      <c r="C4811" s="1">
        <v>12.66</v>
      </c>
      <c r="D4811" s="1">
        <v>0.91</v>
      </c>
      <c r="E4811" s="1" t="s">
        <v>132</v>
      </c>
      <c r="F4811" s="1" t="s">
        <v>132</v>
      </c>
      <c r="G4811" s="1" t="s">
        <v>132</v>
      </c>
      <c r="H4811" s="1" t="str">
        <f>VLOOKUP(F4811,Countries!$A$1:$B$161,2,0)</f>
        <v>Canada</v>
      </c>
    </row>
    <row r="4812" spans="1:8" x14ac:dyDescent="0.3">
      <c r="A4812" s="3">
        <v>46244.604375000003</v>
      </c>
      <c r="B4812" s="1">
        <v>44.36</v>
      </c>
      <c r="C4812" s="1">
        <v>38.42</v>
      </c>
      <c r="D4812" s="1">
        <v>2.27</v>
      </c>
      <c r="E4812" s="1" t="s">
        <v>113</v>
      </c>
      <c r="F4812" s="1" t="s">
        <v>113</v>
      </c>
      <c r="G4812" s="1" t="s">
        <v>113</v>
      </c>
      <c r="H4812" s="1" t="str">
        <f>VLOOKUP(F4812,Countries!$A$1:$B$161,2,0)</f>
        <v>United States of America</v>
      </c>
    </row>
    <row r="4813" spans="1:8" x14ac:dyDescent="0.3">
      <c r="A4813" s="3">
        <v>46244.602048611108</v>
      </c>
      <c r="B4813" s="1">
        <v>44.36</v>
      </c>
      <c r="C4813" s="1">
        <v>38.42</v>
      </c>
      <c r="D4813" s="1">
        <v>2.27</v>
      </c>
      <c r="E4813" s="1" t="s">
        <v>113</v>
      </c>
      <c r="F4813" s="1" t="s">
        <v>113</v>
      </c>
      <c r="G4813" s="1" t="s">
        <v>113</v>
      </c>
      <c r="H4813" s="1" t="str">
        <f>VLOOKUP(F4813,Countries!$A$1:$B$161,2,0)</f>
        <v>United States of America</v>
      </c>
    </row>
    <row r="4814" spans="1:8" x14ac:dyDescent="0.3">
      <c r="A4814" s="3">
        <v>46244.601886574077</v>
      </c>
      <c r="B4814" s="1">
        <v>44.36</v>
      </c>
      <c r="C4814" s="1">
        <v>38.42</v>
      </c>
      <c r="D4814" s="1">
        <v>2.27</v>
      </c>
      <c r="E4814" s="1" t="s">
        <v>113</v>
      </c>
      <c r="F4814" s="1" t="s">
        <v>113</v>
      </c>
      <c r="G4814" s="1" t="s">
        <v>113</v>
      </c>
      <c r="H4814" s="1" t="str">
        <f>VLOOKUP(F4814,Countries!$A$1:$B$161,2,0)</f>
        <v>United States of America</v>
      </c>
    </row>
    <row r="4815" spans="1:8" x14ac:dyDescent="0.3">
      <c r="A4815" s="3">
        <v>46244.598483796297</v>
      </c>
      <c r="B4815" s="1">
        <v>16.34</v>
      </c>
      <c r="C4815" s="1">
        <v>14.15</v>
      </c>
      <c r="D4815" s="1">
        <v>0.99</v>
      </c>
      <c r="E4815" s="1" t="s">
        <v>160</v>
      </c>
      <c r="F4815" s="1" t="s">
        <v>160</v>
      </c>
      <c r="G4815" s="1" t="s">
        <v>160</v>
      </c>
      <c r="H4815" s="1" t="str">
        <f>VLOOKUP(F4815,Countries!$A$1:$B$161,2,0)</f>
        <v>New Zealand</v>
      </c>
    </row>
    <row r="4816" spans="1:8" x14ac:dyDescent="0.3">
      <c r="A4816" s="3">
        <v>46244.597905092603</v>
      </c>
      <c r="B4816" s="1">
        <v>3.88</v>
      </c>
      <c r="C4816" s="1">
        <v>3.36</v>
      </c>
      <c r="D4816" s="1">
        <v>0.37</v>
      </c>
      <c r="E4816" s="1" t="s">
        <v>137</v>
      </c>
      <c r="F4816" s="1" t="s">
        <v>137</v>
      </c>
      <c r="G4816" s="1" t="s">
        <v>137</v>
      </c>
      <c r="H4816" s="1" t="str">
        <f>VLOOKUP(F4816,Countries!$A$1:$B$161,2,0)</f>
        <v>Poland</v>
      </c>
    </row>
    <row r="4817" spans="1:8" x14ac:dyDescent="0.3">
      <c r="A4817" s="3">
        <v>46244.579976851863</v>
      </c>
      <c r="B4817" s="1">
        <v>7.48</v>
      </c>
      <c r="C4817" s="1">
        <v>6.48</v>
      </c>
      <c r="D4817" s="1">
        <v>0.48</v>
      </c>
      <c r="E4817" s="1" t="s">
        <v>123</v>
      </c>
      <c r="F4817" s="1" t="s">
        <v>123</v>
      </c>
      <c r="G4817" s="1" t="s">
        <v>123</v>
      </c>
      <c r="H4817" s="1" t="str">
        <f>VLOOKUP(F4817,Countries!$A$1:$B$161,2,0)</f>
        <v>France</v>
      </c>
    </row>
    <row r="4818" spans="1:8" x14ac:dyDescent="0.3">
      <c r="A4818" s="3">
        <v>46244.572418981479</v>
      </c>
      <c r="B4818" s="1">
        <v>9.99</v>
      </c>
      <c r="C4818" s="1">
        <v>8.65</v>
      </c>
      <c r="D4818" s="1">
        <v>0.7</v>
      </c>
      <c r="E4818" s="1" t="s">
        <v>214</v>
      </c>
      <c r="F4818" s="1" t="s">
        <v>214</v>
      </c>
      <c r="G4818" s="1" t="s">
        <v>214</v>
      </c>
      <c r="H4818" s="1" t="str">
        <f>VLOOKUP(F4818,Countries!$A$1:$B$161,2,0)</f>
        <v>Peru</v>
      </c>
    </row>
    <row r="4819" spans="1:8" x14ac:dyDescent="0.3">
      <c r="A4819" s="3">
        <v>46244.566423611112</v>
      </c>
      <c r="B4819" s="1">
        <v>6.37</v>
      </c>
      <c r="C4819" s="1">
        <v>5.52</v>
      </c>
      <c r="D4819" s="1">
        <v>0.54</v>
      </c>
      <c r="E4819" s="1" t="s">
        <v>113</v>
      </c>
      <c r="F4819" s="1" t="s">
        <v>113</v>
      </c>
      <c r="G4819" s="1" t="s">
        <v>113</v>
      </c>
      <c r="H4819" s="1" t="str">
        <f>VLOOKUP(F4819,Countries!$A$1:$B$161,2,0)</f>
        <v>United States of America</v>
      </c>
    </row>
    <row r="4820" spans="1:8" x14ac:dyDescent="0.3">
      <c r="A4820" s="3">
        <v>46244.556921296287</v>
      </c>
      <c r="B4820" s="1">
        <v>29.57</v>
      </c>
      <c r="C4820" s="1">
        <v>25.61</v>
      </c>
      <c r="D4820" s="1">
        <v>1.59</v>
      </c>
      <c r="E4820" s="1" t="s">
        <v>113</v>
      </c>
      <c r="F4820" s="1" t="s">
        <v>113</v>
      </c>
      <c r="G4820" s="1" t="s">
        <v>113</v>
      </c>
      <c r="H4820" s="1" t="str">
        <f>VLOOKUP(F4820,Countries!$A$1:$B$161,2,0)</f>
        <v>United States of America</v>
      </c>
    </row>
    <row r="4821" spans="1:8" x14ac:dyDescent="0.3">
      <c r="A4821" s="3">
        <v>46244.556747685187</v>
      </c>
      <c r="B4821" s="1">
        <v>29.57</v>
      </c>
      <c r="C4821" s="1">
        <v>25.61</v>
      </c>
      <c r="D4821" s="1">
        <v>1.59</v>
      </c>
      <c r="E4821" s="1" t="s">
        <v>113</v>
      </c>
      <c r="F4821" s="1" t="s">
        <v>113</v>
      </c>
      <c r="G4821" s="1" t="s">
        <v>113</v>
      </c>
      <c r="H4821" s="1" t="str">
        <f>VLOOKUP(F4821,Countries!$A$1:$B$161,2,0)</f>
        <v>United States of America</v>
      </c>
    </row>
    <row r="4822" spans="1:8" x14ac:dyDescent="0.3">
      <c r="A4822" s="3">
        <v>46244.554155092592</v>
      </c>
      <c r="B4822" s="1">
        <v>2.11</v>
      </c>
      <c r="C4822" s="1">
        <v>1.83</v>
      </c>
      <c r="D4822" s="1">
        <v>0.35</v>
      </c>
      <c r="E4822" s="1" t="s">
        <v>127</v>
      </c>
      <c r="F4822" s="1" t="s">
        <v>113</v>
      </c>
      <c r="G4822" s="1" t="s">
        <v>113</v>
      </c>
      <c r="H4822" s="1" t="str">
        <f>VLOOKUP(F4822,Countries!$A$1:$B$161,2,0)</f>
        <v>United States of America</v>
      </c>
    </row>
    <row r="4823" spans="1:8" x14ac:dyDescent="0.3">
      <c r="A4823" s="3">
        <v>46244.554108796299</v>
      </c>
      <c r="B4823" s="1">
        <v>14.77</v>
      </c>
      <c r="C4823" s="1">
        <v>12.79</v>
      </c>
      <c r="D4823" s="1">
        <v>0.93</v>
      </c>
      <c r="E4823" s="1" t="s">
        <v>113</v>
      </c>
      <c r="F4823" s="1" t="s">
        <v>113</v>
      </c>
      <c r="G4823" s="1" t="s">
        <v>113</v>
      </c>
      <c r="H4823" s="1" t="str">
        <f>VLOOKUP(F4823,Countries!$A$1:$B$161,2,0)</f>
        <v>United States of America</v>
      </c>
    </row>
    <row r="4824" spans="1:8" x14ac:dyDescent="0.3">
      <c r="A4824" s="3">
        <v>46244.552488425928</v>
      </c>
      <c r="B4824" s="1">
        <v>5.99</v>
      </c>
      <c r="C4824" s="1">
        <v>5.19</v>
      </c>
      <c r="D4824" s="1">
        <v>0.52</v>
      </c>
      <c r="E4824" s="1" t="s">
        <v>129</v>
      </c>
      <c r="F4824" s="1" t="s">
        <v>129</v>
      </c>
      <c r="G4824" s="1" t="s">
        <v>129</v>
      </c>
      <c r="H4824" s="1" t="str">
        <f>VLOOKUP(F4824,Countries!$A$1:$B$161,2,0)</f>
        <v>Qatar</v>
      </c>
    </row>
    <row r="4825" spans="1:8" x14ac:dyDescent="0.3">
      <c r="A4825" s="3">
        <v>46244.549988425933</v>
      </c>
      <c r="B4825" s="1">
        <v>7.04</v>
      </c>
      <c r="C4825" s="1">
        <v>6.1</v>
      </c>
      <c r="D4825" s="1">
        <v>0.56999999999999995</v>
      </c>
      <c r="E4825" s="1" t="s">
        <v>128</v>
      </c>
      <c r="F4825" s="1" t="s">
        <v>128</v>
      </c>
      <c r="G4825" s="1" t="s">
        <v>128</v>
      </c>
      <c r="H4825" s="1" t="str">
        <f>VLOOKUP(F4825,Countries!$A$1:$B$161,2,0)</f>
        <v>South Africa</v>
      </c>
    </row>
    <row r="4826" spans="1:8" x14ac:dyDescent="0.3">
      <c r="A4826" s="3">
        <v>46244.546539351853</v>
      </c>
      <c r="B4826" s="1">
        <v>14.77</v>
      </c>
      <c r="C4826" s="1">
        <v>12.79</v>
      </c>
      <c r="D4826" s="1">
        <v>0.93</v>
      </c>
      <c r="E4826" s="1" t="s">
        <v>113</v>
      </c>
      <c r="F4826" s="1" t="s">
        <v>113</v>
      </c>
      <c r="G4826" s="1" t="s">
        <v>113</v>
      </c>
      <c r="H4826" s="1" t="str">
        <f>VLOOKUP(F4826,Countries!$A$1:$B$161,2,0)</f>
        <v>United States of America</v>
      </c>
    </row>
    <row r="4827" spans="1:8" x14ac:dyDescent="0.3">
      <c r="A4827" s="3">
        <v>46244.54146990741</v>
      </c>
      <c r="B4827" s="1">
        <v>5.99</v>
      </c>
      <c r="C4827" s="1">
        <v>5.19</v>
      </c>
      <c r="D4827" s="1">
        <v>0.52</v>
      </c>
      <c r="E4827" s="1" t="s">
        <v>119</v>
      </c>
      <c r="F4827" s="1" t="s">
        <v>129</v>
      </c>
      <c r="G4827" s="1" t="s">
        <v>129</v>
      </c>
      <c r="H4827" s="1" t="str">
        <f>VLOOKUP(F4827,Countries!$A$1:$B$161,2,0)</f>
        <v>Qatar</v>
      </c>
    </row>
    <row r="4828" spans="1:8" x14ac:dyDescent="0.3">
      <c r="A4828" s="3">
        <v>46244.54078703704</v>
      </c>
      <c r="B4828" s="1">
        <v>7.77</v>
      </c>
      <c r="C4828" s="1">
        <v>6.73</v>
      </c>
      <c r="D4828" s="1">
        <v>0.48</v>
      </c>
      <c r="E4828" s="1" t="s">
        <v>137</v>
      </c>
      <c r="F4828" s="1" t="s">
        <v>137</v>
      </c>
      <c r="G4828" s="1" t="s">
        <v>137</v>
      </c>
      <c r="H4828" s="1" t="str">
        <f>VLOOKUP(F4828,Countries!$A$1:$B$161,2,0)</f>
        <v>Poland</v>
      </c>
    </row>
    <row r="4829" spans="1:8" x14ac:dyDescent="0.3">
      <c r="A4829" s="3">
        <v>46244.537708333337</v>
      </c>
      <c r="B4829" s="1">
        <v>6.37</v>
      </c>
      <c r="C4829" s="1">
        <v>5.51</v>
      </c>
      <c r="D4829" s="1">
        <v>0.54</v>
      </c>
      <c r="E4829" s="1" t="s">
        <v>113</v>
      </c>
      <c r="F4829" s="1" t="s">
        <v>113</v>
      </c>
      <c r="G4829" s="1" t="s">
        <v>113</v>
      </c>
      <c r="H4829" s="1" t="str">
        <f>VLOOKUP(F4829,Countries!$A$1:$B$161,2,0)</f>
        <v>United States of America</v>
      </c>
    </row>
    <row r="4830" spans="1:8" x14ac:dyDescent="0.3">
      <c r="A4830" s="3">
        <v>46244.525046296287</v>
      </c>
      <c r="B4830" s="1">
        <v>63.05</v>
      </c>
      <c r="C4830" s="1">
        <v>54.58</v>
      </c>
      <c r="D4830" s="1">
        <v>3.11</v>
      </c>
      <c r="E4830" s="1" t="s">
        <v>114</v>
      </c>
      <c r="F4830" s="1" t="s">
        <v>114</v>
      </c>
      <c r="G4830" s="1" t="s">
        <v>114</v>
      </c>
      <c r="H4830" s="1" t="str">
        <f>VLOOKUP(F4830,Countries!$A$1:$B$161,2,0)</f>
        <v>Philippines</v>
      </c>
    </row>
    <row r="4831" spans="1:8" x14ac:dyDescent="0.3">
      <c r="A4831" s="3">
        <v>46244.522129629629</v>
      </c>
      <c r="B4831" s="1">
        <v>3.78</v>
      </c>
      <c r="C4831" s="1">
        <v>3.27</v>
      </c>
      <c r="D4831" s="1">
        <v>0.37</v>
      </c>
      <c r="E4831" s="1" t="s">
        <v>116</v>
      </c>
      <c r="F4831" s="1" t="s">
        <v>116</v>
      </c>
      <c r="G4831" s="1" t="s">
        <v>116</v>
      </c>
      <c r="H4831" s="1" t="str">
        <f>VLOOKUP(F4831,Countries!$A$1:$B$161,2,0)</f>
        <v>Spain</v>
      </c>
    </row>
    <row r="4832" spans="1:8" x14ac:dyDescent="0.3">
      <c r="A4832" s="3">
        <v>46244.517337962963</v>
      </c>
      <c r="B4832" s="1">
        <v>2.99</v>
      </c>
      <c r="C4832" s="1">
        <v>2.59</v>
      </c>
      <c r="D4832" s="1">
        <v>0.34</v>
      </c>
      <c r="E4832" s="1" t="s">
        <v>137</v>
      </c>
      <c r="F4832" s="1" t="s">
        <v>137</v>
      </c>
      <c r="G4832" s="1" t="s">
        <v>137</v>
      </c>
      <c r="H4832" s="1" t="str">
        <f>VLOOKUP(F4832,Countries!$A$1:$B$161,2,0)</f>
        <v>Poland</v>
      </c>
    </row>
    <row r="4833" spans="1:8" x14ac:dyDescent="0.3">
      <c r="A4833" s="3">
        <v>46244.513113425928</v>
      </c>
      <c r="B4833" s="1">
        <v>15.78</v>
      </c>
      <c r="C4833" s="1">
        <v>13.66</v>
      </c>
      <c r="D4833" s="1">
        <v>0.96</v>
      </c>
      <c r="E4833" s="1" t="s">
        <v>114</v>
      </c>
      <c r="F4833" s="1" t="s">
        <v>114</v>
      </c>
      <c r="G4833" s="1" t="s">
        <v>114</v>
      </c>
      <c r="H4833" s="1" t="str">
        <f>VLOOKUP(F4833,Countries!$A$1:$B$161,2,0)</f>
        <v>Philippines</v>
      </c>
    </row>
    <row r="4834" spans="1:8" x14ac:dyDescent="0.3">
      <c r="A4834" s="3">
        <v>46244.492349537039</v>
      </c>
      <c r="B4834" s="1">
        <v>3.32</v>
      </c>
      <c r="C4834" s="1">
        <v>2.87</v>
      </c>
      <c r="D4834" s="1">
        <v>0.4</v>
      </c>
      <c r="E4834" s="1" t="s">
        <v>130</v>
      </c>
      <c r="F4834" s="1" t="s">
        <v>130</v>
      </c>
      <c r="G4834" s="1" t="s">
        <v>130</v>
      </c>
      <c r="H4834" s="1" t="str">
        <f>VLOOKUP(F4834,Countries!$A$1:$B$161,2,0)</f>
        <v>Australia</v>
      </c>
    </row>
    <row r="4835" spans="1:8" x14ac:dyDescent="0.3">
      <c r="A4835" s="3">
        <v>46244.487060185187</v>
      </c>
      <c r="B4835" s="1">
        <v>7.98</v>
      </c>
      <c r="C4835" s="1">
        <v>6.91</v>
      </c>
      <c r="D4835" s="1">
        <v>0.49</v>
      </c>
      <c r="E4835" s="1" t="s">
        <v>133</v>
      </c>
      <c r="F4835" s="1" t="s">
        <v>133</v>
      </c>
      <c r="G4835" s="1" t="s">
        <v>133</v>
      </c>
      <c r="H4835" s="1" t="str">
        <f>VLOOKUP(F4835,Countries!$A$1:$B$161,2,0)</f>
        <v>Denmark</v>
      </c>
    </row>
    <row r="4836" spans="1:8" x14ac:dyDescent="0.3">
      <c r="A4836" s="3">
        <v>46244.484016203707</v>
      </c>
      <c r="B4836" s="1">
        <v>15.78</v>
      </c>
      <c r="C4836" s="1">
        <v>13.66</v>
      </c>
      <c r="D4836" s="1">
        <v>0.96</v>
      </c>
      <c r="E4836" s="1" t="s">
        <v>114</v>
      </c>
      <c r="F4836" s="1" t="s">
        <v>114</v>
      </c>
      <c r="G4836" s="1" t="s">
        <v>114</v>
      </c>
      <c r="H4836" s="1" t="str">
        <f>VLOOKUP(F4836,Countries!$A$1:$B$161,2,0)</f>
        <v>Philippines</v>
      </c>
    </row>
    <row r="4837" spans="1:8" x14ac:dyDescent="0.3">
      <c r="A4837" s="3">
        <v>46244.479074074072</v>
      </c>
      <c r="B4837" s="1">
        <v>16.34</v>
      </c>
      <c r="C4837" s="1">
        <v>14.14</v>
      </c>
      <c r="D4837" s="1">
        <v>0.99</v>
      </c>
      <c r="E4837" s="1" t="s">
        <v>160</v>
      </c>
      <c r="F4837" s="1" t="s">
        <v>160</v>
      </c>
      <c r="G4837" s="1" t="s">
        <v>160</v>
      </c>
      <c r="H4837" s="1" t="str">
        <f>VLOOKUP(F4837,Countries!$A$1:$B$161,2,0)</f>
        <v>New Zealand</v>
      </c>
    </row>
    <row r="4838" spans="1:8" x14ac:dyDescent="0.3">
      <c r="A4838" s="3">
        <v>46244.476018518522</v>
      </c>
      <c r="B4838" s="1">
        <v>6.37</v>
      </c>
      <c r="C4838" s="1">
        <v>5.51</v>
      </c>
      <c r="D4838" s="1">
        <v>0.54</v>
      </c>
      <c r="E4838" s="1" t="s">
        <v>113</v>
      </c>
      <c r="F4838" s="1" t="s">
        <v>113</v>
      </c>
      <c r="G4838" s="1" t="s">
        <v>113</v>
      </c>
      <c r="H4838" s="1" t="str">
        <f>VLOOKUP(F4838,Countries!$A$1:$B$161,2,0)</f>
        <v>United States of America</v>
      </c>
    </row>
    <row r="4839" spans="1:8" x14ac:dyDescent="0.3">
      <c r="A4839" s="3">
        <v>46244.467835648153</v>
      </c>
      <c r="B4839" s="1">
        <v>15.78</v>
      </c>
      <c r="C4839" s="1">
        <v>13.66</v>
      </c>
      <c r="D4839" s="1">
        <v>0.96</v>
      </c>
      <c r="E4839" s="1" t="s">
        <v>114</v>
      </c>
      <c r="F4839" s="1" t="s">
        <v>114</v>
      </c>
      <c r="G4839" s="1" t="s">
        <v>114</v>
      </c>
      <c r="H4839" s="1" t="str">
        <f>VLOOKUP(F4839,Countries!$A$1:$B$161,2,0)</f>
        <v>Philippines</v>
      </c>
    </row>
    <row r="4840" spans="1:8" x14ac:dyDescent="0.3">
      <c r="A4840" s="3">
        <v>46244.46329861111</v>
      </c>
      <c r="B4840" s="1">
        <v>6.37</v>
      </c>
      <c r="C4840" s="1">
        <v>5.51</v>
      </c>
      <c r="D4840" s="1">
        <v>0.54</v>
      </c>
      <c r="E4840" s="1" t="s">
        <v>113</v>
      </c>
      <c r="F4840" s="1" t="s">
        <v>113</v>
      </c>
      <c r="G4840" s="1" t="s">
        <v>113</v>
      </c>
      <c r="H4840" s="1" t="str">
        <f>VLOOKUP(F4840,Countries!$A$1:$B$161,2,0)</f>
        <v>United States of America</v>
      </c>
    </row>
    <row r="4841" spans="1:8" x14ac:dyDescent="0.3">
      <c r="A4841" s="3">
        <v>46244.463252314818</v>
      </c>
      <c r="B4841" s="1">
        <v>29.57</v>
      </c>
      <c r="C4841" s="1">
        <v>25.59</v>
      </c>
      <c r="D4841" s="1">
        <v>1.59</v>
      </c>
      <c r="E4841" s="1" t="s">
        <v>113</v>
      </c>
      <c r="F4841" s="1" t="s">
        <v>113</v>
      </c>
      <c r="G4841" s="1" t="s">
        <v>113</v>
      </c>
      <c r="H4841" s="1" t="str">
        <f>VLOOKUP(F4841,Countries!$A$1:$B$161,2,0)</f>
        <v>United States of America</v>
      </c>
    </row>
    <row r="4842" spans="1:8" x14ac:dyDescent="0.3">
      <c r="A4842" s="3">
        <v>46244.462395833332</v>
      </c>
      <c r="B4842" s="1">
        <v>6.37</v>
      </c>
      <c r="C4842" s="1">
        <v>5.51</v>
      </c>
      <c r="D4842" s="1">
        <v>0.54</v>
      </c>
      <c r="E4842" s="1" t="s">
        <v>113</v>
      </c>
      <c r="F4842" s="1" t="s">
        <v>113</v>
      </c>
      <c r="G4842" s="1" t="s">
        <v>113</v>
      </c>
      <c r="H4842" s="1" t="str">
        <f>VLOOKUP(F4842,Countries!$A$1:$B$161,2,0)</f>
        <v>United States of America</v>
      </c>
    </row>
    <row r="4843" spans="1:8" x14ac:dyDescent="0.3">
      <c r="A4843" s="3">
        <v>46244.458287037043</v>
      </c>
      <c r="B4843" s="1">
        <v>15.78</v>
      </c>
      <c r="C4843" s="1">
        <v>13.65</v>
      </c>
      <c r="D4843" s="1">
        <v>0.96</v>
      </c>
      <c r="E4843" s="1" t="s">
        <v>114</v>
      </c>
      <c r="F4843" s="1" t="s">
        <v>114</v>
      </c>
      <c r="G4843" s="1" t="s">
        <v>114</v>
      </c>
      <c r="H4843" s="1" t="str">
        <f>VLOOKUP(F4843,Countries!$A$1:$B$161,2,0)</f>
        <v>Philippines</v>
      </c>
    </row>
    <row r="4844" spans="1:8" x14ac:dyDescent="0.3">
      <c r="A4844" s="3">
        <v>46244.455034722218</v>
      </c>
      <c r="B4844" s="1">
        <v>7.77</v>
      </c>
      <c r="C4844" s="1">
        <v>6.72</v>
      </c>
      <c r="D4844" s="1">
        <v>0.48</v>
      </c>
      <c r="E4844" s="1" t="s">
        <v>112</v>
      </c>
      <c r="F4844" s="1" t="s">
        <v>112</v>
      </c>
      <c r="G4844" s="1" t="s">
        <v>112</v>
      </c>
      <c r="H4844" s="1" t="str">
        <f>VLOOKUP(F4844,Countries!$A$1:$B$161,2,0)</f>
        <v>Ireland</v>
      </c>
    </row>
    <row r="4845" spans="1:8" x14ac:dyDescent="0.3">
      <c r="A4845" s="3">
        <v>46244.447997685187</v>
      </c>
      <c r="B4845" s="1">
        <v>9.07</v>
      </c>
      <c r="C4845" s="1">
        <v>7.85</v>
      </c>
      <c r="D4845" s="1">
        <v>0.67</v>
      </c>
      <c r="E4845" s="1" t="s">
        <v>114</v>
      </c>
      <c r="F4845" s="1" t="s">
        <v>114</v>
      </c>
      <c r="G4845" s="1" t="s">
        <v>114</v>
      </c>
      <c r="H4845" s="1" t="str">
        <f>VLOOKUP(F4845,Countries!$A$1:$B$161,2,0)</f>
        <v>Philippines</v>
      </c>
    </row>
    <row r="4846" spans="1:8" x14ac:dyDescent="0.3">
      <c r="A4846" s="3">
        <v>46244.447314814817</v>
      </c>
      <c r="B4846" s="1">
        <v>9.99</v>
      </c>
      <c r="C4846" s="1">
        <v>8.64</v>
      </c>
      <c r="D4846" s="1">
        <v>0.7</v>
      </c>
      <c r="E4846" s="1" t="s">
        <v>114</v>
      </c>
      <c r="F4846" s="1" t="s">
        <v>114</v>
      </c>
      <c r="G4846" s="1" t="s">
        <v>114</v>
      </c>
      <c r="H4846" s="1" t="str">
        <f>VLOOKUP(F4846,Countries!$A$1:$B$161,2,0)</f>
        <v>Philippines</v>
      </c>
    </row>
    <row r="4847" spans="1:8" x14ac:dyDescent="0.3">
      <c r="A4847" s="3">
        <v>46244.437974537039</v>
      </c>
      <c r="B4847" s="1">
        <v>2.11</v>
      </c>
      <c r="C4847" s="1">
        <v>1.83</v>
      </c>
      <c r="D4847" s="1">
        <v>0.35</v>
      </c>
      <c r="E4847" s="1" t="s">
        <v>113</v>
      </c>
      <c r="F4847" s="1" t="s">
        <v>113</v>
      </c>
      <c r="G4847" s="1" t="s">
        <v>113</v>
      </c>
      <c r="H4847" s="1" t="str">
        <f>VLOOKUP(F4847,Countries!$A$1:$B$161,2,0)</f>
        <v>United States of America</v>
      </c>
    </row>
    <row r="4848" spans="1:8" x14ac:dyDescent="0.3">
      <c r="A4848" s="3">
        <v>46244.432546296302</v>
      </c>
      <c r="B4848" s="1">
        <v>11.1</v>
      </c>
      <c r="C4848" s="1">
        <v>9.6</v>
      </c>
      <c r="D4848" s="1">
        <v>0.75</v>
      </c>
      <c r="E4848" s="1" t="s">
        <v>130</v>
      </c>
      <c r="F4848" s="1" t="s">
        <v>130</v>
      </c>
      <c r="G4848" s="1" t="s">
        <v>130</v>
      </c>
      <c r="H4848" s="1" t="str">
        <f>VLOOKUP(F4848,Countries!$A$1:$B$161,2,0)</f>
        <v>Australia</v>
      </c>
    </row>
    <row r="4849" spans="1:8" x14ac:dyDescent="0.3">
      <c r="A4849" s="3">
        <v>46244.429710648154</v>
      </c>
      <c r="B4849" s="1">
        <v>2.21</v>
      </c>
      <c r="C4849" s="1">
        <v>1.91</v>
      </c>
      <c r="D4849" s="1">
        <v>0.35</v>
      </c>
      <c r="E4849" s="1" t="s">
        <v>130</v>
      </c>
      <c r="F4849" s="1" t="s">
        <v>130</v>
      </c>
      <c r="G4849" s="1" t="s">
        <v>130</v>
      </c>
      <c r="H4849" s="1" t="str">
        <f>VLOOKUP(F4849,Countries!$A$1:$B$161,2,0)</f>
        <v>Australia</v>
      </c>
    </row>
    <row r="4850" spans="1:8" x14ac:dyDescent="0.3">
      <c r="A4850" s="3">
        <v>46244.425925925927</v>
      </c>
      <c r="B4850" s="1">
        <v>5.99</v>
      </c>
      <c r="C4850" s="1">
        <v>5.18</v>
      </c>
      <c r="D4850" s="1">
        <v>0.52</v>
      </c>
      <c r="E4850" s="1" t="s">
        <v>135</v>
      </c>
      <c r="F4850" s="1" t="s">
        <v>135</v>
      </c>
      <c r="G4850" s="1" t="s">
        <v>135</v>
      </c>
      <c r="H4850" s="1" t="str">
        <f>VLOOKUP(F4850,Countries!$A$1:$B$161,2,0)</f>
        <v>Kuwait</v>
      </c>
    </row>
    <row r="4851" spans="1:8" x14ac:dyDescent="0.3">
      <c r="A4851" s="3">
        <v>46244.421377314808</v>
      </c>
      <c r="B4851" s="1">
        <v>6.37</v>
      </c>
      <c r="C4851" s="1">
        <v>5.51</v>
      </c>
      <c r="D4851" s="1">
        <v>0.54</v>
      </c>
      <c r="E4851" s="1" t="s">
        <v>113</v>
      </c>
      <c r="F4851" s="1" t="s">
        <v>113</v>
      </c>
      <c r="G4851" s="1" t="s">
        <v>113</v>
      </c>
      <c r="H4851" s="1" t="str">
        <f>VLOOKUP(F4851,Countries!$A$1:$B$161,2,0)</f>
        <v>United States of America</v>
      </c>
    </row>
    <row r="4852" spans="1:8" x14ac:dyDescent="0.3">
      <c r="A4852" s="3">
        <v>46244.405844907407</v>
      </c>
      <c r="B4852" s="1">
        <v>14.77</v>
      </c>
      <c r="C4852" s="1">
        <v>12.78</v>
      </c>
      <c r="D4852" s="1">
        <v>0.93</v>
      </c>
      <c r="E4852" s="1" t="s">
        <v>183</v>
      </c>
      <c r="F4852" s="1" t="s">
        <v>183</v>
      </c>
      <c r="G4852" s="1" t="s">
        <v>183</v>
      </c>
      <c r="H4852" s="1" t="str">
        <f>VLOOKUP(F4852,Countries!$A$1:$B$161,2,0)</f>
        <v>Malaysia</v>
      </c>
    </row>
    <row r="4853" spans="1:8" x14ac:dyDescent="0.3">
      <c r="A4853" s="3">
        <v>46244.397546296299</v>
      </c>
      <c r="B4853" s="1">
        <v>29.57</v>
      </c>
      <c r="C4853" s="1">
        <v>25.58</v>
      </c>
      <c r="D4853" s="1">
        <v>1.59</v>
      </c>
      <c r="E4853" s="1" t="s">
        <v>183</v>
      </c>
      <c r="F4853" s="1" t="s">
        <v>183</v>
      </c>
      <c r="G4853" s="1" t="s">
        <v>183</v>
      </c>
      <c r="H4853" s="1" t="str">
        <f>VLOOKUP(F4853,Countries!$A$1:$B$161,2,0)</f>
        <v>Malaysia</v>
      </c>
    </row>
    <row r="4854" spans="1:8" x14ac:dyDescent="0.3">
      <c r="A4854" s="3">
        <v>46244.395694444444</v>
      </c>
      <c r="B4854" s="1">
        <v>6.37</v>
      </c>
      <c r="C4854" s="1">
        <v>5.51</v>
      </c>
      <c r="D4854" s="1">
        <v>0.54</v>
      </c>
      <c r="E4854" s="1" t="s">
        <v>113</v>
      </c>
      <c r="F4854" s="1" t="s">
        <v>113</v>
      </c>
      <c r="G4854" s="1" t="s">
        <v>113</v>
      </c>
      <c r="H4854" s="1" t="str">
        <f>VLOOKUP(F4854,Countries!$A$1:$B$161,2,0)</f>
        <v>United States of America</v>
      </c>
    </row>
    <row r="4855" spans="1:8" x14ac:dyDescent="0.3">
      <c r="A4855" s="3">
        <v>46244.384826388887</v>
      </c>
      <c r="B4855" s="1">
        <v>6.37</v>
      </c>
      <c r="C4855" s="1">
        <v>5.51</v>
      </c>
      <c r="D4855" s="1">
        <v>0.54</v>
      </c>
      <c r="E4855" s="1" t="s">
        <v>113</v>
      </c>
      <c r="F4855" s="1" t="s">
        <v>113</v>
      </c>
      <c r="G4855" s="1" t="s">
        <v>113</v>
      </c>
      <c r="H4855" s="1" t="str">
        <f>VLOOKUP(F4855,Countries!$A$1:$B$161,2,0)</f>
        <v>United States of America</v>
      </c>
    </row>
    <row r="4856" spans="1:8" x14ac:dyDescent="0.3">
      <c r="A4856" s="3">
        <v>46244.379513888889</v>
      </c>
      <c r="B4856" s="1">
        <v>14.77</v>
      </c>
      <c r="C4856" s="1">
        <v>12.78</v>
      </c>
      <c r="D4856" s="1">
        <v>0.93</v>
      </c>
      <c r="E4856" s="1" t="s">
        <v>183</v>
      </c>
      <c r="F4856" s="1" t="s">
        <v>183</v>
      </c>
      <c r="G4856" s="1" t="s">
        <v>183</v>
      </c>
      <c r="H4856" s="1" t="str">
        <f>VLOOKUP(F4856,Countries!$A$1:$B$161,2,0)</f>
        <v>Malaysia</v>
      </c>
    </row>
    <row r="4857" spans="1:8" x14ac:dyDescent="0.3">
      <c r="A4857" s="3">
        <v>46244.376307870371</v>
      </c>
      <c r="B4857" s="1">
        <v>6.37</v>
      </c>
      <c r="C4857" s="1">
        <v>5.51</v>
      </c>
      <c r="D4857" s="1">
        <v>0.54</v>
      </c>
      <c r="E4857" s="1" t="s">
        <v>113</v>
      </c>
      <c r="F4857" s="1" t="s">
        <v>113</v>
      </c>
      <c r="G4857" s="1" t="s">
        <v>113</v>
      </c>
      <c r="H4857" s="1" t="str">
        <f>VLOOKUP(F4857,Countries!$A$1:$B$161,2,0)</f>
        <v>United States of America</v>
      </c>
    </row>
    <row r="4858" spans="1:8" x14ac:dyDescent="0.3">
      <c r="A4858" s="3">
        <v>46244.366736111107</v>
      </c>
      <c r="B4858" s="1">
        <v>14.77</v>
      </c>
      <c r="C4858" s="1">
        <v>12.78</v>
      </c>
      <c r="D4858" s="1">
        <v>0.93</v>
      </c>
      <c r="E4858" s="1" t="s">
        <v>183</v>
      </c>
      <c r="F4858" s="1" t="s">
        <v>183</v>
      </c>
      <c r="G4858" s="1" t="s">
        <v>183</v>
      </c>
      <c r="H4858" s="1" t="str">
        <f>VLOOKUP(F4858,Countries!$A$1:$B$161,2,0)</f>
        <v>Malaysia</v>
      </c>
    </row>
    <row r="4859" spans="1:8" x14ac:dyDescent="0.3">
      <c r="A4859" s="3">
        <v>46244.360254629632</v>
      </c>
      <c r="B4859" s="1">
        <v>7.48</v>
      </c>
      <c r="C4859" s="1">
        <v>6.47</v>
      </c>
      <c r="D4859" s="1">
        <v>0.48</v>
      </c>
      <c r="E4859" s="1" t="s">
        <v>123</v>
      </c>
      <c r="F4859" s="1" t="s">
        <v>123</v>
      </c>
      <c r="G4859" s="1" t="s">
        <v>123</v>
      </c>
      <c r="H4859" s="1" t="str">
        <f>VLOOKUP(F4859,Countries!$A$1:$B$161,2,0)</f>
        <v>France</v>
      </c>
    </row>
    <row r="4860" spans="1:8" x14ac:dyDescent="0.3">
      <c r="A4860" s="3">
        <v>46244.35533564815</v>
      </c>
      <c r="B4860" s="1">
        <v>10.62</v>
      </c>
      <c r="C4860" s="1">
        <v>9.19</v>
      </c>
      <c r="D4860" s="1">
        <v>0.73</v>
      </c>
      <c r="E4860" s="1" t="s">
        <v>183</v>
      </c>
      <c r="F4860" s="1" t="s">
        <v>183</v>
      </c>
      <c r="G4860" s="1" t="s">
        <v>183</v>
      </c>
      <c r="H4860" s="1" t="str">
        <f>VLOOKUP(F4860,Countries!$A$1:$B$161,2,0)</f>
        <v>Malaysia</v>
      </c>
    </row>
    <row r="4861" spans="1:8" x14ac:dyDescent="0.3">
      <c r="A4861" s="3">
        <v>46244.353784722232</v>
      </c>
      <c r="B4861" s="1">
        <v>7.77</v>
      </c>
      <c r="C4861" s="1">
        <v>6.72</v>
      </c>
      <c r="D4861" s="1">
        <v>0.48</v>
      </c>
      <c r="E4861" s="1" t="s">
        <v>112</v>
      </c>
      <c r="F4861" s="1" t="s">
        <v>112</v>
      </c>
      <c r="G4861" s="1" t="s">
        <v>112</v>
      </c>
      <c r="H4861" s="1" t="str">
        <f>VLOOKUP(F4861,Countries!$A$1:$B$161,2,0)</f>
        <v>Ireland</v>
      </c>
    </row>
    <row r="4862" spans="1:8" x14ac:dyDescent="0.3">
      <c r="A4862" s="3">
        <v>46244.348217592589</v>
      </c>
      <c r="B4862" s="1">
        <v>7.04</v>
      </c>
      <c r="C4862" s="1">
        <v>6.09</v>
      </c>
      <c r="D4862" s="1">
        <v>0.56999999999999995</v>
      </c>
      <c r="E4862" s="1" t="s">
        <v>163</v>
      </c>
      <c r="F4862" s="1" t="s">
        <v>163</v>
      </c>
      <c r="G4862" s="1" t="s">
        <v>163</v>
      </c>
      <c r="H4862" s="1" t="str">
        <f>VLOOKUP(F4862,Countries!$A$1:$B$161,2,0)</f>
        <v>Saudi Arabia</v>
      </c>
    </row>
    <row r="4863" spans="1:8" x14ac:dyDescent="0.3">
      <c r="A4863" s="3">
        <v>46244.344826388893</v>
      </c>
      <c r="B4863" s="1">
        <v>16.34</v>
      </c>
      <c r="C4863" s="1">
        <v>14.13</v>
      </c>
      <c r="D4863" s="1">
        <v>0.99</v>
      </c>
      <c r="E4863" s="1" t="s">
        <v>160</v>
      </c>
      <c r="F4863" s="1" t="s">
        <v>160</v>
      </c>
      <c r="G4863" s="1" t="s">
        <v>160</v>
      </c>
      <c r="H4863" s="1" t="str">
        <f>VLOOKUP(F4863,Countries!$A$1:$B$161,2,0)</f>
        <v>New Zealand</v>
      </c>
    </row>
    <row r="4864" spans="1:8" x14ac:dyDescent="0.3">
      <c r="A4864" s="3">
        <v>46244.338935185187</v>
      </c>
      <c r="B4864" s="1">
        <v>6.37</v>
      </c>
      <c r="C4864" s="1">
        <v>5.51</v>
      </c>
      <c r="D4864" s="1">
        <v>0.54</v>
      </c>
      <c r="E4864" s="1" t="s">
        <v>113</v>
      </c>
      <c r="F4864" s="1" t="s">
        <v>113</v>
      </c>
      <c r="G4864" s="1" t="s">
        <v>113</v>
      </c>
      <c r="H4864" s="1" t="str">
        <f>VLOOKUP(F4864,Countries!$A$1:$B$161,2,0)</f>
        <v>United States of America</v>
      </c>
    </row>
    <row r="4865" spans="1:8" x14ac:dyDescent="0.3">
      <c r="A4865" s="3">
        <v>46244.338310185187</v>
      </c>
      <c r="B4865" s="1">
        <v>3.32</v>
      </c>
      <c r="C4865" s="1">
        <v>2.87</v>
      </c>
      <c r="D4865" s="1">
        <v>0.4</v>
      </c>
      <c r="E4865" s="1" t="s">
        <v>121</v>
      </c>
      <c r="F4865" s="1" t="s">
        <v>121</v>
      </c>
      <c r="G4865" s="1" t="s">
        <v>121</v>
      </c>
      <c r="H4865" s="1" t="str">
        <f>VLOOKUP(F4865,Countries!$A$1:$B$161,2,0)</f>
        <v>Japan</v>
      </c>
    </row>
    <row r="4866" spans="1:8" x14ac:dyDescent="0.3">
      <c r="A4866" s="3">
        <v>46244.333599537043</v>
      </c>
      <c r="B4866" s="1">
        <v>14.77</v>
      </c>
      <c r="C4866" s="1">
        <v>12.78</v>
      </c>
      <c r="D4866" s="1">
        <v>0.93</v>
      </c>
      <c r="E4866" s="1" t="s">
        <v>113</v>
      </c>
      <c r="F4866" s="1" t="s">
        <v>113</v>
      </c>
      <c r="G4866" s="1" t="s">
        <v>113</v>
      </c>
      <c r="H4866" s="1" t="str">
        <f>VLOOKUP(F4866,Countries!$A$1:$B$161,2,0)</f>
        <v>United States of America</v>
      </c>
    </row>
    <row r="4867" spans="1:8" x14ac:dyDescent="0.3">
      <c r="A4867" s="3">
        <v>46244.333391203712</v>
      </c>
      <c r="B4867" s="1">
        <v>20.7</v>
      </c>
      <c r="C4867" s="1">
        <v>17.920000000000002</v>
      </c>
      <c r="D4867" s="1">
        <v>1.19</v>
      </c>
      <c r="E4867" s="1" t="s">
        <v>113</v>
      </c>
      <c r="F4867" s="1" t="s">
        <v>113</v>
      </c>
      <c r="G4867" s="1" t="s">
        <v>113</v>
      </c>
      <c r="H4867" s="1" t="str">
        <f>VLOOKUP(F4867,Countries!$A$1:$B$161,2,0)</f>
        <v>United States of America</v>
      </c>
    </row>
    <row r="4868" spans="1:8" x14ac:dyDescent="0.3">
      <c r="A4868" s="3">
        <v>46244.331273148149</v>
      </c>
      <c r="B4868" s="1">
        <v>20.7</v>
      </c>
      <c r="C4868" s="1">
        <v>17.920000000000002</v>
      </c>
      <c r="D4868" s="1">
        <v>1.19</v>
      </c>
      <c r="E4868" s="1" t="s">
        <v>113</v>
      </c>
      <c r="F4868" s="1" t="s">
        <v>113</v>
      </c>
      <c r="G4868" s="1" t="s">
        <v>113</v>
      </c>
      <c r="H4868" s="1" t="str">
        <f>VLOOKUP(F4868,Countries!$A$1:$B$161,2,0)</f>
        <v>United States of America</v>
      </c>
    </row>
    <row r="4869" spans="1:8" x14ac:dyDescent="0.3">
      <c r="A4869" s="3">
        <v>46244.32739583333</v>
      </c>
      <c r="B4869" s="1">
        <v>14.77</v>
      </c>
      <c r="C4869" s="1">
        <v>12.78</v>
      </c>
      <c r="D4869" s="1">
        <v>0.93</v>
      </c>
      <c r="E4869" s="1" t="s">
        <v>113</v>
      </c>
      <c r="F4869" s="1" t="s">
        <v>113</v>
      </c>
      <c r="G4869" s="1" t="s">
        <v>113</v>
      </c>
      <c r="H4869" s="1" t="str">
        <f>VLOOKUP(F4869,Countries!$A$1:$B$161,2,0)</f>
        <v>United States of America</v>
      </c>
    </row>
    <row r="4870" spans="1:8" x14ac:dyDescent="0.3">
      <c r="A4870" s="3">
        <v>46244.326284722221</v>
      </c>
      <c r="B4870" s="1">
        <v>22.18</v>
      </c>
      <c r="C4870" s="1">
        <v>19.2</v>
      </c>
      <c r="D4870" s="1">
        <v>1.25</v>
      </c>
      <c r="E4870" s="1" t="s">
        <v>113</v>
      </c>
      <c r="F4870" s="1" t="s">
        <v>113</v>
      </c>
      <c r="G4870" s="1" t="s">
        <v>113</v>
      </c>
      <c r="H4870" s="1" t="str">
        <f>VLOOKUP(F4870,Countries!$A$1:$B$161,2,0)</f>
        <v>United States of America</v>
      </c>
    </row>
    <row r="4871" spans="1:8" x14ac:dyDescent="0.3">
      <c r="A4871" s="3">
        <v>46244.325555555559</v>
      </c>
      <c r="B4871" s="1">
        <v>16.34</v>
      </c>
      <c r="C4871" s="1">
        <v>14.14</v>
      </c>
      <c r="D4871" s="1">
        <v>0.99</v>
      </c>
      <c r="E4871" s="1" t="s">
        <v>160</v>
      </c>
      <c r="F4871" s="1" t="s">
        <v>160</v>
      </c>
      <c r="G4871" s="1" t="s">
        <v>160</v>
      </c>
      <c r="H4871" s="1" t="str">
        <f>VLOOKUP(F4871,Countries!$A$1:$B$161,2,0)</f>
        <v>New Zealand</v>
      </c>
    </row>
    <row r="4872" spans="1:8" x14ac:dyDescent="0.3">
      <c r="A4872" s="3">
        <v>46244.324699074074</v>
      </c>
      <c r="B4872" s="1">
        <v>6.37</v>
      </c>
      <c r="C4872" s="1">
        <v>5.51</v>
      </c>
      <c r="D4872" s="1">
        <v>0.54</v>
      </c>
      <c r="E4872" s="1" t="s">
        <v>113</v>
      </c>
      <c r="F4872" s="1" t="s">
        <v>113</v>
      </c>
      <c r="G4872" s="1" t="s">
        <v>113</v>
      </c>
      <c r="H4872" s="1" t="str">
        <f>VLOOKUP(F4872,Countries!$A$1:$B$161,2,0)</f>
        <v>United States of America</v>
      </c>
    </row>
    <row r="4873" spans="1:8" x14ac:dyDescent="0.3">
      <c r="A4873" s="3">
        <v>46244.321400462963</v>
      </c>
      <c r="B4873" s="1">
        <v>14.77</v>
      </c>
      <c r="C4873" s="1">
        <v>12.78</v>
      </c>
      <c r="D4873" s="1">
        <v>0.93</v>
      </c>
      <c r="E4873" s="1" t="s">
        <v>113</v>
      </c>
      <c r="F4873" s="1" t="s">
        <v>113</v>
      </c>
      <c r="G4873" s="1" t="s">
        <v>113</v>
      </c>
      <c r="H4873" s="1" t="str">
        <f>VLOOKUP(F4873,Countries!$A$1:$B$161,2,0)</f>
        <v>United States of America</v>
      </c>
    </row>
    <row r="4874" spans="1:8" x14ac:dyDescent="0.3">
      <c r="A4874" s="3">
        <v>46244.321226851847</v>
      </c>
      <c r="B4874" s="1">
        <v>17.010000000000002</v>
      </c>
      <c r="C4874" s="1">
        <v>14.72</v>
      </c>
      <c r="D4874" s="1">
        <v>1.02</v>
      </c>
      <c r="E4874" s="1" t="s">
        <v>113</v>
      </c>
      <c r="F4874" s="1" t="s">
        <v>113</v>
      </c>
      <c r="G4874" s="1" t="s">
        <v>113</v>
      </c>
      <c r="H4874" s="1" t="str">
        <f>VLOOKUP(F4874,Countries!$A$1:$B$161,2,0)</f>
        <v>United States of America</v>
      </c>
    </row>
    <row r="4875" spans="1:8" x14ac:dyDescent="0.3">
      <c r="A4875" s="3">
        <v>46244.318958333337</v>
      </c>
      <c r="B4875" s="1">
        <v>44.36</v>
      </c>
      <c r="C4875" s="1">
        <v>38.39</v>
      </c>
      <c r="D4875" s="1">
        <v>2.27</v>
      </c>
      <c r="E4875" s="1" t="s">
        <v>113</v>
      </c>
      <c r="F4875" s="1" t="s">
        <v>113</v>
      </c>
      <c r="G4875" s="1" t="s">
        <v>113</v>
      </c>
      <c r="H4875" s="1" t="str">
        <f>VLOOKUP(F4875,Countries!$A$1:$B$161,2,0)</f>
        <v>United States of America</v>
      </c>
    </row>
    <row r="4876" spans="1:8" x14ac:dyDescent="0.3">
      <c r="A4876" s="3">
        <v>46244.299062500002</v>
      </c>
      <c r="B4876" s="1">
        <v>6.37</v>
      </c>
      <c r="C4876" s="1">
        <v>5.51</v>
      </c>
      <c r="D4876" s="1">
        <v>0.54</v>
      </c>
      <c r="E4876" s="1" t="s">
        <v>113</v>
      </c>
      <c r="F4876" s="1" t="s">
        <v>113</v>
      </c>
      <c r="G4876" s="1" t="s">
        <v>113</v>
      </c>
      <c r="H4876" s="1" t="str">
        <f>VLOOKUP(F4876,Countries!$A$1:$B$161,2,0)</f>
        <v>United States of America</v>
      </c>
    </row>
    <row r="4877" spans="1:8" x14ac:dyDescent="0.3">
      <c r="A4877" s="3">
        <v>46244.292233796303</v>
      </c>
      <c r="B4877" s="1">
        <v>31.27</v>
      </c>
      <c r="C4877" s="1">
        <v>27.06</v>
      </c>
      <c r="D4877" s="1">
        <v>1.2</v>
      </c>
      <c r="E4877" s="1" t="s">
        <v>189</v>
      </c>
      <c r="F4877" s="1" t="s">
        <v>189</v>
      </c>
      <c r="G4877" s="1" t="s">
        <v>189</v>
      </c>
      <c r="H4877" s="1" t="str">
        <f>VLOOKUP(F4877,Countries!$A$1:$B$161,2,0)</f>
        <v>Austria</v>
      </c>
    </row>
    <row r="4878" spans="1:8" x14ac:dyDescent="0.3">
      <c r="A4878" s="3">
        <v>46244.290243055562</v>
      </c>
      <c r="B4878" s="1">
        <v>16.34</v>
      </c>
      <c r="C4878" s="1">
        <v>14.14</v>
      </c>
      <c r="D4878" s="1">
        <v>0.99</v>
      </c>
      <c r="E4878" s="1" t="s">
        <v>160</v>
      </c>
      <c r="F4878" s="1" t="s">
        <v>160</v>
      </c>
      <c r="G4878" s="1" t="s">
        <v>160</v>
      </c>
      <c r="H4878" s="1" t="str">
        <f>VLOOKUP(F4878,Countries!$A$1:$B$161,2,0)</f>
        <v>New Zealand</v>
      </c>
    </row>
    <row r="4879" spans="1:8" x14ac:dyDescent="0.3">
      <c r="A4879" s="3">
        <v>46244.285810185182</v>
      </c>
      <c r="B4879" s="1">
        <v>19.98</v>
      </c>
      <c r="C4879" s="1">
        <v>17.29</v>
      </c>
      <c r="D4879" s="1">
        <v>0.86</v>
      </c>
      <c r="E4879" s="1" t="s">
        <v>189</v>
      </c>
      <c r="F4879" s="1" t="s">
        <v>189</v>
      </c>
      <c r="G4879" s="1" t="s">
        <v>189</v>
      </c>
      <c r="H4879" s="1" t="str">
        <f>VLOOKUP(F4879,Countries!$A$1:$B$161,2,0)</f>
        <v>Austria</v>
      </c>
    </row>
    <row r="4880" spans="1:8" x14ac:dyDescent="0.3">
      <c r="A4880" s="3">
        <v>46244.282719907409</v>
      </c>
      <c r="B4880" s="1">
        <v>2.11</v>
      </c>
      <c r="C4880" s="1">
        <v>1.83</v>
      </c>
      <c r="D4880" s="1">
        <v>0.35</v>
      </c>
      <c r="E4880" s="1" t="s">
        <v>113</v>
      </c>
      <c r="F4880" s="1" t="s">
        <v>113</v>
      </c>
      <c r="G4880" s="1" t="s">
        <v>113</v>
      </c>
      <c r="H4880" s="1" t="str">
        <f>VLOOKUP(F4880,Countries!$A$1:$B$161,2,0)</f>
        <v>United States of America</v>
      </c>
    </row>
    <row r="4881" spans="1:8" x14ac:dyDescent="0.3">
      <c r="A4881" s="3">
        <v>46244.282673611109</v>
      </c>
      <c r="B4881" s="1">
        <v>19.22</v>
      </c>
      <c r="C4881" s="1">
        <v>16.63</v>
      </c>
      <c r="D4881" s="1">
        <v>1.1200000000000001</v>
      </c>
      <c r="E4881" s="1" t="s">
        <v>113</v>
      </c>
      <c r="F4881" s="1" t="s">
        <v>113</v>
      </c>
      <c r="G4881" s="1" t="s">
        <v>113</v>
      </c>
      <c r="H4881" s="1" t="str">
        <f>VLOOKUP(F4881,Countries!$A$1:$B$161,2,0)</f>
        <v>United States of America</v>
      </c>
    </row>
    <row r="4882" spans="1:8" x14ac:dyDescent="0.3">
      <c r="A4882" s="3">
        <v>46244.281319444453</v>
      </c>
      <c r="B4882" s="1">
        <v>6.37</v>
      </c>
      <c r="C4882" s="1">
        <v>5.51</v>
      </c>
      <c r="D4882" s="1">
        <v>0.54</v>
      </c>
      <c r="E4882" s="1" t="s">
        <v>113</v>
      </c>
      <c r="F4882" s="1" t="s">
        <v>113</v>
      </c>
      <c r="G4882" s="1" t="s">
        <v>113</v>
      </c>
      <c r="H4882" s="1" t="str">
        <f>VLOOKUP(F4882,Countries!$A$1:$B$161,2,0)</f>
        <v>United States of America</v>
      </c>
    </row>
    <row r="4883" spans="1:8" x14ac:dyDescent="0.3">
      <c r="A4883" s="3">
        <v>46244.277870370373</v>
      </c>
      <c r="B4883" s="1">
        <v>17.010000000000002</v>
      </c>
      <c r="C4883" s="1">
        <v>14.72</v>
      </c>
      <c r="D4883" s="1">
        <v>1.02</v>
      </c>
      <c r="E4883" s="1" t="s">
        <v>113</v>
      </c>
      <c r="F4883" s="1" t="s">
        <v>113</v>
      </c>
      <c r="G4883" s="1" t="s">
        <v>113</v>
      </c>
      <c r="H4883" s="1" t="str">
        <f>VLOOKUP(F4883,Countries!$A$1:$B$161,2,0)</f>
        <v>United States of America</v>
      </c>
    </row>
    <row r="4884" spans="1:8" x14ac:dyDescent="0.3">
      <c r="A4884" s="3">
        <v>46244.27516203704</v>
      </c>
      <c r="B4884" s="1">
        <v>22.18</v>
      </c>
      <c r="C4884" s="1">
        <v>19.2</v>
      </c>
      <c r="D4884" s="1">
        <v>1.25</v>
      </c>
      <c r="E4884" s="1" t="s">
        <v>113</v>
      </c>
      <c r="F4884" s="1" t="s">
        <v>113</v>
      </c>
      <c r="G4884" s="1" t="s">
        <v>113</v>
      </c>
      <c r="H4884" s="1" t="str">
        <f>VLOOKUP(F4884,Countries!$A$1:$B$161,2,0)</f>
        <v>United States of America</v>
      </c>
    </row>
    <row r="4885" spans="1:8" x14ac:dyDescent="0.3">
      <c r="A4885" s="3">
        <v>46244.273495370369</v>
      </c>
      <c r="B4885" s="1">
        <v>7.39</v>
      </c>
      <c r="C4885" s="1">
        <v>6.4</v>
      </c>
      <c r="D4885" s="1">
        <v>0.48</v>
      </c>
      <c r="E4885" s="1" t="s">
        <v>147</v>
      </c>
      <c r="F4885" s="1" t="s">
        <v>147</v>
      </c>
      <c r="G4885" s="1" t="s">
        <v>147</v>
      </c>
      <c r="H4885" s="1" t="str">
        <f>VLOOKUP(F4885,Countries!$A$1:$B$161,2,0)</f>
        <v>Germany</v>
      </c>
    </row>
    <row r="4886" spans="1:8" x14ac:dyDescent="0.3">
      <c r="A4886" s="3">
        <v>46244.266805555562</v>
      </c>
      <c r="B4886" s="1">
        <v>7.48</v>
      </c>
      <c r="C4886" s="1">
        <v>6.47</v>
      </c>
      <c r="D4886" s="1">
        <v>0.48</v>
      </c>
      <c r="E4886" s="1" t="s">
        <v>123</v>
      </c>
      <c r="F4886" s="1" t="s">
        <v>123</v>
      </c>
      <c r="G4886" s="1" t="s">
        <v>123</v>
      </c>
      <c r="H4886" s="1" t="str">
        <f>VLOOKUP(F4886,Countries!$A$1:$B$161,2,0)</f>
        <v>France</v>
      </c>
    </row>
    <row r="4887" spans="1:8" x14ac:dyDescent="0.3">
      <c r="A4887" s="3">
        <v>46244.266446759262</v>
      </c>
      <c r="B4887" s="1">
        <v>14.77</v>
      </c>
      <c r="C4887" s="1">
        <v>12.78</v>
      </c>
      <c r="D4887" s="1">
        <v>0.93</v>
      </c>
      <c r="E4887" s="1" t="s">
        <v>113</v>
      </c>
      <c r="F4887" s="1" t="s">
        <v>113</v>
      </c>
      <c r="G4887" s="1" t="s">
        <v>113</v>
      </c>
      <c r="H4887" s="1" t="str">
        <f>VLOOKUP(F4887,Countries!$A$1:$B$161,2,0)</f>
        <v>United States of America</v>
      </c>
    </row>
    <row r="4888" spans="1:8" x14ac:dyDescent="0.3">
      <c r="A4888" s="3">
        <v>46244.260115740741</v>
      </c>
      <c r="B4888" s="1">
        <v>6.37</v>
      </c>
      <c r="C4888" s="1">
        <v>5.51</v>
      </c>
      <c r="D4888" s="1">
        <v>0.54</v>
      </c>
      <c r="E4888" s="1" t="s">
        <v>206</v>
      </c>
      <c r="F4888" s="1" t="s">
        <v>113</v>
      </c>
      <c r="G4888" s="1" t="s">
        <v>113</v>
      </c>
      <c r="H4888" s="1" t="str">
        <f>VLOOKUP(F4888,Countries!$A$1:$B$161,2,0)</f>
        <v>United States of America</v>
      </c>
    </row>
    <row r="4889" spans="1:8" x14ac:dyDescent="0.3">
      <c r="A4889" s="3">
        <v>46244.251805555563</v>
      </c>
      <c r="B4889" s="1">
        <v>6.37</v>
      </c>
      <c r="C4889" s="1">
        <v>5.51</v>
      </c>
      <c r="D4889" s="1">
        <v>0.54</v>
      </c>
      <c r="E4889" s="1" t="s">
        <v>113</v>
      </c>
      <c r="F4889" s="1" t="s">
        <v>113</v>
      </c>
      <c r="G4889" s="1" t="s">
        <v>113</v>
      </c>
      <c r="H4889" s="1" t="str">
        <f>VLOOKUP(F4889,Countries!$A$1:$B$161,2,0)</f>
        <v>United States of America</v>
      </c>
    </row>
    <row r="4890" spans="1:8" x14ac:dyDescent="0.3">
      <c r="A4890" s="3">
        <v>46244.242766203701</v>
      </c>
      <c r="B4890" s="1">
        <v>6.37</v>
      </c>
      <c r="C4890" s="1">
        <v>5.51</v>
      </c>
      <c r="D4890" s="1">
        <v>0.54</v>
      </c>
      <c r="E4890" s="1" t="s">
        <v>113</v>
      </c>
      <c r="F4890" s="1" t="s">
        <v>113</v>
      </c>
      <c r="G4890" s="1" t="s">
        <v>113</v>
      </c>
      <c r="H4890" s="1" t="str">
        <f>VLOOKUP(F4890,Countries!$A$1:$B$161,2,0)</f>
        <v>United States of America</v>
      </c>
    </row>
    <row r="4891" spans="1:8" x14ac:dyDescent="0.3">
      <c r="A4891" s="3">
        <v>46244.240752314807</v>
      </c>
      <c r="B4891" s="1">
        <v>6.37</v>
      </c>
      <c r="C4891" s="1">
        <v>5.51</v>
      </c>
      <c r="D4891" s="1">
        <v>0.54</v>
      </c>
      <c r="E4891" s="1" t="s">
        <v>113</v>
      </c>
      <c r="F4891" s="1" t="s">
        <v>113</v>
      </c>
      <c r="G4891" s="1" t="s">
        <v>113</v>
      </c>
      <c r="H4891" s="1" t="str">
        <f>VLOOKUP(F4891,Countries!$A$1:$B$161,2,0)</f>
        <v>United States of America</v>
      </c>
    </row>
    <row r="4892" spans="1:8" x14ac:dyDescent="0.3">
      <c r="A4892" s="3">
        <v>46244.212858796287</v>
      </c>
      <c r="B4892" s="1">
        <v>3.39</v>
      </c>
      <c r="C4892" s="1">
        <v>2.93</v>
      </c>
      <c r="D4892" s="1">
        <v>0.41</v>
      </c>
      <c r="E4892" s="1" t="s">
        <v>114</v>
      </c>
      <c r="F4892" s="1" t="s">
        <v>114</v>
      </c>
      <c r="G4892" s="1" t="s">
        <v>114</v>
      </c>
      <c r="H4892" s="1" t="str">
        <f>VLOOKUP(F4892,Countries!$A$1:$B$161,2,0)</f>
        <v>Philippines</v>
      </c>
    </row>
    <row r="4893" spans="1:8" x14ac:dyDescent="0.3">
      <c r="A4893" s="3">
        <v>46244.20244212963</v>
      </c>
      <c r="B4893" s="1">
        <v>6.37</v>
      </c>
      <c r="C4893" s="1">
        <v>5.52</v>
      </c>
      <c r="D4893" s="1">
        <v>0.54</v>
      </c>
      <c r="E4893" s="1" t="s">
        <v>113</v>
      </c>
      <c r="F4893" s="1" t="s">
        <v>113</v>
      </c>
      <c r="G4893" s="1" t="s">
        <v>113</v>
      </c>
      <c r="H4893" s="1" t="str">
        <f>VLOOKUP(F4893,Countries!$A$1:$B$161,2,0)</f>
        <v>United States of America</v>
      </c>
    </row>
    <row r="4894" spans="1:8" x14ac:dyDescent="0.3">
      <c r="A4894" s="3">
        <v>46244.199675925927</v>
      </c>
      <c r="B4894" s="1">
        <v>6.37</v>
      </c>
      <c r="C4894" s="1">
        <v>5.52</v>
      </c>
      <c r="D4894" s="1">
        <v>0.54</v>
      </c>
      <c r="E4894" s="1" t="s">
        <v>113</v>
      </c>
      <c r="F4894" s="1" t="s">
        <v>113</v>
      </c>
      <c r="G4894" s="1" t="s">
        <v>113</v>
      </c>
      <c r="H4894" s="1" t="str">
        <f>VLOOKUP(F4894,Countries!$A$1:$B$161,2,0)</f>
        <v>United States of America</v>
      </c>
    </row>
    <row r="4895" spans="1:8" x14ac:dyDescent="0.3">
      <c r="A4895" s="3">
        <v>46244.198449074072</v>
      </c>
      <c r="B4895" s="1">
        <v>6.37</v>
      </c>
      <c r="C4895" s="1">
        <v>5.52</v>
      </c>
      <c r="D4895" s="1">
        <v>0.54</v>
      </c>
      <c r="E4895" s="1" t="s">
        <v>113</v>
      </c>
      <c r="F4895" s="1" t="s">
        <v>113</v>
      </c>
      <c r="G4895" s="1" t="s">
        <v>113</v>
      </c>
      <c r="H4895" s="1" t="str">
        <f>VLOOKUP(F4895,Countries!$A$1:$B$161,2,0)</f>
        <v>United States of America</v>
      </c>
    </row>
    <row r="4896" spans="1:8" x14ac:dyDescent="0.3">
      <c r="A4896" s="3">
        <v>46244.185023148151</v>
      </c>
      <c r="B4896" s="1">
        <v>6.37</v>
      </c>
      <c r="C4896" s="1">
        <v>5.52</v>
      </c>
      <c r="D4896" s="1">
        <v>0.54</v>
      </c>
      <c r="E4896" s="1" t="s">
        <v>113</v>
      </c>
      <c r="F4896" s="1" t="s">
        <v>113</v>
      </c>
      <c r="G4896" s="1" t="s">
        <v>113</v>
      </c>
      <c r="H4896" s="1" t="str">
        <f>VLOOKUP(F4896,Countries!$A$1:$B$161,2,0)</f>
        <v>United States of America</v>
      </c>
    </row>
    <row r="4897" spans="1:8" x14ac:dyDescent="0.3">
      <c r="A4897" s="3">
        <v>46244.174988425933</v>
      </c>
      <c r="B4897" s="1">
        <v>6.37</v>
      </c>
      <c r="C4897" s="1">
        <v>5.52</v>
      </c>
      <c r="D4897" s="1">
        <v>0.54</v>
      </c>
      <c r="E4897" s="1" t="s">
        <v>113</v>
      </c>
      <c r="F4897" s="1" t="s">
        <v>113</v>
      </c>
      <c r="G4897" s="1" t="s">
        <v>113</v>
      </c>
      <c r="H4897" s="1" t="str">
        <f>VLOOKUP(F4897,Countries!$A$1:$B$161,2,0)</f>
        <v>United States of America</v>
      </c>
    </row>
    <row r="4898" spans="1:8" x14ac:dyDescent="0.3">
      <c r="A4898" s="3">
        <v>46244.173587962963</v>
      </c>
      <c r="B4898" s="1">
        <v>7.48</v>
      </c>
      <c r="C4898" s="1">
        <v>6.48</v>
      </c>
      <c r="D4898" s="1">
        <v>0.54</v>
      </c>
      <c r="E4898" s="1" t="s">
        <v>119</v>
      </c>
      <c r="F4898" s="1" t="s">
        <v>119</v>
      </c>
      <c r="G4898" s="1" t="s">
        <v>119</v>
      </c>
      <c r="H4898" s="1" t="str">
        <f>VLOOKUP(F4898,Countries!$A$1:$B$161,2,0)</f>
        <v>Great Britain (United Kingdom)</v>
      </c>
    </row>
    <row r="4899" spans="1:8" x14ac:dyDescent="0.3">
      <c r="A4899" s="3">
        <v>46244.173148148147</v>
      </c>
      <c r="B4899" s="1">
        <v>6.65</v>
      </c>
      <c r="C4899" s="1">
        <v>5.76</v>
      </c>
      <c r="D4899" s="1">
        <v>0.56000000000000005</v>
      </c>
      <c r="E4899" s="1" t="s">
        <v>130</v>
      </c>
      <c r="F4899" s="1" t="s">
        <v>130</v>
      </c>
      <c r="G4899" s="1" t="s">
        <v>130</v>
      </c>
      <c r="H4899" s="1" t="str">
        <f>VLOOKUP(F4899,Countries!$A$1:$B$161,2,0)</f>
        <v>Australia</v>
      </c>
    </row>
    <row r="4900" spans="1:8" x14ac:dyDescent="0.3">
      <c r="A4900" s="3">
        <v>46244.169895833344</v>
      </c>
      <c r="B4900" s="1">
        <v>6.37</v>
      </c>
      <c r="C4900" s="1">
        <v>5.52</v>
      </c>
      <c r="D4900" s="1">
        <v>0.54</v>
      </c>
      <c r="E4900" s="1" t="s">
        <v>113</v>
      </c>
      <c r="F4900" s="1" t="s">
        <v>113</v>
      </c>
      <c r="G4900" s="1" t="s">
        <v>113</v>
      </c>
      <c r="H4900" s="1" t="str">
        <f>VLOOKUP(F4900,Countries!$A$1:$B$161,2,0)</f>
        <v>United States of America</v>
      </c>
    </row>
    <row r="4901" spans="1:8" x14ac:dyDescent="0.3">
      <c r="A4901" s="3">
        <v>46244.168344907397</v>
      </c>
      <c r="B4901" s="1">
        <v>2.21</v>
      </c>
      <c r="C4901" s="1">
        <v>1.91</v>
      </c>
      <c r="D4901" s="1">
        <v>0.35</v>
      </c>
      <c r="E4901" s="1" t="s">
        <v>130</v>
      </c>
      <c r="F4901" s="1" t="s">
        <v>130</v>
      </c>
      <c r="G4901" s="1" t="s">
        <v>130</v>
      </c>
      <c r="H4901" s="1" t="str">
        <f>VLOOKUP(F4901,Countries!$A$1:$B$161,2,0)</f>
        <v>Australia</v>
      </c>
    </row>
    <row r="4902" spans="1:8" x14ac:dyDescent="0.3">
      <c r="A4902" s="3">
        <v>46244.162662037037</v>
      </c>
      <c r="B4902" s="1">
        <v>6.37</v>
      </c>
      <c r="C4902" s="1">
        <v>5.51</v>
      </c>
      <c r="D4902" s="1">
        <v>0.54</v>
      </c>
      <c r="E4902" s="1" t="s">
        <v>113</v>
      </c>
      <c r="F4902" s="1" t="s">
        <v>113</v>
      </c>
      <c r="G4902" s="1" t="s">
        <v>113</v>
      </c>
      <c r="H4902" s="1" t="str">
        <f>VLOOKUP(F4902,Countries!$A$1:$B$161,2,0)</f>
        <v>United States of America</v>
      </c>
    </row>
    <row r="4903" spans="1:8" x14ac:dyDescent="0.3">
      <c r="A4903" s="3">
        <v>46244.159224537027</v>
      </c>
      <c r="B4903" s="1">
        <v>3.73</v>
      </c>
      <c r="C4903" s="1">
        <v>3.23</v>
      </c>
      <c r="D4903" s="1">
        <v>0.36</v>
      </c>
      <c r="E4903" s="1" t="s">
        <v>123</v>
      </c>
      <c r="F4903" s="1" t="s">
        <v>123</v>
      </c>
      <c r="G4903" s="1" t="s">
        <v>123</v>
      </c>
      <c r="H4903" s="1" t="str">
        <f>VLOOKUP(F4903,Countries!$A$1:$B$161,2,0)</f>
        <v>France</v>
      </c>
    </row>
    <row r="4904" spans="1:8" x14ac:dyDescent="0.3">
      <c r="A4904" s="3">
        <v>46244.15902777778</v>
      </c>
      <c r="B4904" s="1">
        <v>6.37</v>
      </c>
      <c r="C4904" s="1">
        <v>5.51</v>
      </c>
      <c r="D4904" s="1">
        <v>0.54</v>
      </c>
      <c r="E4904" s="1" t="s">
        <v>113</v>
      </c>
      <c r="F4904" s="1" t="s">
        <v>113</v>
      </c>
      <c r="G4904" s="1" t="s">
        <v>113</v>
      </c>
      <c r="H4904" s="1" t="str">
        <f>VLOOKUP(F4904,Countries!$A$1:$B$161,2,0)</f>
        <v>United States of America</v>
      </c>
    </row>
    <row r="4905" spans="1:8" x14ac:dyDescent="0.3">
      <c r="A4905" s="3">
        <v>46244.151423611111</v>
      </c>
      <c r="B4905" s="1">
        <v>24.32</v>
      </c>
      <c r="C4905" s="1">
        <v>21.05</v>
      </c>
      <c r="D4905" s="1">
        <v>0.99</v>
      </c>
      <c r="E4905" s="1" t="s">
        <v>123</v>
      </c>
      <c r="F4905" s="1" t="s">
        <v>123</v>
      </c>
      <c r="G4905" s="1" t="s">
        <v>123</v>
      </c>
      <c r="H4905" s="1" t="str">
        <f>VLOOKUP(F4905,Countries!$A$1:$B$161,2,0)</f>
        <v>France</v>
      </c>
    </row>
    <row r="4906" spans="1:8" x14ac:dyDescent="0.3">
      <c r="A4906" s="3">
        <v>46244.144050925926</v>
      </c>
      <c r="B4906" s="1">
        <v>7.58</v>
      </c>
      <c r="C4906" s="1">
        <v>6.56</v>
      </c>
      <c r="D4906" s="1">
        <v>0.48</v>
      </c>
      <c r="E4906" s="1" t="s">
        <v>120</v>
      </c>
      <c r="F4906" s="1" t="s">
        <v>120</v>
      </c>
      <c r="G4906" s="1" t="s">
        <v>120</v>
      </c>
      <c r="H4906" s="1" t="str">
        <f>VLOOKUP(F4906,Countries!$A$1:$B$161,2,0)</f>
        <v>Czech Republic</v>
      </c>
    </row>
    <row r="4907" spans="1:8" x14ac:dyDescent="0.3">
      <c r="A4907" s="3">
        <v>46244.142245370371</v>
      </c>
      <c r="B4907" s="1">
        <v>11.1</v>
      </c>
      <c r="C4907" s="1">
        <v>9.61</v>
      </c>
      <c r="D4907" s="1">
        <v>0.75</v>
      </c>
      <c r="E4907" s="1" t="s">
        <v>121</v>
      </c>
      <c r="F4907" s="1" t="s">
        <v>121</v>
      </c>
      <c r="G4907" s="1" t="s">
        <v>121</v>
      </c>
      <c r="H4907" s="1" t="str">
        <f>VLOOKUP(F4907,Countries!$A$1:$B$161,2,0)</f>
        <v>Japan</v>
      </c>
    </row>
    <row r="4908" spans="1:8" x14ac:dyDescent="0.3">
      <c r="A4908" s="3">
        <v>46244.140856481477</v>
      </c>
      <c r="B4908" s="1">
        <v>16.34</v>
      </c>
      <c r="C4908" s="1">
        <v>14.14</v>
      </c>
      <c r="D4908" s="1">
        <v>0.99</v>
      </c>
      <c r="E4908" s="1" t="s">
        <v>160</v>
      </c>
      <c r="F4908" s="1" t="s">
        <v>160</v>
      </c>
      <c r="G4908" s="1" t="s">
        <v>160</v>
      </c>
      <c r="H4908" s="1" t="str">
        <f>VLOOKUP(F4908,Countries!$A$1:$B$161,2,0)</f>
        <v>New Zealand</v>
      </c>
    </row>
    <row r="4909" spans="1:8" x14ac:dyDescent="0.3">
      <c r="A4909" s="3">
        <v>46244.131030092591</v>
      </c>
      <c r="B4909" s="1">
        <v>14.77</v>
      </c>
      <c r="C4909" s="1">
        <v>12.79</v>
      </c>
      <c r="D4909" s="1">
        <v>0.93</v>
      </c>
      <c r="E4909" s="1" t="s">
        <v>113</v>
      </c>
      <c r="F4909" s="1" t="s">
        <v>113</v>
      </c>
      <c r="G4909" s="1" t="s">
        <v>113</v>
      </c>
      <c r="H4909" s="1" t="str">
        <f>VLOOKUP(F4909,Countries!$A$1:$B$161,2,0)</f>
        <v>United States of America</v>
      </c>
    </row>
    <row r="4910" spans="1:8" x14ac:dyDescent="0.3">
      <c r="A4910" s="3">
        <v>46244.130555555559</v>
      </c>
      <c r="B4910" s="1">
        <v>6.37</v>
      </c>
      <c r="C4910" s="1">
        <v>5.51</v>
      </c>
      <c r="D4910" s="1">
        <v>0.54</v>
      </c>
      <c r="E4910" s="1" t="s">
        <v>114</v>
      </c>
      <c r="F4910" s="1" t="s">
        <v>114</v>
      </c>
      <c r="G4910" s="1" t="s">
        <v>114</v>
      </c>
      <c r="H4910" s="1" t="str">
        <f>VLOOKUP(F4910,Countries!$A$1:$B$161,2,0)</f>
        <v>Philippines</v>
      </c>
    </row>
    <row r="4911" spans="1:8" x14ac:dyDescent="0.3">
      <c r="A4911" s="3">
        <v>46244.127604166657</v>
      </c>
      <c r="B4911" s="1">
        <v>6.37</v>
      </c>
      <c r="C4911" s="1">
        <v>5.51</v>
      </c>
      <c r="D4911" s="1">
        <v>0.54</v>
      </c>
      <c r="E4911" s="1" t="s">
        <v>113</v>
      </c>
      <c r="F4911" s="1" t="s">
        <v>113</v>
      </c>
      <c r="G4911" s="1" t="s">
        <v>113</v>
      </c>
      <c r="H4911" s="1" t="str">
        <f>VLOOKUP(F4911,Countries!$A$1:$B$161,2,0)</f>
        <v>United States of America</v>
      </c>
    </row>
    <row r="4912" spans="1:8" x14ac:dyDescent="0.3">
      <c r="A4912" s="3">
        <v>46244.125717592593</v>
      </c>
      <c r="B4912" s="1">
        <v>16.34</v>
      </c>
      <c r="C4912" s="1">
        <v>14.14</v>
      </c>
      <c r="D4912" s="1">
        <v>0.99</v>
      </c>
      <c r="E4912" s="1" t="s">
        <v>160</v>
      </c>
      <c r="F4912" s="1" t="s">
        <v>160</v>
      </c>
      <c r="G4912" s="1" t="s">
        <v>160</v>
      </c>
      <c r="H4912" s="1" t="str">
        <f>VLOOKUP(F4912,Countries!$A$1:$B$161,2,0)</f>
        <v>New Zealand</v>
      </c>
    </row>
    <row r="4913" spans="1:8" x14ac:dyDescent="0.3">
      <c r="A4913" s="3">
        <v>46244.124351851853</v>
      </c>
      <c r="B4913" s="1">
        <v>29.43</v>
      </c>
      <c r="C4913" s="1">
        <v>25.47</v>
      </c>
      <c r="D4913" s="1">
        <v>1.59</v>
      </c>
      <c r="E4913" s="1" t="s">
        <v>160</v>
      </c>
      <c r="F4913" s="1" t="s">
        <v>160</v>
      </c>
      <c r="G4913" s="1" t="s">
        <v>160</v>
      </c>
      <c r="H4913" s="1" t="str">
        <f>VLOOKUP(F4913,Countries!$A$1:$B$161,2,0)</f>
        <v>New Zealand</v>
      </c>
    </row>
    <row r="4914" spans="1:8" x14ac:dyDescent="0.3">
      <c r="A4914" s="3">
        <v>46244.117025462961</v>
      </c>
      <c r="B4914" s="1">
        <v>2.11</v>
      </c>
      <c r="C4914" s="1">
        <v>1.83</v>
      </c>
      <c r="D4914" s="1">
        <v>0.35</v>
      </c>
      <c r="E4914" s="1" t="s">
        <v>113</v>
      </c>
      <c r="F4914" s="1" t="s">
        <v>113</v>
      </c>
      <c r="G4914" s="1" t="s">
        <v>113</v>
      </c>
      <c r="H4914" s="1" t="str">
        <f>VLOOKUP(F4914,Countries!$A$1:$B$161,2,0)</f>
        <v>United States of America</v>
      </c>
    </row>
    <row r="4915" spans="1:8" x14ac:dyDescent="0.3">
      <c r="A4915" s="3">
        <v>46244.114942129629</v>
      </c>
      <c r="B4915" s="1">
        <v>7.04</v>
      </c>
      <c r="C4915" s="1">
        <v>6.09</v>
      </c>
      <c r="D4915" s="1">
        <v>0.56999999999999995</v>
      </c>
      <c r="E4915" s="1" t="s">
        <v>128</v>
      </c>
      <c r="F4915" s="1" t="s">
        <v>128</v>
      </c>
      <c r="G4915" s="1" t="s">
        <v>128</v>
      </c>
      <c r="H4915" s="1" t="str">
        <f>VLOOKUP(F4915,Countries!$A$1:$B$161,2,0)</f>
        <v>South Africa</v>
      </c>
    </row>
    <row r="4916" spans="1:8" x14ac:dyDescent="0.3">
      <c r="A4916" s="3">
        <v>46244.083692129629</v>
      </c>
      <c r="B4916" s="1">
        <v>10.62</v>
      </c>
      <c r="C4916" s="1">
        <v>9.19</v>
      </c>
      <c r="D4916" s="1">
        <v>0.73</v>
      </c>
      <c r="E4916" s="1" t="s">
        <v>113</v>
      </c>
      <c r="F4916" s="1" t="s">
        <v>113</v>
      </c>
      <c r="G4916" s="1" t="s">
        <v>113</v>
      </c>
      <c r="H4916" s="1" t="str">
        <f>VLOOKUP(F4916,Countries!$A$1:$B$161,2,0)</f>
        <v>United States of America</v>
      </c>
    </row>
    <row r="4917" spans="1:8" x14ac:dyDescent="0.3">
      <c r="A4917" s="3">
        <v>46244.073958333327</v>
      </c>
      <c r="B4917" s="1">
        <v>2.1800000000000002</v>
      </c>
      <c r="C4917" s="1">
        <v>1.89</v>
      </c>
      <c r="D4917" s="1">
        <v>0.35</v>
      </c>
      <c r="E4917" s="1" t="s">
        <v>152</v>
      </c>
      <c r="F4917" s="1" t="s">
        <v>152</v>
      </c>
      <c r="G4917" s="1" t="s">
        <v>152</v>
      </c>
      <c r="H4917" s="1" t="str">
        <f>VLOOKUP(F4917,Countries!$A$1:$B$161,2,0)</f>
        <v>Singapore</v>
      </c>
    </row>
    <row r="4918" spans="1:8" x14ac:dyDescent="0.3">
      <c r="A4918" s="3">
        <v>46244.065439814818</v>
      </c>
      <c r="B4918" s="1">
        <v>6.37</v>
      </c>
      <c r="C4918" s="1">
        <v>5.51</v>
      </c>
      <c r="D4918" s="1">
        <v>0.54</v>
      </c>
      <c r="E4918" s="1" t="s">
        <v>113</v>
      </c>
      <c r="F4918" s="1" t="s">
        <v>113</v>
      </c>
      <c r="G4918" s="1" t="s">
        <v>113</v>
      </c>
      <c r="H4918" s="1" t="str">
        <f>VLOOKUP(F4918,Countries!$A$1:$B$161,2,0)</f>
        <v>United States of America</v>
      </c>
    </row>
    <row r="4919" spans="1:8" x14ac:dyDescent="0.3">
      <c r="A4919" s="3">
        <v>46244.0622337963</v>
      </c>
      <c r="B4919" s="1">
        <v>3.93</v>
      </c>
      <c r="C4919" s="1">
        <v>3.4</v>
      </c>
      <c r="D4919" s="1">
        <v>0.37</v>
      </c>
      <c r="E4919" s="1" t="s">
        <v>137</v>
      </c>
      <c r="F4919" s="1" t="s">
        <v>138</v>
      </c>
      <c r="G4919" s="1" t="s">
        <v>138</v>
      </c>
      <c r="H4919" s="1" t="str">
        <f>VLOOKUP(F4919,Countries!$A$1:$B$161,2,0)</f>
        <v>Iceland</v>
      </c>
    </row>
    <row r="4920" spans="1:8" x14ac:dyDescent="0.3">
      <c r="A4920" s="3">
        <v>46244.046655092592</v>
      </c>
      <c r="B4920" s="1">
        <v>3.32</v>
      </c>
      <c r="C4920" s="1">
        <v>2.87</v>
      </c>
      <c r="D4920" s="1">
        <v>0.4</v>
      </c>
      <c r="E4920" s="1" t="s">
        <v>121</v>
      </c>
      <c r="F4920" s="1" t="s">
        <v>121</v>
      </c>
      <c r="G4920" s="1" t="s">
        <v>121</v>
      </c>
      <c r="H4920" s="1" t="str">
        <f>VLOOKUP(F4920,Countries!$A$1:$B$161,2,0)</f>
        <v>Japan</v>
      </c>
    </row>
    <row r="4921" spans="1:8" x14ac:dyDescent="0.3">
      <c r="A4921" s="3">
        <v>46244.040798611109</v>
      </c>
      <c r="B4921" s="1">
        <v>6.37</v>
      </c>
      <c r="C4921" s="1">
        <v>5.51</v>
      </c>
      <c r="D4921" s="1">
        <v>0.54</v>
      </c>
      <c r="E4921" s="1" t="s">
        <v>163</v>
      </c>
      <c r="F4921" s="1" t="s">
        <v>163</v>
      </c>
      <c r="G4921" s="1" t="s">
        <v>163</v>
      </c>
      <c r="H4921" s="1" t="str">
        <f>VLOOKUP(F4921,Countries!$A$1:$B$161,2,0)</f>
        <v>Saudi Arabia</v>
      </c>
    </row>
    <row r="4922" spans="1:8" x14ac:dyDescent="0.3">
      <c r="A4922" s="3">
        <v>46244.034398148149</v>
      </c>
      <c r="B4922" s="1">
        <v>3.64</v>
      </c>
      <c r="C4922" s="1">
        <v>3.15</v>
      </c>
      <c r="D4922" s="1">
        <v>0.41</v>
      </c>
      <c r="E4922" s="1" t="s">
        <v>208</v>
      </c>
      <c r="F4922" s="1" t="s">
        <v>208</v>
      </c>
      <c r="G4922" s="1" t="s">
        <v>208</v>
      </c>
      <c r="H4922" s="1" t="str">
        <f>VLOOKUP(F4922,Countries!$A$1:$B$161,2,0)</f>
        <v>Georgia</v>
      </c>
    </row>
    <row r="4923" spans="1:8" x14ac:dyDescent="0.3">
      <c r="A4923" s="3">
        <v>46244.017581018517</v>
      </c>
      <c r="B4923" s="1">
        <v>7.58</v>
      </c>
      <c r="C4923" s="1">
        <v>6.56</v>
      </c>
      <c r="D4923" s="1">
        <v>0.48</v>
      </c>
      <c r="E4923" s="1" t="s">
        <v>116</v>
      </c>
      <c r="F4923" s="1" t="s">
        <v>116</v>
      </c>
      <c r="G4923" s="1" t="s">
        <v>116</v>
      </c>
      <c r="H4923" s="1" t="str">
        <f>VLOOKUP(F4923,Countries!$A$1:$B$161,2,0)</f>
        <v>Spain</v>
      </c>
    </row>
    <row r="4924" spans="1:8" x14ac:dyDescent="0.3">
      <c r="A4924" s="3">
        <v>46244.013356481482</v>
      </c>
      <c r="B4924" s="1">
        <v>6.37</v>
      </c>
      <c r="C4924" s="1">
        <v>5.51</v>
      </c>
      <c r="D4924" s="1">
        <v>0.54</v>
      </c>
      <c r="E4924" s="1" t="s">
        <v>113</v>
      </c>
      <c r="F4924" s="1" t="s">
        <v>113</v>
      </c>
      <c r="G4924" s="1" t="s">
        <v>113</v>
      </c>
      <c r="H4924" s="1" t="str">
        <f>VLOOKUP(F4924,Countries!$A$1:$B$161,2,0)</f>
        <v>United States of America</v>
      </c>
    </row>
    <row r="4925" spans="1:8" x14ac:dyDescent="0.3">
      <c r="A4925" s="3">
        <v>46243.999722222223</v>
      </c>
      <c r="B4925" s="1">
        <v>2.11</v>
      </c>
      <c r="C4925" s="1">
        <v>1.83</v>
      </c>
      <c r="D4925" s="1">
        <v>0.35</v>
      </c>
      <c r="E4925" s="1" t="s">
        <v>113</v>
      </c>
      <c r="F4925" s="1" t="s">
        <v>113</v>
      </c>
      <c r="G4925" s="1" t="s">
        <v>113</v>
      </c>
      <c r="H4925" s="1" t="str">
        <f>VLOOKUP(F4925,Countries!$A$1:$B$161,2,0)</f>
        <v>United States of America</v>
      </c>
    </row>
    <row r="4926" spans="1:8" x14ac:dyDescent="0.3">
      <c r="A4926" s="3">
        <v>46243.998298611114</v>
      </c>
      <c r="B4926" s="1">
        <v>6.37</v>
      </c>
      <c r="C4926" s="1">
        <v>5.51</v>
      </c>
      <c r="D4926" s="1">
        <v>0.54</v>
      </c>
      <c r="E4926" s="1" t="s">
        <v>113</v>
      </c>
      <c r="F4926" s="1" t="s">
        <v>113</v>
      </c>
      <c r="G4926" s="1" t="s">
        <v>113</v>
      </c>
      <c r="H4926" s="1" t="str">
        <f>VLOOKUP(F4926,Countries!$A$1:$B$161,2,0)</f>
        <v>United States of America</v>
      </c>
    </row>
    <row r="4927" spans="1:8" x14ac:dyDescent="0.3">
      <c r="A4927" s="3">
        <v>46243.976759259262</v>
      </c>
      <c r="B4927" s="1">
        <v>10.51</v>
      </c>
      <c r="C4927" s="1">
        <v>9.09</v>
      </c>
      <c r="D4927" s="1">
        <v>0.56999999999999995</v>
      </c>
      <c r="E4927" s="1" t="s">
        <v>201</v>
      </c>
      <c r="F4927" s="1" t="s">
        <v>201</v>
      </c>
      <c r="G4927" s="1" t="s">
        <v>201</v>
      </c>
      <c r="H4927" s="1" t="str">
        <f>VLOOKUP(F4927,Countries!$A$1:$B$161,2,0)</f>
        <v>Greece</v>
      </c>
    </row>
    <row r="4928" spans="1:8" x14ac:dyDescent="0.3">
      <c r="A4928" s="3">
        <v>46243.962708333333</v>
      </c>
      <c r="B4928" s="1">
        <v>10.62</v>
      </c>
      <c r="C4928" s="1">
        <v>9.19</v>
      </c>
      <c r="D4928" s="1">
        <v>0.73</v>
      </c>
      <c r="E4928" s="1" t="s">
        <v>113</v>
      </c>
      <c r="F4928" s="1" t="s">
        <v>113</v>
      </c>
      <c r="G4928" s="1" t="s">
        <v>113</v>
      </c>
      <c r="H4928" s="1" t="str">
        <f>VLOOKUP(F4928,Countries!$A$1:$B$161,2,0)</f>
        <v>United States of America</v>
      </c>
    </row>
    <row r="4929" spans="1:8" x14ac:dyDescent="0.3">
      <c r="A4929" s="3">
        <v>46243.950138888889</v>
      </c>
      <c r="B4929" s="1">
        <v>4.09</v>
      </c>
      <c r="C4929" s="1">
        <v>3.54</v>
      </c>
      <c r="D4929" s="1">
        <v>0.37</v>
      </c>
      <c r="E4929" s="1" t="s">
        <v>177</v>
      </c>
      <c r="F4929" s="1" t="s">
        <v>177</v>
      </c>
      <c r="G4929" s="1" t="s">
        <v>177</v>
      </c>
      <c r="H4929" s="1" t="str">
        <f>VLOOKUP(F4929,Countries!$A$1:$B$161,2,0)</f>
        <v>Hungary</v>
      </c>
    </row>
    <row r="4930" spans="1:8" x14ac:dyDescent="0.3">
      <c r="A4930" s="3">
        <v>46243.944004629629</v>
      </c>
      <c r="B4930" s="1">
        <v>19.98</v>
      </c>
      <c r="C4930" s="1">
        <v>17.28</v>
      </c>
      <c r="D4930" s="1">
        <v>0.86</v>
      </c>
      <c r="E4930" s="1" t="s">
        <v>123</v>
      </c>
      <c r="F4930" s="1" t="s">
        <v>123</v>
      </c>
      <c r="G4930" s="1" t="s">
        <v>123</v>
      </c>
      <c r="H4930" s="1" t="str">
        <f>VLOOKUP(F4930,Countries!$A$1:$B$161,2,0)</f>
        <v>France</v>
      </c>
    </row>
    <row r="4931" spans="1:8" x14ac:dyDescent="0.3">
      <c r="A4931" s="3">
        <v>46243.943344907413</v>
      </c>
      <c r="B4931" s="1">
        <v>7.48</v>
      </c>
      <c r="C4931" s="1">
        <v>6.47</v>
      </c>
      <c r="D4931" s="1">
        <v>0.54</v>
      </c>
      <c r="E4931" s="1" t="s">
        <v>119</v>
      </c>
      <c r="F4931" s="1" t="s">
        <v>119</v>
      </c>
      <c r="G4931" s="1" t="s">
        <v>119</v>
      </c>
      <c r="H4931" s="1" t="str">
        <f>VLOOKUP(F4931,Countries!$A$1:$B$161,2,0)</f>
        <v>Great Britain (United Kingdom)</v>
      </c>
    </row>
    <row r="4932" spans="1:8" x14ac:dyDescent="0.3">
      <c r="A4932" s="3">
        <v>46243.937962962962</v>
      </c>
      <c r="B4932" s="1">
        <v>12.33</v>
      </c>
      <c r="C4932" s="1">
        <v>10.66</v>
      </c>
      <c r="D4932" s="1">
        <v>0.62</v>
      </c>
      <c r="E4932" s="1" t="s">
        <v>147</v>
      </c>
      <c r="F4932" s="1" t="s">
        <v>147</v>
      </c>
      <c r="G4932" s="1" t="s">
        <v>147</v>
      </c>
      <c r="H4932" s="1" t="str">
        <f>VLOOKUP(F4932,Countries!$A$1:$B$161,2,0)</f>
        <v>Germany</v>
      </c>
    </row>
    <row r="4933" spans="1:8" x14ac:dyDescent="0.3">
      <c r="A4933" s="3">
        <v>46243.937916666669</v>
      </c>
      <c r="B4933" s="1">
        <v>10.62</v>
      </c>
      <c r="C4933" s="1">
        <v>9.19</v>
      </c>
      <c r="D4933" s="1">
        <v>0.73</v>
      </c>
      <c r="E4933" s="1" t="s">
        <v>113</v>
      </c>
      <c r="F4933" s="1" t="s">
        <v>113</v>
      </c>
      <c r="G4933" s="1" t="s">
        <v>113</v>
      </c>
      <c r="H4933" s="1" t="str">
        <f>VLOOKUP(F4933,Countries!$A$1:$B$161,2,0)</f>
        <v>United States of America</v>
      </c>
    </row>
    <row r="4934" spans="1:8" x14ac:dyDescent="0.3">
      <c r="A4934" s="3">
        <v>46243.936157407406</v>
      </c>
      <c r="B4934" s="1">
        <v>5.99</v>
      </c>
      <c r="C4934" s="1">
        <v>5.18</v>
      </c>
      <c r="D4934" s="1">
        <v>0.52</v>
      </c>
      <c r="E4934" s="1" t="s">
        <v>113</v>
      </c>
      <c r="F4934" s="1" t="s">
        <v>113</v>
      </c>
      <c r="G4934" s="1" t="s">
        <v>113</v>
      </c>
      <c r="H4934" s="1" t="str">
        <f>VLOOKUP(F4934,Countries!$A$1:$B$161,2,0)</f>
        <v>United States of America</v>
      </c>
    </row>
    <row r="4935" spans="1:8" x14ac:dyDescent="0.3">
      <c r="A4935" s="3">
        <v>46243.924328703702</v>
      </c>
      <c r="B4935" s="1">
        <v>7.58</v>
      </c>
      <c r="C4935" s="1">
        <v>6.56</v>
      </c>
      <c r="D4935" s="1">
        <v>0.48</v>
      </c>
      <c r="E4935" s="1" t="s">
        <v>154</v>
      </c>
      <c r="F4935" s="1" t="s">
        <v>154</v>
      </c>
      <c r="G4935" s="1" t="s">
        <v>154</v>
      </c>
      <c r="H4935" s="1" t="str">
        <f>VLOOKUP(F4935,Countries!$A$1:$B$161,2,0)</f>
        <v>Belgium</v>
      </c>
    </row>
    <row r="4936" spans="1:8" x14ac:dyDescent="0.3">
      <c r="A4936" s="3">
        <v>46243.90115740741</v>
      </c>
      <c r="B4936" s="1">
        <v>7.48</v>
      </c>
      <c r="C4936" s="1">
        <v>6.47</v>
      </c>
      <c r="D4936" s="1">
        <v>0.48</v>
      </c>
      <c r="E4936" s="1" t="s">
        <v>123</v>
      </c>
      <c r="F4936" s="1" t="s">
        <v>123</v>
      </c>
      <c r="G4936" s="1" t="s">
        <v>123</v>
      </c>
      <c r="H4936" s="1" t="str">
        <f>VLOOKUP(F4936,Countries!$A$1:$B$161,2,0)</f>
        <v>France</v>
      </c>
    </row>
    <row r="4937" spans="1:8" x14ac:dyDescent="0.3">
      <c r="A4937" s="3">
        <v>46243.887013888889</v>
      </c>
      <c r="B4937" s="1">
        <v>10.62</v>
      </c>
      <c r="C4937" s="1">
        <v>9.18</v>
      </c>
      <c r="D4937" s="1">
        <v>0.73</v>
      </c>
      <c r="E4937" s="1" t="s">
        <v>113</v>
      </c>
      <c r="F4937" s="1" t="s">
        <v>113</v>
      </c>
      <c r="G4937" s="1" t="s">
        <v>113</v>
      </c>
      <c r="H4937" s="1" t="str">
        <f>VLOOKUP(F4937,Countries!$A$1:$B$161,2,0)</f>
        <v>United States of America</v>
      </c>
    </row>
    <row r="4938" spans="1:8" x14ac:dyDescent="0.3">
      <c r="A4938" s="3">
        <v>46243.883113425924</v>
      </c>
      <c r="B4938" s="1">
        <v>13.89</v>
      </c>
      <c r="C4938" s="1">
        <v>12.01</v>
      </c>
      <c r="D4938" s="1">
        <v>0.88</v>
      </c>
      <c r="E4938" s="1" t="s">
        <v>135</v>
      </c>
      <c r="F4938" s="1" t="s">
        <v>135</v>
      </c>
      <c r="G4938" s="1" t="s">
        <v>135</v>
      </c>
      <c r="H4938" s="1" t="str">
        <f>VLOOKUP(F4938,Countries!$A$1:$B$161,2,0)</f>
        <v>Kuwait</v>
      </c>
    </row>
    <row r="4939" spans="1:8" x14ac:dyDescent="0.3">
      <c r="A4939" s="3">
        <v>46243.87903935185</v>
      </c>
      <c r="B4939" s="1">
        <v>16.73</v>
      </c>
      <c r="C4939" s="1">
        <v>14.47</v>
      </c>
      <c r="D4939" s="1">
        <v>1.01</v>
      </c>
      <c r="E4939" s="1" t="s">
        <v>165</v>
      </c>
      <c r="F4939" s="1" t="s">
        <v>165</v>
      </c>
      <c r="G4939" s="1" t="s">
        <v>165</v>
      </c>
      <c r="H4939" s="1" t="str">
        <f>VLOOKUP(F4939,Countries!$A$1:$B$161,2,0)</f>
        <v>Israel</v>
      </c>
    </row>
    <row r="4940" spans="1:8" x14ac:dyDescent="0.3">
      <c r="A4940" s="3">
        <v>46243.873472222222</v>
      </c>
      <c r="B4940" s="1">
        <v>13.32</v>
      </c>
      <c r="C4940" s="1">
        <v>11.52</v>
      </c>
      <c r="D4940" s="1">
        <v>0.65</v>
      </c>
      <c r="E4940" s="1" t="s">
        <v>178</v>
      </c>
      <c r="F4940" s="1" t="s">
        <v>178</v>
      </c>
      <c r="G4940" s="1" t="s">
        <v>178</v>
      </c>
      <c r="H4940" s="1" t="str">
        <f>VLOOKUP(F4940,Countries!$A$1:$B$161,2,0)</f>
        <v>Sweden</v>
      </c>
    </row>
    <row r="4941" spans="1:8" x14ac:dyDescent="0.3">
      <c r="A4941" s="3">
        <v>46243.868969907409</v>
      </c>
      <c r="B4941" s="1">
        <v>13.89</v>
      </c>
      <c r="C4941" s="1">
        <v>12.02</v>
      </c>
      <c r="D4941" s="1">
        <v>0.88</v>
      </c>
      <c r="E4941" s="1" t="s">
        <v>135</v>
      </c>
      <c r="F4941" s="1" t="s">
        <v>135</v>
      </c>
      <c r="G4941" s="1" t="s">
        <v>135</v>
      </c>
      <c r="H4941" s="1" t="str">
        <f>VLOOKUP(F4941,Countries!$A$1:$B$161,2,0)</f>
        <v>Kuwait</v>
      </c>
    </row>
    <row r="4942" spans="1:8" x14ac:dyDescent="0.3">
      <c r="A4942" s="3">
        <v>46243.864386574067</v>
      </c>
      <c r="B4942" s="1">
        <v>7.98</v>
      </c>
      <c r="C4942" s="1">
        <v>6.9</v>
      </c>
      <c r="D4942" s="1">
        <v>0.49</v>
      </c>
      <c r="E4942" s="1" t="s">
        <v>178</v>
      </c>
      <c r="F4942" s="1" t="s">
        <v>178</v>
      </c>
      <c r="G4942" s="1" t="s">
        <v>178</v>
      </c>
      <c r="H4942" s="1" t="str">
        <f>VLOOKUP(F4942,Countries!$A$1:$B$161,2,0)</f>
        <v>Sweden</v>
      </c>
    </row>
    <row r="4943" spans="1:8" x14ac:dyDescent="0.3">
      <c r="A4943" s="3">
        <v>46243.85670138889</v>
      </c>
      <c r="B4943" s="1">
        <v>26.31</v>
      </c>
      <c r="C4943" s="1">
        <v>22.76</v>
      </c>
      <c r="D4943" s="1">
        <v>1.45</v>
      </c>
      <c r="E4943" s="1" t="s">
        <v>143</v>
      </c>
      <c r="F4943" s="1" t="s">
        <v>143</v>
      </c>
      <c r="G4943" s="1" t="s">
        <v>143</v>
      </c>
      <c r="H4943" s="1" t="str">
        <f>VLOOKUP(F4943,Countries!$A$1:$B$161,2,0)</f>
        <v>United Arab Emirates</v>
      </c>
    </row>
    <row r="4944" spans="1:8" x14ac:dyDescent="0.3">
      <c r="A4944" s="3">
        <v>46243.85565972222</v>
      </c>
      <c r="B4944" s="1">
        <v>21.05</v>
      </c>
      <c r="C4944" s="1">
        <v>18.21</v>
      </c>
      <c r="D4944" s="1">
        <v>1.2</v>
      </c>
      <c r="E4944" s="1" t="s">
        <v>143</v>
      </c>
      <c r="F4944" s="1" t="s">
        <v>143</v>
      </c>
      <c r="G4944" s="1" t="s">
        <v>143</v>
      </c>
      <c r="H4944" s="1" t="str">
        <f>VLOOKUP(F4944,Countries!$A$1:$B$161,2,0)</f>
        <v>United Arab Emirates</v>
      </c>
    </row>
    <row r="4945" spans="1:8" x14ac:dyDescent="0.3">
      <c r="A4945" s="3">
        <v>46243.854467592602</v>
      </c>
      <c r="B4945" s="1">
        <v>16.73</v>
      </c>
      <c r="C4945" s="1">
        <v>14.47</v>
      </c>
      <c r="D4945" s="1">
        <v>1.01</v>
      </c>
      <c r="E4945" s="1" t="s">
        <v>165</v>
      </c>
      <c r="F4945" s="1" t="s">
        <v>165</v>
      </c>
      <c r="G4945" s="1" t="s">
        <v>165</v>
      </c>
      <c r="H4945" s="1" t="str">
        <f>VLOOKUP(F4945,Countries!$A$1:$B$161,2,0)</f>
        <v>Israel</v>
      </c>
    </row>
    <row r="4946" spans="1:8" x14ac:dyDescent="0.3">
      <c r="A4946" s="3">
        <v>46243.853865740741</v>
      </c>
      <c r="B4946" s="1">
        <v>2.99</v>
      </c>
      <c r="C4946" s="1">
        <v>2.59</v>
      </c>
      <c r="D4946" s="1">
        <v>0.38</v>
      </c>
      <c r="E4946" s="1" t="s">
        <v>135</v>
      </c>
      <c r="F4946" s="1" t="s">
        <v>135</v>
      </c>
      <c r="G4946" s="1" t="s">
        <v>135</v>
      </c>
      <c r="H4946" s="1" t="str">
        <f>VLOOKUP(F4946,Countries!$A$1:$B$161,2,0)</f>
        <v>Kuwait</v>
      </c>
    </row>
    <row r="4947" spans="1:8" x14ac:dyDescent="0.3">
      <c r="A4947" s="3">
        <v>46243.850949074083</v>
      </c>
      <c r="B4947" s="1">
        <v>3.14</v>
      </c>
      <c r="C4947" s="1">
        <v>2.72</v>
      </c>
      <c r="D4947" s="1">
        <v>0.39</v>
      </c>
      <c r="E4947" s="1" t="s">
        <v>143</v>
      </c>
      <c r="F4947" s="1" t="s">
        <v>143</v>
      </c>
      <c r="G4947" s="1" t="s">
        <v>143</v>
      </c>
      <c r="H4947" s="1" t="str">
        <f>VLOOKUP(F4947,Countries!$A$1:$B$161,2,0)</f>
        <v>United Arab Emirates</v>
      </c>
    </row>
    <row r="4948" spans="1:8" x14ac:dyDescent="0.3">
      <c r="A4948" s="3">
        <v>46243.849166666667</v>
      </c>
      <c r="B4948" s="1">
        <v>3.39</v>
      </c>
      <c r="C4948" s="1">
        <v>2.93</v>
      </c>
      <c r="D4948" s="1">
        <v>0.41</v>
      </c>
      <c r="E4948" s="1" t="s">
        <v>196</v>
      </c>
      <c r="F4948" s="1" t="s">
        <v>196</v>
      </c>
      <c r="G4948" s="1" t="s">
        <v>196</v>
      </c>
      <c r="H4948" s="1" t="str">
        <f>VLOOKUP(F4948,Countries!$A$1:$B$161,2,0)</f>
        <v>Kazakhstan</v>
      </c>
    </row>
    <row r="4949" spans="1:8" x14ac:dyDescent="0.3">
      <c r="A4949" s="3">
        <v>46243.849004629628</v>
      </c>
      <c r="B4949" s="1">
        <v>10.52</v>
      </c>
      <c r="C4949" s="1">
        <v>9.1</v>
      </c>
      <c r="D4949" s="1">
        <v>0.73</v>
      </c>
      <c r="E4949" s="1" t="s">
        <v>143</v>
      </c>
      <c r="F4949" s="1" t="s">
        <v>143</v>
      </c>
      <c r="G4949" s="1" t="s">
        <v>143</v>
      </c>
      <c r="H4949" s="1" t="str">
        <f>VLOOKUP(F4949,Countries!$A$1:$B$161,2,0)</f>
        <v>United Arab Emirates</v>
      </c>
    </row>
    <row r="4950" spans="1:8" x14ac:dyDescent="0.3">
      <c r="A4950" s="3">
        <v>46243.848090277781</v>
      </c>
      <c r="B4950" s="1">
        <v>10.52</v>
      </c>
      <c r="C4950" s="1">
        <v>9.1</v>
      </c>
      <c r="D4950" s="1">
        <v>0.73</v>
      </c>
      <c r="E4950" s="1" t="s">
        <v>143</v>
      </c>
      <c r="F4950" s="1" t="s">
        <v>143</v>
      </c>
      <c r="G4950" s="1" t="s">
        <v>143</v>
      </c>
      <c r="H4950" s="1" t="str">
        <f>VLOOKUP(F4950,Countries!$A$1:$B$161,2,0)</f>
        <v>United Arab Emirates</v>
      </c>
    </row>
    <row r="4951" spans="1:8" x14ac:dyDescent="0.3">
      <c r="A4951" s="3">
        <v>46243.845682870371</v>
      </c>
      <c r="B4951" s="1">
        <v>5.26</v>
      </c>
      <c r="C4951" s="1">
        <v>4.55</v>
      </c>
      <c r="D4951" s="1">
        <v>0.49</v>
      </c>
      <c r="E4951" s="1" t="s">
        <v>143</v>
      </c>
      <c r="F4951" s="1" t="s">
        <v>143</v>
      </c>
      <c r="G4951" s="1" t="s">
        <v>143</v>
      </c>
      <c r="H4951" s="1" t="str">
        <f>VLOOKUP(F4951,Countries!$A$1:$B$161,2,0)</f>
        <v>United Arab Emirates</v>
      </c>
    </row>
    <row r="4952" spans="1:8" x14ac:dyDescent="0.3">
      <c r="A4952" s="3">
        <v>46243.845532407409</v>
      </c>
      <c r="B4952" s="1">
        <v>6.37</v>
      </c>
      <c r="C4952" s="1">
        <v>5.51</v>
      </c>
      <c r="D4952" s="1">
        <v>0.54</v>
      </c>
      <c r="E4952" s="1" t="s">
        <v>113</v>
      </c>
      <c r="F4952" s="1" t="s">
        <v>113</v>
      </c>
      <c r="G4952" s="1" t="s">
        <v>113</v>
      </c>
      <c r="H4952" s="1" t="str">
        <f>VLOOKUP(F4952,Countries!$A$1:$B$161,2,0)</f>
        <v>United States of America</v>
      </c>
    </row>
    <row r="4953" spans="1:8" x14ac:dyDescent="0.3">
      <c r="A4953" s="3">
        <v>46243.843807870369</v>
      </c>
      <c r="B4953" s="1">
        <v>14.77</v>
      </c>
      <c r="C4953" s="1">
        <v>12.78</v>
      </c>
      <c r="D4953" s="1">
        <v>0.93</v>
      </c>
      <c r="E4953" s="1" t="s">
        <v>113</v>
      </c>
      <c r="F4953" s="1" t="s">
        <v>113</v>
      </c>
      <c r="G4953" s="1" t="s">
        <v>113</v>
      </c>
      <c r="H4953" s="1" t="str">
        <f>VLOOKUP(F4953,Countries!$A$1:$B$161,2,0)</f>
        <v>United States of America</v>
      </c>
    </row>
    <row r="4954" spans="1:8" x14ac:dyDescent="0.3">
      <c r="A4954" s="3">
        <v>46243.843182870369</v>
      </c>
      <c r="B4954" s="1">
        <v>14.62</v>
      </c>
      <c r="C4954" s="1">
        <v>12.65</v>
      </c>
      <c r="D4954" s="1">
        <v>0.91</v>
      </c>
      <c r="E4954" s="1" t="s">
        <v>132</v>
      </c>
      <c r="F4954" s="1" t="s">
        <v>132</v>
      </c>
      <c r="G4954" s="1" t="s">
        <v>132</v>
      </c>
      <c r="H4954" s="1" t="str">
        <f>VLOOKUP(F4954,Countries!$A$1:$B$161,2,0)</f>
        <v>Canada</v>
      </c>
    </row>
    <row r="4955" spans="1:8" x14ac:dyDescent="0.3">
      <c r="A4955" s="3">
        <v>46243.842870370368</v>
      </c>
      <c r="B4955" s="1">
        <v>10.52</v>
      </c>
      <c r="C4955" s="1">
        <v>9.1</v>
      </c>
      <c r="D4955" s="1">
        <v>0.73</v>
      </c>
      <c r="E4955" s="1" t="s">
        <v>143</v>
      </c>
      <c r="F4955" s="1" t="s">
        <v>143</v>
      </c>
      <c r="G4955" s="1" t="s">
        <v>143</v>
      </c>
      <c r="H4955" s="1" t="str">
        <f>VLOOKUP(F4955,Countries!$A$1:$B$161,2,0)</f>
        <v>United Arab Emirates</v>
      </c>
    </row>
    <row r="4956" spans="1:8" x14ac:dyDescent="0.3">
      <c r="A4956" s="3">
        <v>46243.842083333337</v>
      </c>
      <c r="B4956" s="1">
        <v>10.52</v>
      </c>
      <c r="C4956" s="1">
        <v>9.1</v>
      </c>
      <c r="D4956" s="1">
        <v>0.73</v>
      </c>
      <c r="E4956" s="1" t="s">
        <v>143</v>
      </c>
      <c r="F4956" s="1" t="s">
        <v>143</v>
      </c>
      <c r="G4956" s="1" t="s">
        <v>143</v>
      </c>
      <c r="H4956" s="1" t="str">
        <f>VLOOKUP(F4956,Countries!$A$1:$B$161,2,0)</f>
        <v>United Arab Emirates</v>
      </c>
    </row>
    <row r="4957" spans="1:8" x14ac:dyDescent="0.3">
      <c r="A4957" s="3">
        <v>46243.841122685182</v>
      </c>
      <c r="B4957" s="1">
        <v>10.51</v>
      </c>
      <c r="C4957" s="1">
        <v>9.09</v>
      </c>
      <c r="D4957" s="1">
        <v>0.73</v>
      </c>
      <c r="E4957" s="1" t="s">
        <v>143</v>
      </c>
      <c r="F4957" s="1" t="s">
        <v>143</v>
      </c>
      <c r="G4957" s="1" t="s">
        <v>143</v>
      </c>
      <c r="H4957" s="1" t="str">
        <f>VLOOKUP(F4957,Countries!$A$1:$B$161,2,0)</f>
        <v>United Arab Emirates</v>
      </c>
    </row>
    <row r="4958" spans="1:8" x14ac:dyDescent="0.3">
      <c r="A4958" s="3">
        <v>46243.840601851851</v>
      </c>
      <c r="B4958" s="1">
        <v>16.73</v>
      </c>
      <c r="C4958" s="1">
        <v>14.47</v>
      </c>
      <c r="D4958" s="1">
        <v>1.01</v>
      </c>
      <c r="E4958" s="1" t="s">
        <v>165</v>
      </c>
      <c r="F4958" s="1" t="s">
        <v>165</v>
      </c>
      <c r="G4958" s="1" t="s">
        <v>165</v>
      </c>
      <c r="H4958" s="1" t="str">
        <f>VLOOKUP(F4958,Countries!$A$1:$B$161,2,0)</f>
        <v>Israel</v>
      </c>
    </row>
    <row r="4959" spans="1:8" x14ac:dyDescent="0.3">
      <c r="A4959" s="3">
        <v>46243.840532407397</v>
      </c>
      <c r="B4959" s="1">
        <v>10.52</v>
      </c>
      <c r="C4959" s="1">
        <v>9.1</v>
      </c>
      <c r="D4959" s="1">
        <v>0.73</v>
      </c>
      <c r="E4959" s="1" t="s">
        <v>143</v>
      </c>
      <c r="F4959" s="1" t="s">
        <v>143</v>
      </c>
      <c r="G4959" s="1" t="s">
        <v>143</v>
      </c>
      <c r="H4959" s="1" t="str">
        <f>VLOOKUP(F4959,Countries!$A$1:$B$161,2,0)</f>
        <v>United Arab Emirates</v>
      </c>
    </row>
    <row r="4960" spans="1:8" x14ac:dyDescent="0.3">
      <c r="A4960" s="3">
        <v>46243.838703703703</v>
      </c>
      <c r="B4960" s="1">
        <v>5.26</v>
      </c>
      <c r="C4960" s="1">
        <v>4.55</v>
      </c>
      <c r="D4960" s="1">
        <v>0.49</v>
      </c>
      <c r="E4960" s="1" t="s">
        <v>143</v>
      </c>
      <c r="F4960" s="1" t="s">
        <v>143</v>
      </c>
      <c r="G4960" s="1" t="s">
        <v>143</v>
      </c>
      <c r="H4960" s="1" t="str">
        <f>VLOOKUP(F4960,Countries!$A$1:$B$161,2,0)</f>
        <v>United Arab Emirates</v>
      </c>
    </row>
    <row r="4961" spans="1:8" x14ac:dyDescent="0.3">
      <c r="A4961" s="3">
        <v>46243.838240740741</v>
      </c>
      <c r="B4961" s="1">
        <v>3.93</v>
      </c>
      <c r="C4961" s="1">
        <v>3.4</v>
      </c>
      <c r="D4961" s="1">
        <v>0.43</v>
      </c>
      <c r="E4961" s="1" t="s">
        <v>143</v>
      </c>
      <c r="F4961" s="1" t="s">
        <v>143</v>
      </c>
      <c r="G4961" s="1" t="s">
        <v>143</v>
      </c>
      <c r="H4961" s="1" t="str">
        <f>VLOOKUP(F4961,Countries!$A$1:$B$161,2,0)</f>
        <v>United Arab Emirates</v>
      </c>
    </row>
    <row r="4962" spans="1:8" x14ac:dyDescent="0.3">
      <c r="A4962" s="3">
        <v>46243.837372685193</v>
      </c>
      <c r="B4962" s="1">
        <v>16.739999999999998</v>
      </c>
      <c r="C4962" s="1">
        <v>14.48</v>
      </c>
      <c r="D4962" s="1">
        <v>1.01</v>
      </c>
      <c r="E4962" s="1" t="s">
        <v>165</v>
      </c>
      <c r="F4962" s="1" t="s">
        <v>165</v>
      </c>
      <c r="G4962" s="1" t="s">
        <v>165</v>
      </c>
      <c r="H4962" s="1" t="str">
        <f>VLOOKUP(F4962,Countries!$A$1:$B$161,2,0)</f>
        <v>Israel</v>
      </c>
    </row>
    <row r="4963" spans="1:8" x14ac:dyDescent="0.3">
      <c r="A4963" s="3">
        <v>46243.837013888893</v>
      </c>
      <c r="B4963" s="1">
        <v>13.89</v>
      </c>
      <c r="C4963" s="1">
        <v>12.02</v>
      </c>
      <c r="D4963" s="1">
        <v>0.88</v>
      </c>
      <c r="E4963" s="1" t="s">
        <v>135</v>
      </c>
      <c r="F4963" s="1" t="s">
        <v>135</v>
      </c>
      <c r="G4963" s="1" t="s">
        <v>135</v>
      </c>
      <c r="H4963" s="1" t="str">
        <f>VLOOKUP(F4963,Countries!$A$1:$B$161,2,0)</f>
        <v>Kuwait</v>
      </c>
    </row>
    <row r="4964" spans="1:8" x14ac:dyDescent="0.3">
      <c r="A4964" s="3">
        <v>46243.832060185188</v>
      </c>
      <c r="B4964" s="1">
        <v>14.62</v>
      </c>
      <c r="C4964" s="1">
        <v>12.65</v>
      </c>
      <c r="D4964" s="1">
        <v>0.91</v>
      </c>
      <c r="E4964" s="1" t="s">
        <v>132</v>
      </c>
      <c r="F4964" s="1" t="s">
        <v>132</v>
      </c>
      <c r="G4964" s="1" t="s">
        <v>132</v>
      </c>
      <c r="H4964" s="1" t="str">
        <f>VLOOKUP(F4964,Countries!$A$1:$B$161,2,0)</f>
        <v>Canada</v>
      </c>
    </row>
    <row r="4965" spans="1:8" x14ac:dyDescent="0.3">
      <c r="A4965" s="3">
        <v>46243.828715277778</v>
      </c>
      <c r="B4965" s="1">
        <v>7.21</v>
      </c>
      <c r="C4965" s="1">
        <v>6.24</v>
      </c>
      <c r="D4965" s="1">
        <v>0.56999999999999995</v>
      </c>
      <c r="E4965" s="1" t="s">
        <v>165</v>
      </c>
      <c r="F4965" s="1" t="s">
        <v>165</v>
      </c>
      <c r="G4965" s="1" t="s">
        <v>165</v>
      </c>
      <c r="H4965" s="1" t="str">
        <f>VLOOKUP(F4965,Countries!$A$1:$B$161,2,0)</f>
        <v>Israel</v>
      </c>
    </row>
    <row r="4966" spans="1:8" x14ac:dyDescent="0.3">
      <c r="A4966" s="3">
        <v>46243.828379629631</v>
      </c>
      <c r="B4966" s="1">
        <v>2.21</v>
      </c>
      <c r="C4966" s="1">
        <v>1.91</v>
      </c>
      <c r="D4966" s="1">
        <v>0.35</v>
      </c>
      <c r="E4966" s="1" t="s">
        <v>121</v>
      </c>
      <c r="F4966" s="1" t="s">
        <v>121</v>
      </c>
      <c r="G4966" s="1" t="s">
        <v>121</v>
      </c>
      <c r="H4966" s="1" t="str">
        <f>VLOOKUP(F4966,Countries!$A$1:$B$161,2,0)</f>
        <v>Japan</v>
      </c>
    </row>
    <row r="4967" spans="1:8" x14ac:dyDescent="0.3">
      <c r="A4967" s="3">
        <v>46243.828240740739</v>
      </c>
      <c r="B4967" s="1">
        <v>3.69</v>
      </c>
      <c r="C4967" s="1">
        <v>3.19</v>
      </c>
      <c r="D4967" s="1">
        <v>0.36</v>
      </c>
      <c r="E4967" s="1" t="s">
        <v>154</v>
      </c>
      <c r="F4967" s="1" t="s">
        <v>154</v>
      </c>
      <c r="G4967" s="1" t="s">
        <v>154</v>
      </c>
      <c r="H4967" s="1" t="str">
        <f>VLOOKUP(F4967,Countries!$A$1:$B$161,2,0)</f>
        <v>Belgium</v>
      </c>
    </row>
    <row r="4968" spans="1:8" x14ac:dyDescent="0.3">
      <c r="A4968" s="3">
        <v>46243.825856481482</v>
      </c>
      <c r="B4968" s="1">
        <v>12.03</v>
      </c>
      <c r="C4968" s="1">
        <v>10.41</v>
      </c>
      <c r="D4968" s="1">
        <v>0.8</v>
      </c>
      <c r="E4968" s="1" t="s">
        <v>165</v>
      </c>
      <c r="F4968" s="1" t="s">
        <v>165</v>
      </c>
      <c r="G4968" s="1" t="s">
        <v>165</v>
      </c>
      <c r="H4968" s="1" t="str">
        <f>VLOOKUP(F4968,Countries!$A$1:$B$161,2,0)</f>
        <v>Israel</v>
      </c>
    </row>
    <row r="4969" spans="1:8" x14ac:dyDescent="0.3">
      <c r="A4969" s="3">
        <v>46243.823194444441</v>
      </c>
      <c r="B4969" s="1">
        <v>2.99</v>
      </c>
      <c r="C4969" s="1">
        <v>2.59</v>
      </c>
      <c r="D4969" s="1">
        <v>0.38</v>
      </c>
      <c r="E4969" s="1" t="s">
        <v>142</v>
      </c>
      <c r="F4969" s="1" t="s">
        <v>142</v>
      </c>
      <c r="G4969" s="1" t="s">
        <v>142</v>
      </c>
      <c r="H4969" s="1" t="str">
        <f>VLOOKUP(F4969,Countries!$A$1:$B$161,2,0)</f>
        <v>India</v>
      </c>
    </row>
    <row r="4970" spans="1:8" x14ac:dyDescent="0.3">
      <c r="A4970" s="3">
        <v>46243.817141203697</v>
      </c>
      <c r="B4970" s="1">
        <v>14.62</v>
      </c>
      <c r="C4970" s="1">
        <v>12.65</v>
      </c>
      <c r="D4970" s="1">
        <v>0.91</v>
      </c>
      <c r="E4970" s="1" t="s">
        <v>132</v>
      </c>
      <c r="F4970" s="1" t="s">
        <v>132</v>
      </c>
      <c r="G4970" s="1" t="s">
        <v>132</v>
      </c>
      <c r="H4970" s="1" t="str">
        <f>VLOOKUP(F4970,Countries!$A$1:$B$161,2,0)</f>
        <v>Canada</v>
      </c>
    </row>
    <row r="4971" spans="1:8" x14ac:dyDescent="0.3">
      <c r="A4971" s="3">
        <v>46243.814259259263</v>
      </c>
      <c r="B4971" s="1">
        <v>2.11</v>
      </c>
      <c r="C4971" s="1">
        <v>1.83</v>
      </c>
      <c r="D4971" s="1">
        <v>0.35</v>
      </c>
      <c r="E4971" s="1" t="s">
        <v>113</v>
      </c>
      <c r="F4971" s="1" t="s">
        <v>113</v>
      </c>
      <c r="G4971" s="1" t="s">
        <v>113</v>
      </c>
      <c r="H4971" s="1" t="str">
        <f>VLOOKUP(F4971,Countries!$A$1:$B$161,2,0)</f>
        <v>United States of America</v>
      </c>
    </row>
    <row r="4972" spans="1:8" x14ac:dyDescent="0.3">
      <c r="A4972" s="3">
        <v>46243.813888888893</v>
      </c>
      <c r="B4972" s="1">
        <v>3.99</v>
      </c>
      <c r="C4972" s="1">
        <v>3.45</v>
      </c>
      <c r="D4972" s="1">
        <v>0.43</v>
      </c>
      <c r="E4972" s="1" t="s">
        <v>121</v>
      </c>
      <c r="F4972" s="1" t="s">
        <v>121</v>
      </c>
      <c r="G4972" s="1" t="s">
        <v>121</v>
      </c>
      <c r="H4972" s="1" t="str">
        <f>VLOOKUP(F4972,Countries!$A$1:$B$161,2,0)</f>
        <v>Japan</v>
      </c>
    </row>
    <row r="4973" spans="1:8" x14ac:dyDescent="0.3">
      <c r="A4973" s="3">
        <v>46243.812650462962</v>
      </c>
      <c r="B4973" s="1">
        <v>10.85</v>
      </c>
      <c r="C4973" s="1">
        <v>9.39</v>
      </c>
      <c r="D4973" s="1">
        <v>0.75</v>
      </c>
      <c r="E4973" s="1" t="s">
        <v>115</v>
      </c>
      <c r="F4973" s="1" t="s">
        <v>115</v>
      </c>
      <c r="G4973" s="1" t="s">
        <v>115</v>
      </c>
      <c r="H4973" s="1" t="str">
        <f>VLOOKUP(F4973,Countries!$A$1:$B$161,2,0)</f>
        <v>Switzerland</v>
      </c>
    </row>
    <row r="4974" spans="1:8" x14ac:dyDescent="0.3">
      <c r="A4974" s="3">
        <v>46243.806018518517</v>
      </c>
      <c r="B4974" s="1">
        <v>2.11</v>
      </c>
      <c r="C4974" s="1">
        <v>1.83</v>
      </c>
      <c r="D4974" s="1">
        <v>0.35</v>
      </c>
      <c r="E4974" s="1" t="s">
        <v>113</v>
      </c>
      <c r="F4974" s="1" t="s">
        <v>113</v>
      </c>
      <c r="G4974" s="1" t="s">
        <v>113</v>
      </c>
      <c r="H4974" s="1" t="str">
        <f>VLOOKUP(F4974,Countries!$A$1:$B$161,2,0)</f>
        <v>United States of America</v>
      </c>
    </row>
    <row r="4975" spans="1:8" x14ac:dyDescent="0.3">
      <c r="A4975" s="3">
        <v>46243.791145833333</v>
      </c>
      <c r="B4975" s="1">
        <v>7.58</v>
      </c>
      <c r="C4975" s="1">
        <v>6.56</v>
      </c>
      <c r="D4975" s="1">
        <v>0.48</v>
      </c>
      <c r="E4975" s="1" t="s">
        <v>116</v>
      </c>
      <c r="F4975" s="1" t="s">
        <v>116</v>
      </c>
      <c r="G4975" s="1" t="s">
        <v>116</v>
      </c>
      <c r="H4975" s="1" t="str">
        <f>VLOOKUP(F4975,Countries!$A$1:$B$161,2,0)</f>
        <v>Spain</v>
      </c>
    </row>
    <row r="4976" spans="1:8" x14ac:dyDescent="0.3">
      <c r="A4976" s="3">
        <v>46243.787754629629</v>
      </c>
      <c r="B4976" s="1">
        <v>58.41</v>
      </c>
      <c r="C4976" s="1">
        <v>50.55</v>
      </c>
      <c r="D4976" s="1">
        <v>2.9</v>
      </c>
      <c r="E4976" s="1" t="s">
        <v>132</v>
      </c>
      <c r="F4976" s="1" t="s">
        <v>132</v>
      </c>
      <c r="G4976" s="1" t="s">
        <v>132</v>
      </c>
      <c r="H4976" s="1" t="str">
        <f>VLOOKUP(F4976,Countries!$A$1:$B$161,2,0)</f>
        <v>Canada</v>
      </c>
    </row>
    <row r="4977" spans="1:8" x14ac:dyDescent="0.3">
      <c r="A4977" s="3">
        <v>46243.778738425928</v>
      </c>
      <c r="B4977" s="1">
        <v>14.62</v>
      </c>
      <c r="C4977" s="1">
        <v>12.65</v>
      </c>
      <c r="D4977" s="1">
        <v>0.91</v>
      </c>
      <c r="E4977" s="1" t="s">
        <v>132</v>
      </c>
      <c r="F4977" s="1" t="s">
        <v>132</v>
      </c>
      <c r="G4977" s="1" t="s">
        <v>132</v>
      </c>
      <c r="H4977" s="1" t="str">
        <f>VLOOKUP(F4977,Countries!$A$1:$B$161,2,0)</f>
        <v>Canada</v>
      </c>
    </row>
    <row r="4978" spans="1:8" x14ac:dyDescent="0.3">
      <c r="A4978" s="3">
        <v>46243.774212962962</v>
      </c>
      <c r="B4978" s="1">
        <v>16.34</v>
      </c>
      <c r="C4978" s="1">
        <v>14.14</v>
      </c>
      <c r="D4978" s="1">
        <v>0.99</v>
      </c>
      <c r="E4978" s="1" t="s">
        <v>160</v>
      </c>
      <c r="F4978" s="1" t="s">
        <v>160</v>
      </c>
      <c r="G4978" s="1" t="s">
        <v>160</v>
      </c>
      <c r="H4978" s="1" t="str">
        <f>VLOOKUP(F4978,Countries!$A$1:$B$161,2,0)</f>
        <v>New Zealand</v>
      </c>
    </row>
    <row r="4979" spans="1:8" x14ac:dyDescent="0.3">
      <c r="A4979" s="3">
        <v>46243.76972222222</v>
      </c>
      <c r="B4979" s="1">
        <v>3.39</v>
      </c>
      <c r="C4979" s="1">
        <v>2.93</v>
      </c>
      <c r="D4979" s="1">
        <v>0.41</v>
      </c>
      <c r="E4979" s="1" t="s">
        <v>114</v>
      </c>
      <c r="F4979" s="1" t="s">
        <v>114</v>
      </c>
      <c r="G4979" s="1" t="s">
        <v>114</v>
      </c>
      <c r="H4979" s="1" t="str">
        <f>VLOOKUP(F4979,Countries!$A$1:$B$161,2,0)</f>
        <v>Philippines</v>
      </c>
    </row>
    <row r="4980" spans="1:8" x14ac:dyDescent="0.3">
      <c r="A4980" s="3">
        <v>46243.766134259262</v>
      </c>
      <c r="B4980" s="1">
        <v>14.62</v>
      </c>
      <c r="C4980" s="1">
        <v>12.65</v>
      </c>
      <c r="D4980" s="1">
        <v>0.91</v>
      </c>
      <c r="E4980" s="1" t="s">
        <v>132</v>
      </c>
      <c r="F4980" s="1" t="s">
        <v>132</v>
      </c>
      <c r="G4980" s="1" t="s">
        <v>132</v>
      </c>
      <c r="H4980" s="1" t="str">
        <f>VLOOKUP(F4980,Countries!$A$1:$B$161,2,0)</f>
        <v>Canada</v>
      </c>
    </row>
    <row r="4981" spans="1:8" x14ac:dyDescent="0.3">
      <c r="A4981" s="3">
        <v>46243.766006944446</v>
      </c>
      <c r="B4981" s="1">
        <v>2.11</v>
      </c>
      <c r="C4981" s="1">
        <v>1.83</v>
      </c>
      <c r="D4981" s="1">
        <v>0.35</v>
      </c>
      <c r="E4981" s="1" t="s">
        <v>113</v>
      </c>
      <c r="F4981" s="1" t="s">
        <v>113</v>
      </c>
      <c r="G4981" s="1" t="s">
        <v>113</v>
      </c>
      <c r="H4981" s="1" t="str">
        <f>VLOOKUP(F4981,Countries!$A$1:$B$161,2,0)</f>
        <v>United States of America</v>
      </c>
    </row>
    <row r="4982" spans="1:8" x14ac:dyDescent="0.3">
      <c r="A4982" s="3">
        <v>46243.765486111108</v>
      </c>
      <c r="B4982" s="1">
        <v>3.39</v>
      </c>
      <c r="C4982" s="1">
        <v>2.93</v>
      </c>
      <c r="D4982" s="1">
        <v>0.41</v>
      </c>
      <c r="E4982" s="1" t="s">
        <v>114</v>
      </c>
      <c r="F4982" s="1" t="s">
        <v>114</v>
      </c>
      <c r="G4982" s="1" t="s">
        <v>114</v>
      </c>
      <c r="H4982" s="1" t="str">
        <f>VLOOKUP(F4982,Countries!$A$1:$B$161,2,0)</f>
        <v>Philippines</v>
      </c>
    </row>
    <row r="4983" spans="1:8" x14ac:dyDescent="0.3">
      <c r="A4983" s="3">
        <v>46243.761307870373</v>
      </c>
      <c r="B4983" s="1">
        <v>16.34</v>
      </c>
      <c r="C4983" s="1">
        <v>14.14</v>
      </c>
      <c r="D4983" s="1">
        <v>0.99</v>
      </c>
      <c r="E4983" s="1" t="s">
        <v>160</v>
      </c>
      <c r="F4983" s="1" t="s">
        <v>160</v>
      </c>
      <c r="G4983" s="1" t="s">
        <v>160</v>
      </c>
      <c r="H4983" s="1" t="str">
        <f>VLOOKUP(F4983,Countries!$A$1:$B$161,2,0)</f>
        <v>New Zealand</v>
      </c>
    </row>
    <row r="4984" spans="1:8" x14ac:dyDescent="0.3">
      <c r="A4984" s="3">
        <v>46243.754259259258</v>
      </c>
      <c r="B4984" s="1">
        <v>14.62</v>
      </c>
      <c r="C4984" s="1">
        <v>12.65</v>
      </c>
      <c r="D4984" s="1">
        <v>0.91</v>
      </c>
      <c r="E4984" s="1" t="s">
        <v>132</v>
      </c>
      <c r="F4984" s="1" t="s">
        <v>132</v>
      </c>
      <c r="G4984" s="1" t="s">
        <v>132</v>
      </c>
      <c r="H4984" s="1" t="str">
        <f>VLOOKUP(F4984,Countries!$A$1:$B$161,2,0)</f>
        <v>Canada</v>
      </c>
    </row>
    <row r="4985" spans="1:8" x14ac:dyDescent="0.3">
      <c r="A4985" s="3">
        <v>46243.726770833331</v>
      </c>
      <c r="B4985" s="1">
        <v>34.75</v>
      </c>
      <c r="C4985" s="1">
        <v>30.07</v>
      </c>
      <c r="D4985" s="1">
        <v>1.3</v>
      </c>
      <c r="E4985" s="1" t="s">
        <v>123</v>
      </c>
      <c r="F4985" s="1" t="s">
        <v>123</v>
      </c>
      <c r="G4985" s="1" t="s">
        <v>123</v>
      </c>
      <c r="H4985" s="1" t="str">
        <f>VLOOKUP(F4985,Countries!$A$1:$B$161,2,0)</f>
        <v>France</v>
      </c>
    </row>
    <row r="4986" spans="1:8" x14ac:dyDescent="0.3">
      <c r="A4986" s="3">
        <v>46243.725729166668</v>
      </c>
      <c r="B4986" s="1">
        <v>19.98</v>
      </c>
      <c r="C4986" s="1">
        <v>17.29</v>
      </c>
      <c r="D4986" s="1">
        <v>0.86</v>
      </c>
      <c r="E4986" s="1" t="s">
        <v>123</v>
      </c>
      <c r="F4986" s="1" t="s">
        <v>123</v>
      </c>
      <c r="G4986" s="1" t="s">
        <v>123</v>
      </c>
      <c r="H4986" s="1" t="str">
        <f>VLOOKUP(F4986,Countries!$A$1:$B$161,2,0)</f>
        <v>France</v>
      </c>
    </row>
    <row r="4987" spans="1:8" x14ac:dyDescent="0.3">
      <c r="A4987" s="3">
        <v>46243.721203703702</v>
      </c>
      <c r="B4987" s="1">
        <v>4.24</v>
      </c>
      <c r="C4987" s="1">
        <v>3.67</v>
      </c>
      <c r="D4987" s="1">
        <v>0.44</v>
      </c>
      <c r="E4987" s="1" t="s">
        <v>113</v>
      </c>
      <c r="F4987" s="1" t="s">
        <v>113</v>
      </c>
      <c r="G4987" s="1" t="s">
        <v>113</v>
      </c>
      <c r="H4987" s="1" t="str">
        <f>VLOOKUP(F4987,Countries!$A$1:$B$161,2,0)</f>
        <v>United States of America</v>
      </c>
    </row>
    <row r="4988" spans="1:8" x14ac:dyDescent="0.3">
      <c r="A4988" s="3">
        <v>46243.711562500001</v>
      </c>
      <c r="B4988" s="1">
        <v>16.350000000000001</v>
      </c>
      <c r="C4988" s="1">
        <v>14.15</v>
      </c>
      <c r="D4988" s="1">
        <v>0.99</v>
      </c>
      <c r="E4988" s="1" t="s">
        <v>160</v>
      </c>
      <c r="F4988" s="1" t="s">
        <v>160</v>
      </c>
      <c r="G4988" s="1" t="s">
        <v>160</v>
      </c>
      <c r="H4988" s="1" t="str">
        <f>VLOOKUP(F4988,Countries!$A$1:$B$161,2,0)</f>
        <v>New Zealand</v>
      </c>
    </row>
    <row r="4989" spans="1:8" x14ac:dyDescent="0.3">
      <c r="A4989" s="3">
        <v>46243.710358796299</v>
      </c>
      <c r="B4989" s="1">
        <v>16.34</v>
      </c>
      <c r="C4989" s="1">
        <v>14.14</v>
      </c>
      <c r="D4989" s="1">
        <v>0.99</v>
      </c>
      <c r="E4989" s="1" t="s">
        <v>160</v>
      </c>
      <c r="F4989" s="1" t="s">
        <v>160</v>
      </c>
      <c r="G4989" s="1" t="s">
        <v>160</v>
      </c>
      <c r="H4989" s="1" t="str">
        <f>VLOOKUP(F4989,Countries!$A$1:$B$161,2,0)</f>
        <v>New Zealand</v>
      </c>
    </row>
    <row r="4990" spans="1:8" x14ac:dyDescent="0.3">
      <c r="A4990" s="3">
        <v>46243.709687499999</v>
      </c>
      <c r="B4990" s="1">
        <v>6.37</v>
      </c>
      <c r="C4990" s="1">
        <v>5.51</v>
      </c>
      <c r="D4990" s="1">
        <v>0.54</v>
      </c>
      <c r="E4990" s="1" t="s">
        <v>113</v>
      </c>
      <c r="F4990" s="1" t="s">
        <v>113</v>
      </c>
      <c r="G4990" s="1" t="s">
        <v>113</v>
      </c>
      <c r="H4990" s="1" t="str">
        <f>VLOOKUP(F4990,Countries!$A$1:$B$161,2,0)</f>
        <v>United States of America</v>
      </c>
    </row>
    <row r="4991" spans="1:8" x14ac:dyDescent="0.3">
      <c r="A4991" s="3">
        <v>46243.704085648147</v>
      </c>
      <c r="B4991" s="1">
        <v>32.700000000000003</v>
      </c>
      <c r="C4991" s="1">
        <v>28.29</v>
      </c>
      <c r="D4991" s="1">
        <v>1.74</v>
      </c>
      <c r="E4991" s="1" t="s">
        <v>160</v>
      </c>
      <c r="F4991" s="1" t="s">
        <v>160</v>
      </c>
      <c r="G4991" s="1" t="s">
        <v>160</v>
      </c>
      <c r="H4991" s="1" t="str">
        <f>VLOOKUP(F4991,Countries!$A$1:$B$161,2,0)</f>
        <v>New Zealand</v>
      </c>
    </row>
    <row r="4992" spans="1:8" x14ac:dyDescent="0.3">
      <c r="A4992" s="3">
        <v>46243.702245370368</v>
      </c>
      <c r="B4992" s="1">
        <v>16.34</v>
      </c>
      <c r="C4992" s="1">
        <v>14.14</v>
      </c>
      <c r="D4992" s="1">
        <v>0.99</v>
      </c>
      <c r="E4992" s="1" t="s">
        <v>160</v>
      </c>
      <c r="F4992" s="1" t="s">
        <v>160</v>
      </c>
      <c r="G4992" s="1" t="s">
        <v>160</v>
      </c>
      <c r="H4992" s="1" t="str">
        <f>VLOOKUP(F4992,Countries!$A$1:$B$161,2,0)</f>
        <v>New Zealand</v>
      </c>
    </row>
    <row r="4993" spans="1:8" x14ac:dyDescent="0.3">
      <c r="A4993" s="3">
        <v>46243.701377314806</v>
      </c>
      <c r="B4993" s="1">
        <v>35.18</v>
      </c>
      <c r="C4993" s="1">
        <v>30.44</v>
      </c>
      <c r="D4993" s="1">
        <v>1.32</v>
      </c>
      <c r="E4993" s="1" t="s">
        <v>116</v>
      </c>
      <c r="F4993" s="1" t="s">
        <v>116</v>
      </c>
      <c r="G4993" s="1" t="s">
        <v>116</v>
      </c>
      <c r="H4993" s="1" t="str">
        <f>VLOOKUP(F4993,Countries!$A$1:$B$161,2,0)</f>
        <v>Spain</v>
      </c>
    </row>
    <row r="4994" spans="1:8" x14ac:dyDescent="0.3">
      <c r="A4994" s="3">
        <v>46243.701215277782</v>
      </c>
      <c r="B4994" s="1">
        <v>17.579999999999998</v>
      </c>
      <c r="C4994" s="1">
        <v>15.21</v>
      </c>
      <c r="D4994" s="1">
        <v>0.78</v>
      </c>
      <c r="E4994" s="1" t="s">
        <v>116</v>
      </c>
      <c r="F4994" s="1" t="s">
        <v>116</v>
      </c>
      <c r="G4994" s="1" t="s">
        <v>116</v>
      </c>
      <c r="H4994" s="1" t="str">
        <f>VLOOKUP(F4994,Countries!$A$1:$B$161,2,0)</f>
        <v>Spain</v>
      </c>
    </row>
    <row r="4995" spans="1:8" x14ac:dyDescent="0.3">
      <c r="A4995" s="3">
        <v>46243.699016203696</v>
      </c>
      <c r="B4995" s="1">
        <v>45.78</v>
      </c>
      <c r="C4995" s="1">
        <v>39.61</v>
      </c>
      <c r="D4995" s="1">
        <v>2.33</v>
      </c>
      <c r="E4995" s="1" t="s">
        <v>160</v>
      </c>
      <c r="F4995" s="1" t="s">
        <v>160</v>
      </c>
      <c r="G4995" s="1" t="s">
        <v>160</v>
      </c>
      <c r="H4995" s="1" t="str">
        <f>VLOOKUP(F4995,Countries!$A$1:$B$161,2,0)</f>
        <v>New Zealand</v>
      </c>
    </row>
    <row r="4996" spans="1:8" x14ac:dyDescent="0.3">
      <c r="A4996" s="3">
        <v>46243.69871527778</v>
      </c>
      <c r="B4996" s="1">
        <v>170.2</v>
      </c>
      <c r="C4996" s="1">
        <v>147.26</v>
      </c>
      <c r="D4996" s="1">
        <v>7.99</v>
      </c>
      <c r="E4996" s="1" t="s">
        <v>113</v>
      </c>
      <c r="F4996" s="1" t="s">
        <v>113</v>
      </c>
      <c r="G4996" s="1" t="s">
        <v>113</v>
      </c>
      <c r="H4996" s="1" t="str">
        <f>VLOOKUP(F4996,Countries!$A$1:$B$161,2,0)</f>
        <v>United States of America</v>
      </c>
    </row>
    <row r="4997" spans="1:8" x14ac:dyDescent="0.3">
      <c r="A4997" s="3">
        <v>46243.695381944453</v>
      </c>
      <c r="B4997" s="1">
        <v>20.239999999999998</v>
      </c>
      <c r="C4997" s="1">
        <v>17.510000000000002</v>
      </c>
      <c r="D4997" s="1">
        <v>0.86</v>
      </c>
      <c r="E4997" s="1" t="s">
        <v>116</v>
      </c>
      <c r="F4997" s="1" t="s">
        <v>116</v>
      </c>
      <c r="G4997" s="1" t="s">
        <v>116</v>
      </c>
      <c r="H4997" s="1" t="str">
        <f>VLOOKUP(F4997,Countries!$A$1:$B$161,2,0)</f>
        <v>Spain</v>
      </c>
    </row>
    <row r="4998" spans="1:8" x14ac:dyDescent="0.3">
      <c r="A4998" s="3">
        <v>46243.693645833337</v>
      </c>
      <c r="B4998" s="1">
        <v>29.43</v>
      </c>
      <c r="C4998" s="1">
        <v>25.46</v>
      </c>
      <c r="D4998" s="1">
        <v>1.59</v>
      </c>
      <c r="E4998" s="1" t="s">
        <v>160</v>
      </c>
      <c r="F4998" s="1" t="s">
        <v>160</v>
      </c>
      <c r="G4998" s="1" t="s">
        <v>160</v>
      </c>
      <c r="H4998" s="1" t="str">
        <f>VLOOKUP(F4998,Countries!$A$1:$B$161,2,0)</f>
        <v>New Zealand</v>
      </c>
    </row>
    <row r="4999" spans="1:8" x14ac:dyDescent="0.3">
      <c r="A4999" s="3">
        <v>46243.693460648137</v>
      </c>
      <c r="B4999" s="1">
        <v>14.78</v>
      </c>
      <c r="C4999" s="1">
        <v>12.79</v>
      </c>
      <c r="D4999" s="1">
        <v>0.93</v>
      </c>
      <c r="E4999" s="1" t="s">
        <v>113</v>
      </c>
      <c r="F4999" s="1" t="s">
        <v>113</v>
      </c>
      <c r="G4999" s="1" t="s">
        <v>113</v>
      </c>
      <c r="H4999" s="1" t="str">
        <f>VLOOKUP(F4999,Countries!$A$1:$B$161,2,0)</f>
        <v>United States of America</v>
      </c>
    </row>
    <row r="5000" spans="1:8" x14ac:dyDescent="0.3">
      <c r="A5000" s="3">
        <v>46243.692708333343</v>
      </c>
      <c r="B5000" s="1">
        <v>12.64</v>
      </c>
      <c r="C5000" s="1">
        <v>10.94</v>
      </c>
      <c r="D5000" s="1">
        <v>0.63</v>
      </c>
      <c r="E5000" s="1" t="s">
        <v>116</v>
      </c>
      <c r="F5000" s="1" t="s">
        <v>116</v>
      </c>
      <c r="G5000" s="1" t="s">
        <v>116</v>
      </c>
      <c r="H5000" s="1" t="str">
        <f>VLOOKUP(F5000,Countries!$A$1:$B$161,2,0)</f>
        <v>Spain</v>
      </c>
    </row>
    <row r="5001" spans="1:8" x14ac:dyDescent="0.3">
      <c r="A5001" s="3">
        <v>46243.687858796293</v>
      </c>
      <c r="B5001" s="1">
        <v>29.57</v>
      </c>
      <c r="C5001" s="1">
        <v>25.58</v>
      </c>
      <c r="D5001" s="1">
        <v>1.59</v>
      </c>
      <c r="E5001" s="1" t="s">
        <v>113</v>
      </c>
      <c r="F5001" s="1" t="s">
        <v>113</v>
      </c>
      <c r="G5001" s="1" t="s">
        <v>113</v>
      </c>
      <c r="H5001" s="1" t="str">
        <f>VLOOKUP(F5001,Countries!$A$1:$B$161,2,0)</f>
        <v>United States of America</v>
      </c>
    </row>
    <row r="5002" spans="1:8" x14ac:dyDescent="0.3">
      <c r="A5002" s="3">
        <v>46243.684328703697</v>
      </c>
      <c r="B5002" s="1">
        <v>6.37</v>
      </c>
      <c r="C5002" s="1">
        <v>5.51</v>
      </c>
      <c r="D5002" s="1">
        <v>0.54</v>
      </c>
      <c r="E5002" s="1" t="s">
        <v>113</v>
      </c>
      <c r="F5002" s="1" t="s">
        <v>113</v>
      </c>
      <c r="G5002" s="1" t="s">
        <v>113</v>
      </c>
      <c r="H5002" s="1" t="str">
        <f>VLOOKUP(F5002,Countries!$A$1:$B$161,2,0)</f>
        <v>United States of America</v>
      </c>
    </row>
    <row r="5003" spans="1:8" x14ac:dyDescent="0.3">
      <c r="A5003" s="3">
        <v>46243.679629629631</v>
      </c>
      <c r="B5003" s="1">
        <v>6.37</v>
      </c>
      <c r="C5003" s="1">
        <v>5.51</v>
      </c>
      <c r="D5003" s="1">
        <v>0.54</v>
      </c>
      <c r="E5003" s="1" t="s">
        <v>113</v>
      </c>
      <c r="F5003" s="1" t="s">
        <v>113</v>
      </c>
      <c r="G5003" s="1" t="s">
        <v>113</v>
      </c>
      <c r="H5003" s="1" t="str">
        <f>VLOOKUP(F5003,Countries!$A$1:$B$161,2,0)</f>
        <v>United States of America</v>
      </c>
    </row>
    <row r="5004" spans="1:8" x14ac:dyDescent="0.3">
      <c r="A5004" s="3">
        <v>46243.674351851849</v>
      </c>
      <c r="B5004" s="1">
        <v>6.37</v>
      </c>
      <c r="C5004" s="1">
        <v>5.51</v>
      </c>
      <c r="D5004" s="1">
        <v>0.54</v>
      </c>
      <c r="E5004" s="1" t="s">
        <v>113</v>
      </c>
      <c r="F5004" s="1" t="s">
        <v>113</v>
      </c>
      <c r="G5004" s="1" t="s">
        <v>113</v>
      </c>
      <c r="H5004" s="1" t="str">
        <f>VLOOKUP(F5004,Countries!$A$1:$B$161,2,0)</f>
        <v>United States of America</v>
      </c>
    </row>
    <row r="5005" spans="1:8" x14ac:dyDescent="0.3">
      <c r="A5005" s="3">
        <v>46243.673703703702</v>
      </c>
      <c r="B5005" s="1">
        <v>3.73</v>
      </c>
      <c r="C5005" s="1">
        <v>3.23</v>
      </c>
      <c r="D5005" s="1">
        <v>0.39</v>
      </c>
      <c r="E5005" s="1" t="s">
        <v>119</v>
      </c>
      <c r="F5005" s="1" t="s">
        <v>119</v>
      </c>
      <c r="G5005" s="1" t="s">
        <v>119</v>
      </c>
      <c r="H5005" s="1" t="str">
        <f>VLOOKUP(F5005,Countries!$A$1:$B$161,2,0)</f>
        <v>Great Britain (United Kingdom)</v>
      </c>
    </row>
    <row r="5006" spans="1:8" x14ac:dyDescent="0.3">
      <c r="A5006" s="3">
        <v>46243.670104166667</v>
      </c>
      <c r="B5006" s="1">
        <v>59.03</v>
      </c>
      <c r="C5006" s="1">
        <v>51.07</v>
      </c>
      <c r="D5006" s="1">
        <v>2.93</v>
      </c>
      <c r="E5006" s="1" t="s">
        <v>113</v>
      </c>
      <c r="F5006" s="1" t="s">
        <v>113</v>
      </c>
      <c r="G5006" s="1" t="s">
        <v>113</v>
      </c>
      <c r="H5006" s="1" t="str">
        <f>VLOOKUP(F5006,Countries!$A$1:$B$161,2,0)</f>
        <v>United States of America</v>
      </c>
    </row>
    <row r="5007" spans="1:8" x14ac:dyDescent="0.3">
      <c r="A5007" s="3">
        <v>46243.666539351849</v>
      </c>
      <c r="B5007" s="1">
        <v>7.58</v>
      </c>
      <c r="C5007" s="1">
        <v>6.56</v>
      </c>
      <c r="D5007" s="1">
        <v>0.48</v>
      </c>
      <c r="E5007" s="1" t="s">
        <v>113</v>
      </c>
      <c r="F5007" s="1" t="s">
        <v>116</v>
      </c>
      <c r="G5007" s="1" t="s">
        <v>116</v>
      </c>
      <c r="H5007" s="1" t="str">
        <f>VLOOKUP(F5007,Countries!$A$1:$B$161,2,0)</f>
        <v>Spain</v>
      </c>
    </row>
    <row r="5008" spans="1:8" x14ac:dyDescent="0.3">
      <c r="A5008" s="3">
        <v>46243.659444444442</v>
      </c>
      <c r="B5008" s="1">
        <v>2.99</v>
      </c>
      <c r="C5008" s="1">
        <v>2.59</v>
      </c>
      <c r="D5008" s="1">
        <v>0.38</v>
      </c>
      <c r="E5008" s="1" t="s">
        <v>113</v>
      </c>
      <c r="F5008" s="1" t="s">
        <v>113</v>
      </c>
      <c r="G5008" s="1" t="s">
        <v>113</v>
      </c>
      <c r="H5008" s="1" t="str">
        <f>VLOOKUP(F5008,Countries!$A$1:$B$161,2,0)</f>
        <v>United States of America</v>
      </c>
    </row>
    <row r="5009" spans="1:8" x14ac:dyDescent="0.3">
      <c r="A5009" s="3">
        <v>46243.657812500001</v>
      </c>
      <c r="B5009" s="1">
        <v>65.28</v>
      </c>
      <c r="C5009" s="1">
        <v>56.49</v>
      </c>
      <c r="D5009" s="1">
        <v>3.22</v>
      </c>
      <c r="E5009" s="1" t="s">
        <v>160</v>
      </c>
      <c r="F5009" s="1" t="s">
        <v>160</v>
      </c>
      <c r="G5009" s="1" t="s">
        <v>160</v>
      </c>
      <c r="H5009" s="1" t="str">
        <f>VLOOKUP(F5009,Countries!$A$1:$B$161,2,0)</f>
        <v>New Zealand</v>
      </c>
    </row>
    <row r="5010" spans="1:8" x14ac:dyDescent="0.3">
      <c r="A5010" s="3">
        <v>46243.640798611108</v>
      </c>
      <c r="B5010" s="1">
        <v>6.37</v>
      </c>
      <c r="C5010" s="1">
        <v>5.51</v>
      </c>
      <c r="D5010" s="1">
        <v>0.54</v>
      </c>
      <c r="E5010" s="1" t="s">
        <v>113</v>
      </c>
      <c r="F5010" s="1" t="s">
        <v>113</v>
      </c>
      <c r="G5010" s="1" t="s">
        <v>113</v>
      </c>
      <c r="H5010" s="1" t="str">
        <f>VLOOKUP(F5010,Countries!$A$1:$B$161,2,0)</f>
        <v>United States of America</v>
      </c>
    </row>
    <row r="5011" spans="1:8" x14ac:dyDescent="0.3">
      <c r="A5011" s="3">
        <v>46243.640289351853</v>
      </c>
      <c r="B5011" s="1">
        <v>3.78</v>
      </c>
      <c r="C5011" s="1">
        <v>3.27</v>
      </c>
      <c r="D5011" s="1">
        <v>0.37</v>
      </c>
      <c r="E5011" s="1" t="s">
        <v>116</v>
      </c>
      <c r="F5011" s="1" t="s">
        <v>116</v>
      </c>
      <c r="G5011" s="1" t="s">
        <v>116</v>
      </c>
      <c r="H5011" s="1" t="str">
        <f>VLOOKUP(F5011,Countries!$A$1:$B$161,2,0)</f>
        <v>Spain</v>
      </c>
    </row>
    <row r="5012" spans="1:8" x14ac:dyDescent="0.3">
      <c r="A5012" s="3">
        <v>46243.639780092592</v>
      </c>
      <c r="B5012" s="1">
        <v>24.52</v>
      </c>
      <c r="C5012" s="1">
        <v>21.22</v>
      </c>
      <c r="D5012" s="1">
        <v>1.36</v>
      </c>
      <c r="E5012" s="1" t="s">
        <v>160</v>
      </c>
      <c r="F5012" s="1" t="s">
        <v>160</v>
      </c>
      <c r="G5012" s="1" t="s">
        <v>160</v>
      </c>
      <c r="H5012" s="1" t="str">
        <f>VLOOKUP(F5012,Countries!$A$1:$B$161,2,0)</f>
        <v>New Zealand</v>
      </c>
    </row>
    <row r="5013" spans="1:8" x14ac:dyDescent="0.3">
      <c r="A5013" s="3">
        <v>46243.634444444448</v>
      </c>
      <c r="B5013" s="1">
        <v>7.04</v>
      </c>
      <c r="C5013" s="1">
        <v>6.09</v>
      </c>
      <c r="D5013" s="1">
        <v>0.56999999999999995</v>
      </c>
      <c r="E5013" s="1" t="s">
        <v>160</v>
      </c>
      <c r="F5013" s="1" t="s">
        <v>160</v>
      </c>
      <c r="G5013" s="1" t="s">
        <v>160</v>
      </c>
      <c r="H5013" s="1" t="str">
        <f>VLOOKUP(F5013,Countries!$A$1:$B$161,2,0)</f>
        <v>New Zealand</v>
      </c>
    </row>
    <row r="5014" spans="1:8" x14ac:dyDescent="0.3">
      <c r="A5014" s="3">
        <v>46243.631967592592</v>
      </c>
      <c r="B5014" s="1">
        <v>12.64</v>
      </c>
      <c r="C5014" s="1">
        <v>10.94</v>
      </c>
      <c r="D5014" s="1">
        <v>0.63</v>
      </c>
      <c r="E5014" s="1" t="s">
        <v>116</v>
      </c>
      <c r="F5014" s="1" t="s">
        <v>116</v>
      </c>
      <c r="G5014" s="1" t="s">
        <v>116</v>
      </c>
      <c r="H5014" s="1" t="str">
        <f>VLOOKUP(F5014,Countries!$A$1:$B$161,2,0)</f>
        <v>Spain</v>
      </c>
    </row>
    <row r="5015" spans="1:8" x14ac:dyDescent="0.3">
      <c r="A5015" s="3">
        <v>46243.605000000003</v>
      </c>
      <c r="B5015" s="1">
        <v>65.28</v>
      </c>
      <c r="C5015" s="1">
        <v>56.47</v>
      </c>
      <c r="D5015" s="1">
        <v>3.22</v>
      </c>
      <c r="E5015" s="1" t="s">
        <v>160</v>
      </c>
      <c r="F5015" s="1" t="s">
        <v>160</v>
      </c>
      <c r="G5015" s="1" t="s">
        <v>160</v>
      </c>
      <c r="H5015" s="1" t="str">
        <f>VLOOKUP(F5015,Countries!$A$1:$B$161,2,0)</f>
        <v>New Zealand</v>
      </c>
    </row>
    <row r="5016" spans="1:8" x14ac:dyDescent="0.3">
      <c r="A5016" s="3">
        <v>46243.601342592592</v>
      </c>
      <c r="B5016" s="1">
        <v>2.5099999999999998</v>
      </c>
      <c r="C5016" s="1">
        <v>2.17</v>
      </c>
      <c r="D5016" s="1">
        <v>0.32</v>
      </c>
      <c r="E5016" s="1" t="s">
        <v>116</v>
      </c>
      <c r="F5016" s="1" t="s">
        <v>116</v>
      </c>
      <c r="G5016" s="1" t="s">
        <v>116</v>
      </c>
      <c r="H5016" s="1" t="str">
        <f>VLOOKUP(F5016,Countries!$A$1:$B$161,2,0)</f>
        <v>Spain</v>
      </c>
    </row>
    <row r="5017" spans="1:8" x14ac:dyDescent="0.3">
      <c r="A5017" s="3">
        <v>46243.592673611107</v>
      </c>
      <c r="B5017" s="1">
        <v>7.58</v>
      </c>
      <c r="C5017" s="1">
        <v>6.56</v>
      </c>
      <c r="D5017" s="1">
        <v>0.48</v>
      </c>
      <c r="E5017" s="1" t="s">
        <v>116</v>
      </c>
      <c r="F5017" s="1" t="s">
        <v>116</v>
      </c>
      <c r="G5017" s="1" t="s">
        <v>116</v>
      </c>
      <c r="H5017" s="1" t="str">
        <f>VLOOKUP(F5017,Countries!$A$1:$B$161,2,0)</f>
        <v>Spain</v>
      </c>
    </row>
    <row r="5018" spans="1:8" x14ac:dyDescent="0.3">
      <c r="A5018" s="3">
        <v>46243.592627314807</v>
      </c>
      <c r="B5018" s="1">
        <v>1.99</v>
      </c>
      <c r="C5018" s="1">
        <v>1.72</v>
      </c>
      <c r="D5018" s="1">
        <v>0.34</v>
      </c>
      <c r="E5018" s="1" t="s">
        <v>156</v>
      </c>
      <c r="F5018" s="1" t="s">
        <v>156</v>
      </c>
      <c r="G5018" s="1" t="s">
        <v>156</v>
      </c>
      <c r="H5018" s="1" t="str">
        <f>VLOOKUP(F5018,Countries!$A$1:$B$161,2,0)</f>
        <v>Cote d'Ivoire</v>
      </c>
    </row>
    <row r="5019" spans="1:8" x14ac:dyDescent="0.3">
      <c r="A5019" s="3">
        <v>46243.585474537038</v>
      </c>
      <c r="B5019" s="1">
        <v>6.37</v>
      </c>
      <c r="C5019" s="1">
        <v>5.51</v>
      </c>
      <c r="D5019" s="1">
        <v>0.54</v>
      </c>
      <c r="E5019" s="1" t="s">
        <v>113</v>
      </c>
      <c r="F5019" s="1" t="s">
        <v>113</v>
      </c>
      <c r="G5019" s="1" t="s">
        <v>113</v>
      </c>
      <c r="H5019" s="1" t="str">
        <f>VLOOKUP(F5019,Countries!$A$1:$B$161,2,0)</f>
        <v>United States of America</v>
      </c>
    </row>
    <row r="5020" spans="1:8" x14ac:dyDescent="0.3">
      <c r="A5020" s="3">
        <v>46243.583969907413</v>
      </c>
      <c r="B5020" s="1">
        <v>51.75</v>
      </c>
      <c r="C5020" s="1">
        <v>44.77</v>
      </c>
      <c r="D5020" s="1">
        <v>2.61</v>
      </c>
      <c r="E5020" s="1" t="s">
        <v>113</v>
      </c>
      <c r="F5020" s="1" t="s">
        <v>113</v>
      </c>
      <c r="G5020" s="1" t="s">
        <v>113</v>
      </c>
      <c r="H5020" s="1" t="str">
        <f>VLOOKUP(F5020,Countries!$A$1:$B$161,2,0)</f>
        <v>United States of America</v>
      </c>
    </row>
    <row r="5021" spans="1:8" x14ac:dyDescent="0.3">
      <c r="A5021" s="3">
        <v>46243.581099537027</v>
      </c>
      <c r="B5021" s="1">
        <v>30.88</v>
      </c>
      <c r="C5021" s="1">
        <v>26.72</v>
      </c>
      <c r="D5021" s="1">
        <v>1.65</v>
      </c>
      <c r="E5021" s="1" t="s">
        <v>130</v>
      </c>
      <c r="F5021" s="1" t="s">
        <v>130</v>
      </c>
      <c r="G5021" s="1" t="s">
        <v>130</v>
      </c>
      <c r="H5021" s="1" t="str">
        <f>VLOOKUP(F5021,Countries!$A$1:$B$161,2,0)</f>
        <v>Australia</v>
      </c>
    </row>
    <row r="5022" spans="1:8" x14ac:dyDescent="0.3">
      <c r="A5022" s="3">
        <v>46243.580069444448</v>
      </c>
      <c r="B5022" s="1">
        <v>6.65</v>
      </c>
      <c r="C5022" s="1">
        <v>5.75</v>
      </c>
      <c r="D5022" s="1">
        <v>0.56000000000000005</v>
      </c>
      <c r="E5022" s="1" t="s">
        <v>130</v>
      </c>
      <c r="F5022" s="1" t="s">
        <v>130</v>
      </c>
      <c r="G5022" s="1" t="s">
        <v>130</v>
      </c>
      <c r="H5022" s="1" t="str">
        <f>VLOOKUP(F5022,Countries!$A$1:$B$161,2,0)</f>
        <v>Australia</v>
      </c>
    </row>
    <row r="5023" spans="1:8" x14ac:dyDescent="0.3">
      <c r="A5023" s="3">
        <v>46243.564259259263</v>
      </c>
      <c r="B5023" s="1">
        <v>9.07</v>
      </c>
      <c r="C5023" s="1">
        <v>7.85</v>
      </c>
      <c r="D5023" s="1">
        <v>0.67</v>
      </c>
      <c r="E5023" s="1" t="s">
        <v>114</v>
      </c>
      <c r="F5023" s="1" t="s">
        <v>114</v>
      </c>
      <c r="G5023" s="1" t="s">
        <v>114</v>
      </c>
      <c r="H5023" s="1" t="str">
        <f>VLOOKUP(F5023,Countries!$A$1:$B$161,2,0)</f>
        <v>Philippines</v>
      </c>
    </row>
    <row r="5024" spans="1:8" x14ac:dyDescent="0.3">
      <c r="A5024" s="3">
        <v>46243.551203703697</v>
      </c>
      <c r="B5024" s="1">
        <v>6.37</v>
      </c>
      <c r="C5024" s="1">
        <v>5.51</v>
      </c>
      <c r="D5024" s="1">
        <v>0.54</v>
      </c>
      <c r="E5024" s="1" t="s">
        <v>113</v>
      </c>
      <c r="F5024" s="1" t="s">
        <v>113</v>
      </c>
      <c r="G5024" s="1" t="s">
        <v>113</v>
      </c>
      <c r="H5024" s="1" t="str">
        <f>VLOOKUP(F5024,Countries!$A$1:$B$161,2,0)</f>
        <v>United States of America</v>
      </c>
    </row>
    <row r="5025" spans="1:8" x14ac:dyDescent="0.3">
      <c r="A5025" s="3">
        <v>46243.531736111108</v>
      </c>
      <c r="B5025" s="1">
        <v>7.48</v>
      </c>
      <c r="C5025" s="1">
        <v>6.47</v>
      </c>
      <c r="D5025" s="1">
        <v>0.54</v>
      </c>
      <c r="E5025" s="1" t="s">
        <v>119</v>
      </c>
      <c r="F5025" s="1" t="s">
        <v>119</v>
      </c>
      <c r="G5025" s="1" t="s">
        <v>119</v>
      </c>
      <c r="H5025" s="1" t="str">
        <f>VLOOKUP(F5025,Countries!$A$1:$B$161,2,0)</f>
        <v>Great Britain (United Kingdom)</v>
      </c>
    </row>
    <row r="5026" spans="1:8" x14ac:dyDescent="0.3">
      <c r="A5026" s="3">
        <v>46243.529780092591</v>
      </c>
      <c r="B5026" s="1">
        <v>7.99</v>
      </c>
      <c r="C5026" s="1">
        <v>6.91</v>
      </c>
      <c r="D5026" s="1">
        <v>0.56000000000000005</v>
      </c>
      <c r="E5026" s="1" t="s">
        <v>119</v>
      </c>
      <c r="F5026" s="1" t="s">
        <v>119</v>
      </c>
      <c r="G5026" s="1" t="s">
        <v>119</v>
      </c>
      <c r="H5026" s="1" t="str">
        <f>VLOOKUP(F5026,Countries!$A$1:$B$161,2,0)</f>
        <v>Great Britain (United Kingdom)</v>
      </c>
    </row>
    <row r="5027" spans="1:8" x14ac:dyDescent="0.3">
      <c r="A5027" s="3">
        <v>46243.524548611109</v>
      </c>
      <c r="B5027" s="1">
        <v>6.37</v>
      </c>
      <c r="C5027" s="1">
        <v>5.51</v>
      </c>
      <c r="D5027" s="1">
        <v>0.54</v>
      </c>
      <c r="E5027" s="1" t="s">
        <v>113</v>
      </c>
      <c r="F5027" s="1" t="s">
        <v>113</v>
      </c>
      <c r="G5027" s="1" t="s">
        <v>113</v>
      </c>
      <c r="H5027" s="1" t="str">
        <f>VLOOKUP(F5027,Countries!$A$1:$B$161,2,0)</f>
        <v>United States of America</v>
      </c>
    </row>
    <row r="5028" spans="1:8" x14ac:dyDescent="0.3">
      <c r="A5028" s="3">
        <v>46243.520243055558</v>
      </c>
      <c r="B5028" s="1">
        <v>6.37</v>
      </c>
      <c r="C5028" s="1">
        <v>5.51</v>
      </c>
      <c r="D5028" s="1">
        <v>0.54</v>
      </c>
      <c r="E5028" s="1" t="s">
        <v>113</v>
      </c>
      <c r="F5028" s="1" t="s">
        <v>113</v>
      </c>
      <c r="G5028" s="1" t="s">
        <v>113</v>
      </c>
      <c r="H5028" s="1" t="str">
        <f>VLOOKUP(F5028,Countries!$A$1:$B$161,2,0)</f>
        <v>United States of America</v>
      </c>
    </row>
    <row r="5029" spans="1:8" x14ac:dyDescent="0.3">
      <c r="A5029" s="3">
        <v>46243.516817129632</v>
      </c>
      <c r="B5029" s="1">
        <v>3.98</v>
      </c>
      <c r="C5029" s="1">
        <v>3.44</v>
      </c>
      <c r="D5029" s="1">
        <v>0.37</v>
      </c>
      <c r="E5029" s="1" t="s">
        <v>178</v>
      </c>
      <c r="F5029" s="1" t="s">
        <v>178</v>
      </c>
      <c r="G5029" s="1" t="s">
        <v>178</v>
      </c>
      <c r="H5029" s="1" t="str">
        <f>VLOOKUP(F5029,Countries!$A$1:$B$161,2,0)</f>
        <v>Sweden</v>
      </c>
    </row>
    <row r="5030" spans="1:8" x14ac:dyDescent="0.3">
      <c r="A5030" s="3">
        <v>46243.512118055558</v>
      </c>
      <c r="B5030" s="1">
        <v>13.89</v>
      </c>
      <c r="C5030" s="1">
        <v>12.02</v>
      </c>
      <c r="D5030" s="1">
        <v>0.88</v>
      </c>
      <c r="E5030" s="1" t="s">
        <v>156</v>
      </c>
      <c r="F5030" s="1" t="s">
        <v>156</v>
      </c>
      <c r="G5030" s="1" t="s">
        <v>156</v>
      </c>
      <c r="H5030" s="1" t="str">
        <f>VLOOKUP(F5030,Countries!$A$1:$B$161,2,0)</f>
        <v>Cote d'Ivoire</v>
      </c>
    </row>
    <row r="5031" spans="1:8" x14ac:dyDescent="0.3">
      <c r="A5031" s="3">
        <v>46243.507870370369</v>
      </c>
      <c r="B5031" s="1">
        <v>2.99</v>
      </c>
      <c r="C5031" s="1">
        <v>2.59</v>
      </c>
      <c r="D5031" s="1">
        <v>0.38</v>
      </c>
      <c r="E5031" s="1" t="s">
        <v>113</v>
      </c>
      <c r="F5031" s="1" t="s">
        <v>113</v>
      </c>
      <c r="G5031" s="1" t="s">
        <v>113</v>
      </c>
      <c r="H5031" s="1" t="str">
        <f>VLOOKUP(F5031,Countries!$A$1:$B$161,2,0)</f>
        <v>United States of America</v>
      </c>
    </row>
    <row r="5032" spans="1:8" x14ac:dyDescent="0.3">
      <c r="A5032" s="3">
        <v>46243.503541666672</v>
      </c>
      <c r="B5032" s="1">
        <v>33.090000000000003</v>
      </c>
      <c r="C5032" s="1">
        <v>28.63</v>
      </c>
      <c r="D5032" s="1">
        <v>1.75</v>
      </c>
      <c r="E5032" s="1" t="s">
        <v>181</v>
      </c>
      <c r="F5032" s="1" t="s">
        <v>181</v>
      </c>
      <c r="G5032" s="1" t="s">
        <v>181</v>
      </c>
      <c r="H5032" s="1" t="str">
        <f>VLOOKUP(F5032,Countries!$A$1:$B$161,2,0)</f>
        <v>Mexico</v>
      </c>
    </row>
    <row r="5033" spans="1:8" x14ac:dyDescent="0.3">
      <c r="A5033" s="3">
        <v>46243.503171296303</v>
      </c>
      <c r="B5033" s="1">
        <v>2.2599999999999998</v>
      </c>
      <c r="C5033" s="1">
        <v>1.96</v>
      </c>
      <c r="D5033" s="1">
        <v>0.35</v>
      </c>
      <c r="E5033" s="1" t="s">
        <v>170</v>
      </c>
      <c r="F5033" s="1" t="s">
        <v>170</v>
      </c>
      <c r="G5033" s="1" t="s">
        <v>170</v>
      </c>
      <c r="H5033" s="1" t="str">
        <f>VLOOKUP(F5033,Countries!$A$1:$B$161,2,0)</f>
        <v>Kyrgyzstan</v>
      </c>
    </row>
    <row r="5034" spans="1:8" x14ac:dyDescent="0.3">
      <c r="A5034" s="3">
        <v>46243.5</v>
      </c>
      <c r="B5034" s="1">
        <v>6.37</v>
      </c>
      <c r="C5034" s="1">
        <v>5.51</v>
      </c>
      <c r="D5034" s="1">
        <v>0.54</v>
      </c>
      <c r="E5034" s="1" t="s">
        <v>181</v>
      </c>
      <c r="F5034" s="1" t="s">
        <v>181</v>
      </c>
      <c r="G5034" s="1" t="s">
        <v>181</v>
      </c>
      <c r="H5034" s="1" t="str">
        <f>VLOOKUP(F5034,Countries!$A$1:$B$161,2,0)</f>
        <v>Mexico</v>
      </c>
    </row>
    <row r="5035" spans="1:8" x14ac:dyDescent="0.3">
      <c r="A5035" s="3">
        <v>46243.486458333333</v>
      </c>
      <c r="B5035" s="1">
        <v>53.18</v>
      </c>
      <c r="C5035" s="1">
        <v>46.02</v>
      </c>
      <c r="D5035" s="1">
        <v>2.67</v>
      </c>
      <c r="E5035" s="1" t="s">
        <v>113</v>
      </c>
      <c r="F5035" s="1" t="s">
        <v>113</v>
      </c>
      <c r="G5035" s="1" t="s">
        <v>113</v>
      </c>
      <c r="H5035" s="1" t="str">
        <f>VLOOKUP(F5035,Countries!$A$1:$B$161,2,0)</f>
        <v>United States of America</v>
      </c>
    </row>
    <row r="5036" spans="1:8" x14ac:dyDescent="0.3">
      <c r="A5036" s="3">
        <v>46243.485300925917</v>
      </c>
      <c r="B5036" s="1">
        <v>21.27</v>
      </c>
      <c r="C5036" s="1">
        <v>18.41</v>
      </c>
      <c r="D5036" s="1">
        <v>1.22</v>
      </c>
      <c r="E5036" s="1" t="s">
        <v>113</v>
      </c>
      <c r="F5036" s="1" t="s">
        <v>113</v>
      </c>
      <c r="G5036" s="1" t="s">
        <v>113</v>
      </c>
      <c r="H5036" s="1" t="str">
        <f>VLOOKUP(F5036,Countries!$A$1:$B$161,2,0)</f>
        <v>United States of America</v>
      </c>
    </row>
    <row r="5037" spans="1:8" x14ac:dyDescent="0.3">
      <c r="A5037" s="3">
        <v>46243.48</v>
      </c>
      <c r="B5037" s="1">
        <v>26.59</v>
      </c>
      <c r="C5037" s="1">
        <v>23.01</v>
      </c>
      <c r="D5037" s="1">
        <v>1.46</v>
      </c>
      <c r="E5037" s="1" t="s">
        <v>113</v>
      </c>
      <c r="F5037" s="1" t="s">
        <v>113</v>
      </c>
      <c r="G5037" s="1" t="s">
        <v>113</v>
      </c>
      <c r="H5037" s="1" t="str">
        <f>VLOOKUP(F5037,Countries!$A$1:$B$161,2,0)</f>
        <v>United States of America</v>
      </c>
    </row>
    <row r="5038" spans="1:8" x14ac:dyDescent="0.3">
      <c r="A5038" s="3">
        <v>46243.479641203703</v>
      </c>
      <c r="B5038" s="1">
        <v>21.27</v>
      </c>
      <c r="C5038" s="1">
        <v>18.41</v>
      </c>
      <c r="D5038" s="1">
        <v>1.22</v>
      </c>
      <c r="E5038" s="1" t="s">
        <v>113</v>
      </c>
      <c r="F5038" s="1" t="s">
        <v>113</v>
      </c>
      <c r="G5038" s="1" t="s">
        <v>113</v>
      </c>
      <c r="H5038" s="1" t="str">
        <f>VLOOKUP(F5038,Countries!$A$1:$B$161,2,0)</f>
        <v>United States of America</v>
      </c>
    </row>
    <row r="5039" spans="1:8" x14ac:dyDescent="0.3">
      <c r="A5039" s="3">
        <v>46243.479062500002</v>
      </c>
      <c r="B5039" s="1">
        <v>21.27</v>
      </c>
      <c r="C5039" s="1">
        <v>18.41</v>
      </c>
      <c r="D5039" s="1">
        <v>1.22</v>
      </c>
      <c r="E5039" s="1" t="s">
        <v>113</v>
      </c>
      <c r="F5039" s="1" t="s">
        <v>113</v>
      </c>
      <c r="G5039" s="1" t="s">
        <v>113</v>
      </c>
      <c r="H5039" s="1" t="str">
        <f>VLOOKUP(F5039,Countries!$A$1:$B$161,2,0)</f>
        <v>United States of America</v>
      </c>
    </row>
    <row r="5040" spans="1:8" x14ac:dyDescent="0.3">
      <c r="A5040" s="3">
        <v>46243.47583333333</v>
      </c>
      <c r="B5040" s="1">
        <v>8.5</v>
      </c>
      <c r="C5040" s="1">
        <v>7.36</v>
      </c>
      <c r="D5040" s="1">
        <v>0.64</v>
      </c>
      <c r="E5040" s="1" t="s">
        <v>113</v>
      </c>
      <c r="F5040" s="1" t="s">
        <v>113</v>
      </c>
      <c r="G5040" s="1" t="s">
        <v>113</v>
      </c>
      <c r="H5040" s="1" t="str">
        <f>VLOOKUP(F5040,Countries!$A$1:$B$161,2,0)</f>
        <v>United States of America</v>
      </c>
    </row>
    <row r="5041" spans="1:8" x14ac:dyDescent="0.3">
      <c r="A5041" s="3">
        <v>46243.474120370367</v>
      </c>
      <c r="B5041" s="1">
        <v>10.85</v>
      </c>
      <c r="C5041" s="1">
        <v>9.39</v>
      </c>
      <c r="D5041" s="1">
        <v>0.75</v>
      </c>
      <c r="E5041" s="1" t="s">
        <v>115</v>
      </c>
      <c r="F5041" s="1" t="s">
        <v>115</v>
      </c>
      <c r="G5041" s="1" t="s">
        <v>115</v>
      </c>
      <c r="H5041" s="1" t="str">
        <f>VLOOKUP(F5041,Countries!$A$1:$B$161,2,0)</f>
        <v>Switzerland</v>
      </c>
    </row>
    <row r="5042" spans="1:8" x14ac:dyDescent="0.3">
      <c r="A5042" s="3">
        <v>46243.473240740743</v>
      </c>
      <c r="B5042" s="1">
        <v>6.37</v>
      </c>
      <c r="C5042" s="1">
        <v>5.51</v>
      </c>
      <c r="D5042" s="1">
        <v>0.54</v>
      </c>
      <c r="E5042" s="1" t="s">
        <v>113</v>
      </c>
      <c r="F5042" s="1" t="s">
        <v>113</v>
      </c>
      <c r="G5042" s="1" t="s">
        <v>113</v>
      </c>
      <c r="H5042" s="1" t="str">
        <f>VLOOKUP(F5042,Countries!$A$1:$B$161,2,0)</f>
        <v>United States of America</v>
      </c>
    </row>
    <row r="5043" spans="1:8" x14ac:dyDescent="0.3">
      <c r="A5043" s="3">
        <v>46243.467245370368</v>
      </c>
      <c r="B5043" s="1">
        <v>1.99</v>
      </c>
      <c r="C5043" s="1">
        <v>1.72</v>
      </c>
      <c r="D5043" s="1">
        <v>0.34</v>
      </c>
      <c r="E5043" s="1" t="s">
        <v>126</v>
      </c>
      <c r="F5043" s="1" t="s">
        <v>126</v>
      </c>
      <c r="G5043" s="1" t="s">
        <v>126</v>
      </c>
      <c r="H5043" s="1" t="str">
        <f>VLOOKUP(F5043,Countries!$A$1:$B$161,2,0)</f>
        <v>Cambodia</v>
      </c>
    </row>
    <row r="5044" spans="1:8" x14ac:dyDescent="0.3">
      <c r="A5044" s="3">
        <v>46243.467175925929</v>
      </c>
      <c r="B5044" s="1">
        <v>10.62</v>
      </c>
      <c r="C5044" s="1">
        <v>9.19</v>
      </c>
      <c r="D5044" s="1">
        <v>0.73</v>
      </c>
      <c r="E5044" s="1" t="s">
        <v>113</v>
      </c>
      <c r="F5044" s="1" t="s">
        <v>113</v>
      </c>
      <c r="G5044" s="1" t="s">
        <v>113</v>
      </c>
      <c r="H5044" s="1" t="str">
        <f>VLOOKUP(F5044,Countries!$A$1:$B$161,2,0)</f>
        <v>United States of America</v>
      </c>
    </row>
    <row r="5045" spans="1:8" x14ac:dyDescent="0.3">
      <c r="A5045" s="3">
        <v>46243.46503472222</v>
      </c>
      <c r="B5045" s="1">
        <v>6.37</v>
      </c>
      <c r="C5045" s="1">
        <v>5.51</v>
      </c>
      <c r="D5045" s="1">
        <v>0.54</v>
      </c>
      <c r="E5045" s="1" t="s">
        <v>113</v>
      </c>
      <c r="F5045" s="1" t="s">
        <v>113</v>
      </c>
      <c r="G5045" s="1" t="s">
        <v>113</v>
      </c>
      <c r="H5045" s="1" t="str">
        <f>VLOOKUP(F5045,Countries!$A$1:$B$161,2,0)</f>
        <v>United States of America</v>
      </c>
    </row>
    <row r="5046" spans="1:8" x14ac:dyDescent="0.3">
      <c r="A5046" s="3">
        <v>46243.459861111107</v>
      </c>
      <c r="B5046" s="1">
        <v>6.37</v>
      </c>
      <c r="C5046" s="1">
        <v>5.51</v>
      </c>
      <c r="D5046" s="1">
        <v>0.54</v>
      </c>
      <c r="E5046" s="1" t="s">
        <v>113</v>
      </c>
      <c r="F5046" s="1" t="s">
        <v>113</v>
      </c>
      <c r="G5046" s="1" t="s">
        <v>113</v>
      </c>
      <c r="H5046" s="1" t="str">
        <f>VLOOKUP(F5046,Countries!$A$1:$B$161,2,0)</f>
        <v>United States of America</v>
      </c>
    </row>
    <row r="5047" spans="1:8" x14ac:dyDescent="0.3">
      <c r="A5047" s="3">
        <v>46243.456226851849</v>
      </c>
      <c r="B5047" s="1">
        <v>10.85</v>
      </c>
      <c r="C5047" s="1">
        <v>9.39</v>
      </c>
      <c r="D5047" s="1">
        <v>0.75</v>
      </c>
      <c r="E5047" s="1" t="s">
        <v>115</v>
      </c>
      <c r="F5047" s="1" t="s">
        <v>115</v>
      </c>
      <c r="G5047" s="1" t="s">
        <v>115</v>
      </c>
      <c r="H5047" s="1" t="str">
        <f>VLOOKUP(F5047,Countries!$A$1:$B$161,2,0)</f>
        <v>Switzerland</v>
      </c>
    </row>
    <row r="5048" spans="1:8" x14ac:dyDescent="0.3">
      <c r="A5048" s="3">
        <v>46243.45590277778</v>
      </c>
      <c r="B5048" s="1">
        <v>10.62</v>
      </c>
      <c r="C5048" s="1">
        <v>9.19</v>
      </c>
      <c r="D5048" s="1">
        <v>0.73</v>
      </c>
      <c r="E5048" s="1" t="s">
        <v>113</v>
      </c>
      <c r="F5048" s="1" t="s">
        <v>113</v>
      </c>
      <c r="G5048" s="1" t="s">
        <v>113</v>
      </c>
      <c r="H5048" s="1" t="str">
        <f>VLOOKUP(F5048,Countries!$A$1:$B$161,2,0)</f>
        <v>United States of America</v>
      </c>
    </row>
    <row r="5049" spans="1:8" x14ac:dyDescent="0.3">
      <c r="A5049" s="3">
        <v>46243.436273148152</v>
      </c>
      <c r="B5049" s="1">
        <v>10.62</v>
      </c>
      <c r="C5049" s="1">
        <v>9.19</v>
      </c>
      <c r="D5049" s="1">
        <v>0.73</v>
      </c>
      <c r="E5049" s="1" t="s">
        <v>113</v>
      </c>
      <c r="F5049" s="1" t="s">
        <v>113</v>
      </c>
      <c r="G5049" s="1" t="s">
        <v>113</v>
      </c>
      <c r="H5049" s="1" t="str">
        <f>VLOOKUP(F5049,Countries!$A$1:$B$161,2,0)</f>
        <v>United States of America</v>
      </c>
    </row>
    <row r="5050" spans="1:8" x14ac:dyDescent="0.3">
      <c r="A5050" s="3">
        <v>46243.434398148151</v>
      </c>
      <c r="B5050" s="1">
        <v>2.11</v>
      </c>
      <c r="C5050" s="1">
        <v>1.83</v>
      </c>
      <c r="D5050" s="1">
        <v>0.35</v>
      </c>
      <c r="E5050" s="1" t="s">
        <v>113</v>
      </c>
      <c r="F5050" s="1" t="s">
        <v>113</v>
      </c>
      <c r="G5050" s="1" t="s">
        <v>113</v>
      </c>
      <c r="H5050" s="1" t="str">
        <f>VLOOKUP(F5050,Countries!$A$1:$B$161,2,0)</f>
        <v>United States of America</v>
      </c>
    </row>
    <row r="5051" spans="1:8" x14ac:dyDescent="0.3">
      <c r="A5051" s="3">
        <v>46243.430983796286</v>
      </c>
      <c r="B5051" s="1">
        <v>6.37</v>
      </c>
      <c r="C5051" s="1">
        <v>5.51</v>
      </c>
      <c r="D5051" s="1">
        <v>0.54</v>
      </c>
      <c r="E5051" s="1" t="s">
        <v>113</v>
      </c>
      <c r="F5051" s="1" t="s">
        <v>113</v>
      </c>
      <c r="G5051" s="1" t="s">
        <v>113</v>
      </c>
      <c r="H5051" s="1" t="str">
        <f>VLOOKUP(F5051,Countries!$A$1:$B$161,2,0)</f>
        <v>United States of America</v>
      </c>
    </row>
    <row r="5052" spans="1:8" x14ac:dyDescent="0.3">
      <c r="A5052" s="3">
        <v>46243.416898148149</v>
      </c>
      <c r="B5052" s="1">
        <v>7.48</v>
      </c>
      <c r="C5052" s="1">
        <v>6.47</v>
      </c>
      <c r="D5052" s="1">
        <v>0.48</v>
      </c>
      <c r="E5052" s="1" t="s">
        <v>123</v>
      </c>
      <c r="F5052" s="1" t="s">
        <v>123</v>
      </c>
      <c r="G5052" s="1" t="s">
        <v>123</v>
      </c>
      <c r="H5052" s="1" t="str">
        <f>VLOOKUP(F5052,Countries!$A$1:$B$161,2,0)</f>
        <v>France</v>
      </c>
    </row>
    <row r="5053" spans="1:8" x14ac:dyDescent="0.3">
      <c r="A5053" s="3">
        <v>46243.409108796302</v>
      </c>
      <c r="B5053" s="1">
        <v>6.37</v>
      </c>
      <c r="C5053" s="1">
        <v>5.51</v>
      </c>
      <c r="D5053" s="1">
        <v>0.54</v>
      </c>
      <c r="E5053" s="1" t="s">
        <v>113</v>
      </c>
      <c r="F5053" s="1" t="s">
        <v>113</v>
      </c>
      <c r="G5053" s="1" t="s">
        <v>113</v>
      </c>
      <c r="H5053" s="1" t="str">
        <f>VLOOKUP(F5053,Countries!$A$1:$B$161,2,0)</f>
        <v>United States of America</v>
      </c>
    </row>
    <row r="5054" spans="1:8" x14ac:dyDescent="0.3">
      <c r="A5054" s="3">
        <v>46243.404062499998</v>
      </c>
      <c r="B5054" s="1">
        <v>7.48</v>
      </c>
      <c r="C5054" s="1">
        <v>6.47</v>
      </c>
      <c r="D5054" s="1">
        <v>0.48</v>
      </c>
      <c r="E5054" s="1" t="s">
        <v>123</v>
      </c>
      <c r="F5054" s="1" t="s">
        <v>123</v>
      </c>
      <c r="G5054" s="1" t="s">
        <v>123</v>
      </c>
      <c r="H5054" s="1" t="str">
        <f>VLOOKUP(F5054,Countries!$A$1:$B$161,2,0)</f>
        <v>France</v>
      </c>
    </row>
    <row r="5055" spans="1:8" x14ac:dyDescent="0.3">
      <c r="A5055" s="3">
        <v>46243.397129629629</v>
      </c>
      <c r="B5055" s="1">
        <v>6.37</v>
      </c>
      <c r="C5055" s="1">
        <v>5.51</v>
      </c>
      <c r="D5055" s="1">
        <v>0.54</v>
      </c>
      <c r="E5055" s="1" t="s">
        <v>113</v>
      </c>
      <c r="F5055" s="1" t="s">
        <v>113</v>
      </c>
      <c r="G5055" s="1" t="s">
        <v>113</v>
      </c>
      <c r="H5055" s="1" t="str">
        <f>VLOOKUP(F5055,Countries!$A$1:$B$161,2,0)</f>
        <v>United States of America</v>
      </c>
    </row>
    <row r="5056" spans="1:8" x14ac:dyDescent="0.3">
      <c r="A5056" s="3">
        <v>46243.391215277778</v>
      </c>
      <c r="B5056" s="1">
        <v>42.54</v>
      </c>
      <c r="C5056" s="1">
        <v>36.82</v>
      </c>
      <c r="D5056" s="1">
        <v>2.19</v>
      </c>
      <c r="E5056" s="1" t="s">
        <v>113</v>
      </c>
      <c r="F5056" s="1" t="s">
        <v>113</v>
      </c>
      <c r="G5056" s="1" t="s">
        <v>113</v>
      </c>
      <c r="H5056" s="1" t="str">
        <f>VLOOKUP(F5056,Countries!$A$1:$B$161,2,0)</f>
        <v>United States of America</v>
      </c>
    </row>
    <row r="5057" spans="1:8" x14ac:dyDescent="0.3">
      <c r="A5057" s="3">
        <v>46243.376701388886</v>
      </c>
      <c r="B5057" s="1">
        <v>3.18</v>
      </c>
      <c r="C5057" s="1">
        <v>2.75</v>
      </c>
      <c r="D5057" s="1">
        <v>0.4</v>
      </c>
      <c r="E5057" s="1" t="s">
        <v>113</v>
      </c>
      <c r="F5057" s="1" t="s">
        <v>113</v>
      </c>
      <c r="G5057" s="1" t="s">
        <v>113</v>
      </c>
      <c r="H5057" s="1" t="str">
        <f>VLOOKUP(F5057,Countries!$A$1:$B$161,2,0)</f>
        <v>United States of America</v>
      </c>
    </row>
    <row r="5058" spans="1:8" x14ac:dyDescent="0.3">
      <c r="A5058" s="3">
        <v>46243.360497685193</v>
      </c>
      <c r="B5058" s="1">
        <v>6.65</v>
      </c>
      <c r="C5058" s="1">
        <v>5.75</v>
      </c>
      <c r="D5058" s="1">
        <v>0.56000000000000005</v>
      </c>
      <c r="E5058" s="1" t="s">
        <v>130</v>
      </c>
      <c r="F5058" s="1" t="s">
        <v>130</v>
      </c>
      <c r="G5058" s="1" t="s">
        <v>130</v>
      </c>
      <c r="H5058" s="1" t="str">
        <f>VLOOKUP(F5058,Countries!$A$1:$B$161,2,0)</f>
        <v>Australia</v>
      </c>
    </row>
    <row r="5059" spans="1:8" x14ac:dyDescent="0.3">
      <c r="A5059" s="3">
        <v>46243.349699074082</v>
      </c>
      <c r="B5059" s="1">
        <v>5.99</v>
      </c>
      <c r="C5059" s="1">
        <v>5.18</v>
      </c>
      <c r="D5059" s="1">
        <v>0.52</v>
      </c>
      <c r="E5059" s="1" t="s">
        <v>113</v>
      </c>
      <c r="F5059" s="1" t="s">
        <v>113</v>
      </c>
      <c r="G5059" s="1" t="s">
        <v>113</v>
      </c>
      <c r="H5059" s="1" t="str">
        <f>VLOOKUP(F5059,Countries!$A$1:$B$161,2,0)</f>
        <v>United States of America</v>
      </c>
    </row>
    <row r="5060" spans="1:8" x14ac:dyDescent="0.3">
      <c r="A5060" s="3">
        <v>46243.349479166667</v>
      </c>
      <c r="B5060" s="1">
        <v>2.16</v>
      </c>
      <c r="C5060" s="1">
        <v>1.87</v>
      </c>
      <c r="D5060" s="1">
        <v>0.35</v>
      </c>
      <c r="E5060" s="1" t="s">
        <v>116</v>
      </c>
      <c r="F5060" s="1" t="s">
        <v>115</v>
      </c>
      <c r="G5060" s="1" t="s">
        <v>115</v>
      </c>
      <c r="H5060" s="1" t="str">
        <f>VLOOKUP(F5060,Countries!$A$1:$B$161,2,0)</f>
        <v>Switzerland</v>
      </c>
    </row>
    <row r="5061" spans="1:8" x14ac:dyDescent="0.3">
      <c r="A5061" s="3">
        <v>46243.340486111112</v>
      </c>
      <c r="B5061" s="1">
        <v>6.37</v>
      </c>
      <c r="C5061" s="1">
        <v>5.51</v>
      </c>
      <c r="D5061" s="1">
        <v>0.54</v>
      </c>
      <c r="E5061" s="1" t="s">
        <v>113</v>
      </c>
      <c r="F5061" s="1" t="s">
        <v>113</v>
      </c>
      <c r="G5061" s="1" t="s">
        <v>113</v>
      </c>
      <c r="H5061" s="1" t="str">
        <f>VLOOKUP(F5061,Countries!$A$1:$B$161,2,0)</f>
        <v>United States of America</v>
      </c>
    </row>
    <row r="5062" spans="1:8" x14ac:dyDescent="0.3">
      <c r="A5062" s="3">
        <v>46243.338368055563</v>
      </c>
      <c r="B5062" s="1">
        <v>6.37</v>
      </c>
      <c r="C5062" s="1">
        <v>5.51</v>
      </c>
      <c r="D5062" s="1">
        <v>0.54</v>
      </c>
      <c r="E5062" s="1" t="s">
        <v>113</v>
      </c>
      <c r="F5062" s="1" t="s">
        <v>113</v>
      </c>
      <c r="G5062" s="1" t="s">
        <v>113</v>
      </c>
      <c r="H5062" s="1" t="str">
        <f>VLOOKUP(F5062,Countries!$A$1:$B$161,2,0)</f>
        <v>United States of America</v>
      </c>
    </row>
    <row r="5063" spans="1:8" x14ac:dyDescent="0.3">
      <c r="A5063" s="3">
        <v>46243.324849537043</v>
      </c>
      <c r="B5063" s="1">
        <v>17.010000000000002</v>
      </c>
      <c r="C5063" s="1">
        <v>14.72</v>
      </c>
      <c r="D5063" s="1">
        <v>1.02</v>
      </c>
      <c r="E5063" s="1" t="s">
        <v>113</v>
      </c>
      <c r="F5063" s="1" t="s">
        <v>113</v>
      </c>
      <c r="G5063" s="1" t="s">
        <v>113</v>
      </c>
      <c r="H5063" s="1" t="str">
        <f>VLOOKUP(F5063,Countries!$A$1:$B$161,2,0)</f>
        <v>United States of America</v>
      </c>
    </row>
    <row r="5064" spans="1:8" x14ac:dyDescent="0.3">
      <c r="A5064" s="3">
        <v>46243.324050925927</v>
      </c>
      <c r="B5064" s="1">
        <v>9.99</v>
      </c>
      <c r="C5064" s="1">
        <v>8.65</v>
      </c>
      <c r="D5064" s="1">
        <v>0.7</v>
      </c>
      <c r="E5064" s="1" t="s">
        <v>150</v>
      </c>
      <c r="F5064" s="1" t="s">
        <v>150</v>
      </c>
      <c r="G5064" s="1" t="s">
        <v>150</v>
      </c>
      <c r="H5064" s="1" t="str">
        <f>VLOOKUP(F5064,Countries!$A$1:$B$161,2,0)</f>
        <v>El Salvador</v>
      </c>
    </row>
    <row r="5065" spans="1:8" x14ac:dyDescent="0.3">
      <c r="A5065" s="3">
        <v>46243.323159722233</v>
      </c>
      <c r="B5065" s="1">
        <v>11.75</v>
      </c>
      <c r="C5065" s="1">
        <v>10.17</v>
      </c>
      <c r="D5065" s="1">
        <v>0.78</v>
      </c>
      <c r="E5065" s="1" t="s">
        <v>163</v>
      </c>
      <c r="F5065" s="1" t="s">
        <v>163</v>
      </c>
      <c r="G5065" s="1" t="s">
        <v>163</v>
      </c>
      <c r="H5065" s="1" t="str">
        <f>VLOOKUP(F5065,Countries!$A$1:$B$161,2,0)</f>
        <v>Saudi Arabia</v>
      </c>
    </row>
    <row r="5066" spans="1:8" x14ac:dyDescent="0.3">
      <c r="A5066" s="3">
        <v>46243.32240740741</v>
      </c>
      <c r="B5066" s="1">
        <v>10.85</v>
      </c>
      <c r="C5066" s="1">
        <v>9.39</v>
      </c>
      <c r="D5066" s="1">
        <v>0.75</v>
      </c>
      <c r="E5066" s="1" t="s">
        <v>115</v>
      </c>
      <c r="F5066" s="1" t="s">
        <v>115</v>
      </c>
      <c r="G5066" s="1" t="s">
        <v>115</v>
      </c>
      <c r="H5066" s="1" t="str">
        <f>VLOOKUP(F5066,Countries!$A$1:$B$161,2,0)</f>
        <v>Switzerland</v>
      </c>
    </row>
    <row r="5067" spans="1:8" x14ac:dyDescent="0.3">
      <c r="A5067" s="3">
        <v>46243.316643518519</v>
      </c>
      <c r="B5067" s="1">
        <v>6.37</v>
      </c>
      <c r="C5067" s="1">
        <v>5.51</v>
      </c>
      <c r="D5067" s="1">
        <v>0.54</v>
      </c>
      <c r="E5067" s="1" t="s">
        <v>171</v>
      </c>
      <c r="F5067" s="1" t="s">
        <v>113</v>
      </c>
      <c r="G5067" s="1" t="s">
        <v>113</v>
      </c>
      <c r="H5067" s="1" t="str">
        <f>VLOOKUP(F5067,Countries!$A$1:$B$161,2,0)</f>
        <v>United States of America</v>
      </c>
    </row>
    <row r="5068" spans="1:8" x14ac:dyDescent="0.3">
      <c r="A5068" s="3">
        <v>46243.310601851852</v>
      </c>
      <c r="B5068" s="1">
        <v>6.8</v>
      </c>
      <c r="C5068" s="1">
        <v>5.89</v>
      </c>
      <c r="D5068" s="1">
        <v>0.56000000000000005</v>
      </c>
      <c r="E5068" s="1" t="s">
        <v>114</v>
      </c>
      <c r="F5068" s="1" t="s">
        <v>114</v>
      </c>
      <c r="G5068" s="1" t="s">
        <v>114</v>
      </c>
      <c r="H5068" s="1" t="str">
        <f>VLOOKUP(F5068,Countries!$A$1:$B$161,2,0)</f>
        <v>Philippines</v>
      </c>
    </row>
    <row r="5069" spans="1:8" x14ac:dyDescent="0.3">
      <c r="A5069" s="3">
        <v>46243.307106481479</v>
      </c>
      <c r="B5069" s="1">
        <v>6.37</v>
      </c>
      <c r="C5069" s="1">
        <v>5.51</v>
      </c>
      <c r="D5069" s="1">
        <v>0.54</v>
      </c>
      <c r="E5069" s="1" t="s">
        <v>113</v>
      </c>
      <c r="F5069" s="1" t="s">
        <v>113</v>
      </c>
      <c r="G5069" s="1" t="s">
        <v>113</v>
      </c>
      <c r="H5069" s="1" t="str">
        <f>VLOOKUP(F5069,Countries!$A$1:$B$161,2,0)</f>
        <v>United States of America</v>
      </c>
    </row>
    <row r="5070" spans="1:8" x14ac:dyDescent="0.3">
      <c r="A5070" s="3">
        <v>46243.299884259257</v>
      </c>
      <c r="B5070" s="1">
        <v>7.48</v>
      </c>
      <c r="C5070" s="1">
        <v>6.47</v>
      </c>
      <c r="D5070" s="1">
        <v>0.48</v>
      </c>
      <c r="E5070" s="1" t="s">
        <v>203</v>
      </c>
      <c r="F5070" s="1" t="s">
        <v>203</v>
      </c>
      <c r="G5070" s="1" t="s">
        <v>203</v>
      </c>
      <c r="H5070" s="1" t="str">
        <f>VLOOKUP(F5070,Countries!$A$1:$B$161,2,0)</f>
        <v>Slovenia</v>
      </c>
    </row>
    <row r="5071" spans="1:8" x14ac:dyDescent="0.3">
      <c r="A5071" s="3">
        <v>46243.292245370372</v>
      </c>
      <c r="B5071" s="1">
        <v>6.37</v>
      </c>
      <c r="C5071" s="1">
        <v>5.51</v>
      </c>
      <c r="D5071" s="1">
        <v>0.54</v>
      </c>
      <c r="E5071" s="1" t="s">
        <v>113</v>
      </c>
      <c r="F5071" s="1" t="s">
        <v>113</v>
      </c>
      <c r="G5071" s="1" t="s">
        <v>113</v>
      </c>
      <c r="H5071" s="1" t="str">
        <f>VLOOKUP(F5071,Countries!$A$1:$B$161,2,0)</f>
        <v>United States of America</v>
      </c>
    </row>
    <row r="5072" spans="1:8" x14ac:dyDescent="0.3">
      <c r="A5072" s="3">
        <v>46243.286412037043</v>
      </c>
      <c r="B5072" s="1">
        <v>16.34</v>
      </c>
      <c r="C5072" s="1">
        <v>14.14</v>
      </c>
      <c r="D5072" s="1">
        <v>0.99</v>
      </c>
      <c r="E5072" s="1" t="s">
        <v>113</v>
      </c>
      <c r="F5072" s="1" t="s">
        <v>160</v>
      </c>
      <c r="G5072" s="1" t="s">
        <v>160</v>
      </c>
      <c r="H5072" s="1" t="str">
        <f>VLOOKUP(F5072,Countries!$A$1:$B$161,2,0)</f>
        <v>New Zealand</v>
      </c>
    </row>
    <row r="5073" spans="1:8" x14ac:dyDescent="0.3">
      <c r="A5073" s="3">
        <v>46243.280324074083</v>
      </c>
      <c r="B5073" s="1">
        <v>30.88</v>
      </c>
      <c r="C5073" s="1">
        <v>26.72</v>
      </c>
      <c r="D5073" s="1">
        <v>1.65</v>
      </c>
      <c r="E5073" s="1" t="s">
        <v>171</v>
      </c>
      <c r="F5073" s="1" t="s">
        <v>171</v>
      </c>
      <c r="G5073" s="1" t="s">
        <v>171</v>
      </c>
      <c r="H5073" s="1" t="str">
        <f>VLOOKUP(F5073,Countries!$A$1:$B$161,2,0)</f>
        <v>Korea (South)</v>
      </c>
    </row>
    <row r="5074" spans="1:8" x14ac:dyDescent="0.3">
      <c r="A5074" s="3">
        <v>46243.28019675926</v>
      </c>
      <c r="B5074" s="1">
        <v>38.61</v>
      </c>
      <c r="C5074" s="1">
        <v>33.4</v>
      </c>
      <c r="D5074" s="1">
        <v>2.0099999999999998</v>
      </c>
      <c r="E5074" s="1" t="s">
        <v>171</v>
      </c>
      <c r="F5074" s="1" t="s">
        <v>171</v>
      </c>
      <c r="G5074" s="1" t="s">
        <v>171</v>
      </c>
      <c r="H5074" s="1" t="str">
        <f>VLOOKUP(F5074,Countries!$A$1:$B$161,2,0)</f>
        <v>Korea (South)</v>
      </c>
    </row>
    <row r="5075" spans="1:8" x14ac:dyDescent="0.3">
      <c r="A5075" s="3">
        <v>46243.279687499999</v>
      </c>
      <c r="B5075" s="1">
        <v>30.88</v>
      </c>
      <c r="C5075" s="1">
        <v>26.72</v>
      </c>
      <c r="D5075" s="1">
        <v>1.65</v>
      </c>
      <c r="E5075" s="1" t="s">
        <v>171</v>
      </c>
      <c r="F5075" s="1" t="s">
        <v>171</v>
      </c>
      <c r="G5075" s="1" t="s">
        <v>171</v>
      </c>
      <c r="H5075" s="1" t="str">
        <f>VLOOKUP(F5075,Countries!$A$1:$B$161,2,0)</f>
        <v>Korea (South)</v>
      </c>
    </row>
    <row r="5076" spans="1:8" x14ac:dyDescent="0.3">
      <c r="A5076" s="3">
        <v>46243.278009259258</v>
      </c>
      <c r="B5076" s="1">
        <v>6.65</v>
      </c>
      <c r="C5076" s="1">
        <v>5.75</v>
      </c>
      <c r="D5076" s="1">
        <v>0.56000000000000005</v>
      </c>
      <c r="E5076" s="1" t="s">
        <v>171</v>
      </c>
      <c r="F5076" s="1" t="s">
        <v>171</v>
      </c>
      <c r="G5076" s="1" t="s">
        <v>171</v>
      </c>
      <c r="H5076" s="1" t="str">
        <f>VLOOKUP(F5076,Countries!$A$1:$B$161,2,0)</f>
        <v>Korea (South)</v>
      </c>
    </row>
    <row r="5077" spans="1:8" x14ac:dyDescent="0.3">
      <c r="A5077" s="3">
        <v>46243.277685185189</v>
      </c>
      <c r="B5077" s="1">
        <v>10.85</v>
      </c>
      <c r="C5077" s="1">
        <v>9.39</v>
      </c>
      <c r="D5077" s="1">
        <v>0.75</v>
      </c>
      <c r="E5077" s="1" t="s">
        <v>115</v>
      </c>
      <c r="F5077" s="1" t="s">
        <v>115</v>
      </c>
      <c r="G5077" s="1" t="s">
        <v>115</v>
      </c>
      <c r="H5077" s="1" t="str">
        <f>VLOOKUP(F5077,Countries!$A$1:$B$161,2,0)</f>
        <v>Switzerland</v>
      </c>
    </row>
    <row r="5078" spans="1:8" x14ac:dyDescent="0.3">
      <c r="A5078" s="3">
        <v>46243.271828703713</v>
      </c>
      <c r="B5078" s="1">
        <v>6.37</v>
      </c>
      <c r="C5078" s="1">
        <v>5.51</v>
      </c>
      <c r="D5078" s="1">
        <v>0.54</v>
      </c>
      <c r="E5078" s="1" t="s">
        <v>113</v>
      </c>
      <c r="F5078" s="1" t="s">
        <v>113</v>
      </c>
      <c r="G5078" s="1" t="s">
        <v>113</v>
      </c>
      <c r="H5078" s="1" t="str">
        <f>VLOOKUP(F5078,Countries!$A$1:$B$161,2,0)</f>
        <v>United States of America</v>
      </c>
    </row>
    <row r="5079" spans="1:8" x14ac:dyDescent="0.3">
      <c r="A5079" s="3">
        <v>46243.271770833337</v>
      </c>
      <c r="B5079" s="1">
        <v>2.2599999999999998</v>
      </c>
      <c r="C5079" s="1">
        <v>1.96</v>
      </c>
      <c r="D5079" s="1">
        <v>0.35</v>
      </c>
      <c r="E5079" s="1" t="s">
        <v>170</v>
      </c>
      <c r="F5079" s="1" t="s">
        <v>170</v>
      </c>
      <c r="G5079" s="1" t="s">
        <v>170</v>
      </c>
      <c r="H5079" s="1" t="str">
        <f>VLOOKUP(F5079,Countries!$A$1:$B$161,2,0)</f>
        <v>Kyrgyzstan</v>
      </c>
    </row>
    <row r="5080" spans="1:8" x14ac:dyDescent="0.3">
      <c r="A5080" s="3">
        <v>46243.258645833332</v>
      </c>
      <c r="B5080" s="1">
        <v>10.85</v>
      </c>
      <c r="C5080" s="1">
        <v>9.39</v>
      </c>
      <c r="D5080" s="1">
        <v>0.75</v>
      </c>
      <c r="E5080" s="1" t="s">
        <v>115</v>
      </c>
      <c r="F5080" s="1" t="s">
        <v>115</v>
      </c>
      <c r="G5080" s="1" t="s">
        <v>115</v>
      </c>
      <c r="H5080" s="1" t="str">
        <f>VLOOKUP(F5080,Countries!$A$1:$B$161,2,0)</f>
        <v>Switzerland</v>
      </c>
    </row>
    <row r="5081" spans="1:8" x14ac:dyDescent="0.3">
      <c r="A5081" s="3">
        <v>46243.231828703712</v>
      </c>
      <c r="B5081" s="1">
        <v>3.39</v>
      </c>
      <c r="C5081" s="1">
        <v>2.93</v>
      </c>
      <c r="D5081" s="1">
        <v>0.41</v>
      </c>
      <c r="E5081" s="1" t="s">
        <v>114</v>
      </c>
      <c r="F5081" s="1" t="s">
        <v>114</v>
      </c>
      <c r="G5081" s="1" t="s">
        <v>114</v>
      </c>
      <c r="H5081" s="1" t="str">
        <f>VLOOKUP(F5081,Countries!$A$1:$B$161,2,0)</f>
        <v>Philippines</v>
      </c>
    </row>
    <row r="5082" spans="1:8" x14ac:dyDescent="0.3">
      <c r="A5082" s="3">
        <v>46243.227939814817</v>
      </c>
      <c r="B5082" s="1">
        <v>6.37</v>
      </c>
      <c r="C5082" s="1">
        <v>5.51</v>
      </c>
      <c r="D5082" s="1">
        <v>0.54</v>
      </c>
      <c r="E5082" s="1" t="s">
        <v>113</v>
      </c>
      <c r="F5082" s="1" t="s">
        <v>113</v>
      </c>
      <c r="G5082" s="1" t="s">
        <v>113</v>
      </c>
      <c r="H5082" s="1" t="str">
        <f>VLOOKUP(F5082,Countries!$A$1:$B$161,2,0)</f>
        <v>United States of America</v>
      </c>
    </row>
    <row r="5083" spans="1:8" x14ac:dyDescent="0.3">
      <c r="A5083" s="3">
        <v>46243.203506944446</v>
      </c>
      <c r="B5083" s="1">
        <v>10.62</v>
      </c>
      <c r="C5083" s="1">
        <v>9.19</v>
      </c>
      <c r="D5083" s="1">
        <v>0.73</v>
      </c>
      <c r="E5083" s="1" t="s">
        <v>113</v>
      </c>
      <c r="F5083" s="1" t="s">
        <v>113</v>
      </c>
      <c r="G5083" s="1" t="s">
        <v>113</v>
      </c>
      <c r="H5083" s="1" t="str">
        <f>VLOOKUP(F5083,Countries!$A$1:$B$161,2,0)</f>
        <v>United States of America</v>
      </c>
    </row>
    <row r="5084" spans="1:8" x14ac:dyDescent="0.3">
      <c r="A5084" s="3">
        <v>46243.202824074076</v>
      </c>
      <c r="B5084" s="1">
        <v>7.48</v>
      </c>
      <c r="C5084" s="1">
        <v>6.47</v>
      </c>
      <c r="D5084" s="1">
        <v>0.54</v>
      </c>
      <c r="E5084" s="1" t="s">
        <v>119</v>
      </c>
      <c r="F5084" s="1" t="s">
        <v>119</v>
      </c>
      <c r="G5084" s="1" t="s">
        <v>119</v>
      </c>
      <c r="H5084" s="1" t="str">
        <f>VLOOKUP(F5084,Countries!$A$1:$B$161,2,0)</f>
        <v>Great Britain (United Kingdom)</v>
      </c>
    </row>
    <row r="5085" spans="1:8" x14ac:dyDescent="0.3">
      <c r="A5085" s="3">
        <v>46243.195115740738</v>
      </c>
      <c r="B5085" s="1">
        <v>17.010000000000002</v>
      </c>
      <c r="C5085" s="1">
        <v>14.72</v>
      </c>
      <c r="D5085" s="1">
        <v>1.02</v>
      </c>
      <c r="E5085" s="1" t="s">
        <v>113</v>
      </c>
      <c r="F5085" s="1" t="s">
        <v>113</v>
      </c>
      <c r="G5085" s="1" t="s">
        <v>113</v>
      </c>
      <c r="H5085" s="1" t="str">
        <f>VLOOKUP(F5085,Countries!$A$1:$B$161,2,0)</f>
        <v>United States of America</v>
      </c>
    </row>
    <row r="5086" spans="1:8" x14ac:dyDescent="0.3">
      <c r="A5086" s="3">
        <v>46243.190625000003</v>
      </c>
      <c r="B5086" s="1">
        <v>4.24</v>
      </c>
      <c r="C5086" s="1">
        <v>3.67</v>
      </c>
      <c r="D5086" s="1">
        <v>0.44</v>
      </c>
      <c r="E5086" s="1" t="s">
        <v>113</v>
      </c>
      <c r="F5086" s="1" t="s">
        <v>113</v>
      </c>
      <c r="G5086" s="1" t="s">
        <v>113</v>
      </c>
      <c r="H5086" s="1" t="str">
        <f>VLOOKUP(F5086,Countries!$A$1:$B$161,2,0)</f>
        <v>United States of America</v>
      </c>
    </row>
    <row r="5087" spans="1:8" x14ac:dyDescent="0.3">
      <c r="A5087" s="3">
        <v>46243.183587962973</v>
      </c>
      <c r="B5087" s="1">
        <v>6.37</v>
      </c>
      <c r="C5087" s="1">
        <v>5.51</v>
      </c>
      <c r="D5087" s="1">
        <v>0.54</v>
      </c>
      <c r="E5087" s="1" t="s">
        <v>113</v>
      </c>
      <c r="F5087" s="1" t="s">
        <v>113</v>
      </c>
      <c r="G5087" s="1" t="s">
        <v>113</v>
      </c>
      <c r="H5087" s="1" t="str">
        <f>VLOOKUP(F5087,Countries!$A$1:$B$161,2,0)</f>
        <v>United States of America</v>
      </c>
    </row>
    <row r="5088" spans="1:8" x14ac:dyDescent="0.3">
      <c r="A5088" s="3">
        <v>46243.181481481479</v>
      </c>
      <c r="B5088" s="1">
        <v>6.37</v>
      </c>
      <c r="C5088" s="1">
        <v>5.51</v>
      </c>
      <c r="D5088" s="1">
        <v>0.54</v>
      </c>
      <c r="E5088" s="1" t="s">
        <v>113</v>
      </c>
      <c r="F5088" s="1" t="s">
        <v>113</v>
      </c>
      <c r="G5088" s="1" t="s">
        <v>113</v>
      </c>
      <c r="H5088" s="1" t="str">
        <f>VLOOKUP(F5088,Countries!$A$1:$B$161,2,0)</f>
        <v>United States of America</v>
      </c>
    </row>
    <row r="5089" spans="1:8" x14ac:dyDescent="0.3">
      <c r="A5089" s="3">
        <v>46243.179178240738</v>
      </c>
      <c r="B5089" s="1">
        <v>6.37</v>
      </c>
      <c r="C5089" s="1">
        <v>5.51</v>
      </c>
      <c r="D5089" s="1">
        <v>0.54</v>
      </c>
      <c r="E5089" s="1" t="s">
        <v>113</v>
      </c>
      <c r="F5089" s="1" t="s">
        <v>113</v>
      </c>
      <c r="G5089" s="1" t="s">
        <v>113</v>
      </c>
      <c r="H5089" s="1" t="str">
        <f>VLOOKUP(F5089,Countries!$A$1:$B$161,2,0)</f>
        <v>United States of America</v>
      </c>
    </row>
    <row r="5090" spans="1:8" x14ac:dyDescent="0.3">
      <c r="A5090" s="3">
        <v>46243.145937499998</v>
      </c>
      <c r="B5090" s="1">
        <v>1.99</v>
      </c>
      <c r="C5090" s="1">
        <v>1.72</v>
      </c>
      <c r="D5090" s="1">
        <v>0.34</v>
      </c>
      <c r="E5090" s="1" t="s">
        <v>150</v>
      </c>
      <c r="F5090" s="1" t="s">
        <v>150</v>
      </c>
      <c r="G5090" s="1" t="s">
        <v>150</v>
      </c>
      <c r="H5090" s="1" t="str">
        <f>VLOOKUP(F5090,Countries!$A$1:$B$161,2,0)</f>
        <v>El Salvador</v>
      </c>
    </row>
    <row r="5091" spans="1:8" x14ac:dyDescent="0.3">
      <c r="A5091" s="3">
        <v>46243.135671296302</v>
      </c>
      <c r="B5091" s="1">
        <v>17.36</v>
      </c>
      <c r="C5091" s="1">
        <v>15.02</v>
      </c>
      <c r="D5091" s="1">
        <v>0.78</v>
      </c>
      <c r="E5091" s="1" t="s">
        <v>123</v>
      </c>
      <c r="F5091" s="1" t="s">
        <v>123</v>
      </c>
      <c r="G5091" s="1" t="s">
        <v>123</v>
      </c>
      <c r="H5091" s="1" t="str">
        <f>VLOOKUP(F5091,Countries!$A$1:$B$161,2,0)</f>
        <v>France</v>
      </c>
    </row>
    <row r="5092" spans="1:8" x14ac:dyDescent="0.3">
      <c r="A5092" s="3">
        <v>46243.132199074083</v>
      </c>
      <c r="B5092" s="1">
        <v>2.99</v>
      </c>
      <c r="C5092" s="1">
        <v>2.59</v>
      </c>
      <c r="D5092" s="1">
        <v>0.38</v>
      </c>
      <c r="E5092" s="1" t="s">
        <v>187</v>
      </c>
      <c r="F5092" s="1" t="s">
        <v>187</v>
      </c>
      <c r="G5092" s="1" t="s">
        <v>187</v>
      </c>
      <c r="H5092" s="1" t="str">
        <f>VLOOKUP(F5092,Countries!$A$1:$B$161,2,0)</f>
        <v>Jamaica</v>
      </c>
    </row>
    <row r="5093" spans="1:8" x14ac:dyDescent="0.3">
      <c r="A5093" s="3">
        <v>46243.129421296297</v>
      </c>
      <c r="B5093" s="1">
        <v>6.37</v>
      </c>
      <c r="C5093" s="1">
        <v>5.51</v>
      </c>
      <c r="D5093" s="1">
        <v>0.54</v>
      </c>
      <c r="E5093" s="1" t="s">
        <v>113</v>
      </c>
      <c r="F5093" s="1" t="s">
        <v>113</v>
      </c>
      <c r="G5093" s="1" t="s">
        <v>113</v>
      </c>
      <c r="H5093" s="1" t="str">
        <f>VLOOKUP(F5093,Countries!$A$1:$B$161,2,0)</f>
        <v>United States of America</v>
      </c>
    </row>
    <row r="5094" spans="1:8" x14ac:dyDescent="0.3">
      <c r="A5094" s="3">
        <v>46243.128993055558</v>
      </c>
      <c r="B5094" s="1">
        <v>22.18</v>
      </c>
      <c r="C5094" s="1">
        <v>19.190000000000001</v>
      </c>
      <c r="D5094" s="1">
        <v>1.25</v>
      </c>
      <c r="E5094" s="1" t="s">
        <v>113</v>
      </c>
      <c r="F5094" s="1" t="s">
        <v>113</v>
      </c>
      <c r="G5094" s="1" t="s">
        <v>113</v>
      </c>
      <c r="H5094" s="1" t="str">
        <f>VLOOKUP(F5094,Countries!$A$1:$B$161,2,0)</f>
        <v>United States of America</v>
      </c>
    </row>
    <row r="5095" spans="1:8" x14ac:dyDescent="0.3">
      <c r="A5095" s="3">
        <v>46243.116747685177</v>
      </c>
      <c r="B5095" s="1">
        <v>7.99</v>
      </c>
      <c r="C5095" s="1">
        <v>6.91</v>
      </c>
      <c r="D5095" s="1">
        <v>0.61</v>
      </c>
      <c r="E5095" s="1" t="s">
        <v>185</v>
      </c>
      <c r="F5095" s="1" t="s">
        <v>185</v>
      </c>
      <c r="G5095" s="1" t="s">
        <v>185</v>
      </c>
      <c r="H5095" s="1" t="str">
        <f>VLOOKUP(F5095,Countries!$A$1:$B$161,2,0)</f>
        <v>Republic of Serbia</v>
      </c>
    </row>
    <row r="5096" spans="1:8" x14ac:dyDescent="0.3">
      <c r="A5096" s="3">
        <v>46243.109872685192</v>
      </c>
      <c r="B5096" s="1">
        <v>2.2599999999999998</v>
      </c>
      <c r="C5096" s="1">
        <v>1.96</v>
      </c>
      <c r="D5096" s="1">
        <v>0.35</v>
      </c>
      <c r="E5096" s="1" t="s">
        <v>218</v>
      </c>
      <c r="F5096" s="1" t="s">
        <v>196</v>
      </c>
      <c r="G5096" s="1" t="s">
        <v>196</v>
      </c>
      <c r="H5096" s="1" t="str">
        <f>VLOOKUP(F5096,Countries!$A$1:$B$161,2,0)</f>
        <v>Kazakhstan</v>
      </c>
    </row>
    <row r="5097" spans="1:8" x14ac:dyDescent="0.3">
      <c r="A5097" s="3">
        <v>46243.097071759257</v>
      </c>
      <c r="B5097" s="1">
        <v>6.37</v>
      </c>
      <c r="C5097" s="1">
        <v>5.51</v>
      </c>
      <c r="D5097" s="1">
        <v>0.54</v>
      </c>
      <c r="E5097" s="1" t="s">
        <v>113</v>
      </c>
      <c r="F5097" s="1" t="s">
        <v>113</v>
      </c>
      <c r="G5097" s="1" t="s">
        <v>113</v>
      </c>
      <c r="H5097" s="1" t="str">
        <f>VLOOKUP(F5097,Countries!$A$1:$B$161,2,0)</f>
        <v>United States of America</v>
      </c>
    </row>
    <row r="5098" spans="1:8" x14ac:dyDescent="0.3">
      <c r="A5098" s="3">
        <v>46243.077372685177</v>
      </c>
      <c r="B5098" s="1">
        <v>6.37</v>
      </c>
      <c r="C5098" s="1">
        <v>5.51</v>
      </c>
      <c r="D5098" s="1">
        <v>0.54</v>
      </c>
      <c r="E5098" s="1" t="s">
        <v>113</v>
      </c>
      <c r="F5098" s="1" t="s">
        <v>113</v>
      </c>
      <c r="G5098" s="1" t="s">
        <v>113</v>
      </c>
      <c r="H5098" s="1" t="str">
        <f>VLOOKUP(F5098,Countries!$A$1:$B$161,2,0)</f>
        <v>United States of America</v>
      </c>
    </row>
    <row r="5099" spans="1:8" x14ac:dyDescent="0.3">
      <c r="A5099" s="3">
        <v>46243.073923611111</v>
      </c>
      <c r="B5099" s="1">
        <v>6.37</v>
      </c>
      <c r="C5099" s="1">
        <v>5.51</v>
      </c>
      <c r="D5099" s="1">
        <v>0.54</v>
      </c>
      <c r="E5099" s="1" t="s">
        <v>113</v>
      </c>
      <c r="F5099" s="1" t="s">
        <v>113</v>
      </c>
      <c r="G5099" s="1" t="s">
        <v>113</v>
      </c>
      <c r="H5099" s="1" t="str">
        <f>VLOOKUP(F5099,Countries!$A$1:$B$161,2,0)</f>
        <v>United States of America</v>
      </c>
    </row>
    <row r="5100" spans="1:8" x14ac:dyDescent="0.3">
      <c r="A5100" s="3">
        <v>46243.066967592589</v>
      </c>
      <c r="B5100" s="1">
        <v>3.18</v>
      </c>
      <c r="C5100" s="1">
        <v>2.75</v>
      </c>
      <c r="D5100" s="1">
        <v>0.4</v>
      </c>
      <c r="E5100" s="1" t="s">
        <v>113</v>
      </c>
      <c r="F5100" s="1" t="s">
        <v>113</v>
      </c>
      <c r="G5100" s="1" t="s">
        <v>113</v>
      </c>
      <c r="H5100" s="1" t="str">
        <f>VLOOKUP(F5100,Countries!$A$1:$B$161,2,0)</f>
        <v>United States of America</v>
      </c>
    </row>
    <row r="5101" spans="1:8" x14ac:dyDescent="0.3">
      <c r="A5101" s="3">
        <v>46243.065127314818</v>
      </c>
      <c r="B5101" s="1">
        <v>2.09</v>
      </c>
      <c r="C5101" s="1">
        <v>1.81</v>
      </c>
      <c r="D5101" s="1">
        <v>0.35</v>
      </c>
      <c r="E5101" s="1" t="s">
        <v>132</v>
      </c>
      <c r="F5101" s="1" t="s">
        <v>132</v>
      </c>
      <c r="G5101" s="1" t="s">
        <v>132</v>
      </c>
      <c r="H5101" s="1" t="str">
        <f>VLOOKUP(F5101,Countries!$A$1:$B$161,2,0)</f>
        <v>Canada</v>
      </c>
    </row>
    <row r="5102" spans="1:8" x14ac:dyDescent="0.3">
      <c r="A5102" s="3">
        <v>46243.064097222217</v>
      </c>
      <c r="B5102" s="1">
        <v>6.37</v>
      </c>
      <c r="C5102" s="1">
        <v>5.51</v>
      </c>
      <c r="D5102" s="1">
        <v>0.54</v>
      </c>
      <c r="E5102" s="1" t="s">
        <v>113</v>
      </c>
      <c r="F5102" s="1" t="s">
        <v>113</v>
      </c>
      <c r="G5102" s="1" t="s">
        <v>113</v>
      </c>
      <c r="H5102" s="1" t="str">
        <f>VLOOKUP(F5102,Countries!$A$1:$B$161,2,0)</f>
        <v>United States of America</v>
      </c>
    </row>
    <row r="5103" spans="1:8" x14ac:dyDescent="0.3">
      <c r="A5103" s="3">
        <v>46243.05296296296</v>
      </c>
      <c r="B5103" s="1">
        <v>6.37</v>
      </c>
      <c r="C5103" s="1">
        <v>5.51</v>
      </c>
      <c r="D5103" s="1">
        <v>0.54</v>
      </c>
      <c r="E5103" s="1" t="s">
        <v>113</v>
      </c>
      <c r="F5103" s="1" t="s">
        <v>113</v>
      </c>
      <c r="G5103" s="1" t="s">
        <v>113</v>
      </c>
      <c r="H5103" s="1" t="str">
        <f>VLOOKUP(F5103,Countries!$A$1:$B$161,2,0)</f>
        <v>United States of America</v>
      </c>
    </row>
    <row r="5104" spans="1:8" x14ac:dyDescent="0.3">
      <c r="A5104" s="3">
        <v>46243.048020833332</v>
      </c>
      <c r="B5104" s="1">
        <v>7.21</v>
      </c>
      <c r="C5104" s="1">
        <v>6.24</v>
      </c>
      <c r="D5104" s="1">
        <v>0.56999999999999995</v>
      </c>
      <c r="E5104" s="1" t="s">
        <v>165</v>
      </c>
      <c r="F5104" s="1" t="s">
        <v>165</v>
      </c>
      <c r="G5104" s="1" t="s">
        <v>165</v>
      </c>
      <c r="H5104" s="1" t="str">
        <f>VLOOKUP(F5104,Countries!$A$1:$B$161,2,0)</f>
        <v>Israel</v>
      </c>
    </row>
    <row r="5105" spans="1:8" x14ac:dyDescent="0.3">
      <c r="A5105" s="3">
        <v>46243.047789351847</v>
      </c>
      <c r="B5105" s="1">
        <v>1.99</v>
      </c>
      <c r="C5105" s="1">
        <v>1.72</v>
      </c>
      <c r="D5105" s="1">
        <v>0.34</v>
      </c>
      <c r="E5105" s="1" t="s">
        <v>126</v>
      </c>
      <c r="F5105" s="1" t="s">
        <v>126</v>
      </c>
      <c r="G5105" s="1" t="s">
        <v>126</v>
      </c>
      <c r="H5105" s="1" t="str">
        <f>VLOOKUP(F5105,Countries!$A$1:$B$161,2,0)</f>
        <v>Cambodia</v>
      </c>
    </row>
    <row r="5106" spans="1:8" x14ac:dyDescent="0.3">
      <c r="A5106" s="3">
        <v>46243.04483796296</v>
      </c>
      <c r="B5106" s="1">
        <v>22.18</v>
      </c>
      <c r="C5106" s="1">
        <v>19.190000000000001</v>
      </c>
      <c r="D5106" s="1">
        <v>1.25</v>
      </c>
      <c r="E5106" s="1" t="s">
        <v>113</v>
      </c>
      <c r="F5106" s="1" t="s">
        <v>113</v>
      </c>
      <c r="G5106" s="1" t="s">
        <v>113</v>
      </c>
      <c r="H5106" s="1" t="str">
        <f>VLOOKUP(F5106,Countries!$A$1:$B$161,2,0)</f>
        <v>United States of America</v>
      </c>
    </row>
    <row r="5107" spans="1:8" x14ac:dyDescent="0.3">
      <c r="A5107" s="3">
        <v>46243.03869212963</v>
      </c>
      <c r="B5107" s="1">
        <v>6.37</v>
      </c>
      <c r="C5107" s="1">
        <v>5.51</v>
      </c>
      <c r="D5107" s="1">
        <v>0.54</v>
      </c>
      <c r="E5107" s="1" t="s">
        <v>113</v>
      </c>
      <c r="F5107" s="1" t="s">
        <v>113</v>
      </c>
      <c r="G5107" s="1" t="s">
        <v>113</v>
      </c>
      <c r="H5107" s="1" t="str">
        <f>VLOOKUP(F5107,Countries!$A$1:$B$161,2,0)</f>
        <v>United States of America</v>
      </c>
    </row>
    <row r="5108" spans="1:8" x14ac:dyDescent="0.3">
      <c r="A5108" s="3">
        <v>46243.030902777777</v>
      </c>
      <c r="B5108" s="1">
        <v>2.99</v>
      </c>
      <c r="C5108" s="1">
        <v>2.59</v>
      </c>
      <c r="D5108" s="1">
        <v>0.38</v>
      </c>
      <c r="E5108" s="1"/>
      <c r="F5108" s="1" t="s">
        <v>113</v>
      </c>
      <c r="G5108" s="1" t="s">
        <v>113</v>
      </c>
      <c r="H5108" s="1" t="str">
        <f>VLOOKUP(F5108,Countries!$A$1:$B$161,2,0)</f>
        <v>United States of America</v>
      </c>
    </row>
    <row r="5109" spans="1:8" x14ac:dyDescent="0.3">
      <c r="A5109" s="3">
        <v>46243.025555555563</v>
      </c>
      <c r="B5109" s="1">
        <v>14.77</v>
      </c>
      <c r="C5109" s="1">
        <v>12.78</v>
      </c>
      <c r="D5109" s="1">
        <v>0.93</v>
      </c>
      <c r="E5109" s="1" t="s">
        <v>113</v>
      </c>
      <c r="F5109" s="1" t="s">
        <v>113</v>
      </c>
      <c r="G5109" s="1" t="s">
        <v>113</v>
      </c>
      <c r="H5109" s="1" t="str">
        <f>VLOOKUP(F5109,Countries!$A$1:$B$161,2,0)</f>
        <v>United States of America</v>
      </c>
    </row>
    <row r="5110" spans="1:8" x14ac:dyDescent="0.3">
      <c r="A5110" s="3">
        <v>46243.023136574076</v>
      </c>
      <c r="B5110" s="1">
        <v>7.48</v>
      </c>
      <c r="C5110" s="1">
        <v>6.47</v>
      </c>
      <c r="D5110" s="1">
        <v>0.48</v>
      </c>
      <c r="E5110" s="1" t="s">
        <v>123</v>
      </c>
      <c r="F5110" s="1" t="s">
        <v>123</v>
      </c>
      <c r="G5110" s="1" t="s">
        <v>123</v>
      </c>
      <c r="H5110" s="1" t="str">
        <f>VLOOKUP(F5110,Countries!$A$1:$B$161,2,0)</f>
        <v>France</v>
      </c>
    </row>
    <row r="5111" spans="1:8" x14ac:dyDescent="0.3">
      <c r="A5111" s="3">
        <v>46243.015682870369</v>
      </c>
      <c r="B5111" s="1">
        <v>3.18</v>
      </c>
      <c r="C5111" s="1">
        <v>2.75</v>
      </c>
      <c r="D5111" s="1">
        <v>0.4</v>
      </c>
      <c r="E5111" s="1" t="s">
        <v>113</v>
      </c>
      <c r="F5111" s="1" t="s">
        <v>113</v>
      </c>
      <c r="G5111" s="1" t="s">
        <v>113</v>
      </c>
      <c r="H5111" s="1" t="str">
        <f>VLOOKUP(F5111,Countries!$A$1:$B$161,2,0)</f>
        <v>United States of America</v>
      </c>
    </row>
    <row r="5112" spans="1:8" x14ac:dyDescent="0.3">
      <c r="A5112" s="3">
        <v>46243.015115740738</v>
      </c>
      <c r="B5112" s="1">
        <v>16.34</v>
      </c>
      <c r="C5112" s="1">
        <v>14.14</v>
      </c>
      <c r="D5112" s="1">
        <v>0.99</v>
      </c>
      <c r="E5112" s="1" t="s">
        <v>129</v>
      </c>
      <c r="F5112" s="1" t="s">
        <v>163</v>
      </c>
      <c r="G5112" s="1" t="s">
        <v>163</v>
      </c>
      <c r="H5112" s="1" t="str">
        <f>VLOOKUP(F5112,Countries!$A$1:$B$161,2,0)</f>
        <v>Saudi Arabia</v>
      </c>
    </row>
    <row r="5113" spans="1:8" x14ac:dyDescent="0.3">
      <c r="A5113" s="3">
        <v>46243.014039351852</v>
      </c>
      <c r="B5113" s="1">
        <v>19.98</v>
      </c>
      <c r="C5113" s="1">
        <v>17.29</v>
      </c>
      <c r="D5113" s="1">
        <v>1.03</v>
      </c>
      <c r="E5113" s="1" t="s">
        <v>119</v>
      </c>
      <c r="F5113" s="1" t="s">
        <v>119</v>
      </c>
      <c r="G5113" s="1" t="s">
        <v>119</v>
      </c>
      <c r="H5113" s="1" t="str">
        <f>VLOOKUP(F5113,Countries!$A$1:$B$161,2,0)</f>
        <v>Great Britain (United Kingdom)</v>
      </c>
    </row>
    <row r="5114" spans="1:8" x14ac:dyDescent="0.3">
      <c r="A5114" s="3">
        <v>46243.013495370367</v>
      </c>
      <c r="B5114" s="1">
        <v>32.700000000000003</v>
      </c>
      <c r="C5114" s="1">
        <v>28.29</v>
      </c>
      <c r="D5114" s="1">
        <v>1.74</v>
      </c>
      <c r="E5114" s="1" t="s">
        <v>129</v>
      </c>
      <c r="F5114" s="1" t="s">
        <v>163</v>
      </c>
      <c r="G5114" s="1" t="s">
        <v>163</v>
      </c>
      <c r="H5114" s="1" t="str">
        <f>VLOOKUP(F5114,Countries!$A$1:$B$161,2,0)</f>
        <v>Saudi Arabia</v>
      </c>
    </row>
    <row r="5115" spans="1:8" x14ac:dyDescent="0.3">
      <c r="A5115" s="3">
        <v>46243.012164351851</v>
      </c>
      <c r="B5115" s="1">
        <v>3.99</v>
      </c>
      <c r="C5115" s="1">
        <v>3.45</v>
      </c>
      <c r="D5115" s="1">
        <v>0.37</v>
      </c>
      <c r="E5115" s="1" t="s">
        <v>137</v>
      </c>
      <c r="F5115" s="1" t="s">
        <v>137</v>
      </c>
      <c r="G5115" s="1" t="s">
        <v>137</v>
      </c>
      <c r="H5115" s="1" t="str">
        <f>VLOOKUP(F5115,Countries!$A$1:$B$161,2,0)</f>
        <v>Poland</v>
      </c>
    </row>
    <row r="5116" spans="1:8" x14ac:dyDescent="0.3">
      <c r="A5116" s="3">
        <v>46243.002025462964</v>
      </c>
      <c r="B5116" s="1">
        <v>4.2</v>
      </c>
      <c r="C5116" s="1">
        <v>3.63</v>
      </c>
      <c r="D5116" s="1">
        <v>0.44</v>
      </c>
      <c r="E5116" s="1" t="s">
        <v>132</v>
      </c>
      <c r="F5116" s="1" t="s">
        <v>132</v>
      </c>
      <c r="G5116" s="1" t="s">
        <v>132</v>
      </c>
      <c r="H5116" s="1" t="str">
        <f>VLOOKUP(F5116,Countries!$A$1:$B$161,2,0)</f>
        <v>Canada</v>
      </c>
    </row>
    <row r="5117" spans="1:8" x14ac:dyDescent="0.3">
      <c r="A5117" s="3">
        <v>46242.991701388892</v>
      </c>
      <c r="B5117" s="1">
        <v>1.99</v>
      </c>
      <c r="C5117" s="1">
        <v>1.72</v>
      </c>
      <c r="D5117" s="1">
        <v>0.31</v>
      </c>
      <c r="E5117" s="1" t="s">
        <v>219</v>
      </c>
      <c r="F5117" s="1" t="s">
        <v>123</v>
      </c>
      <c r="G5117" s="1" t="s">
        <v>123</v>
      </c>
      <c r="H5117" s="1" t="str">
        <f>VLOOKUP(F5117,Countries!$A$1:$B$161,2,0)</f>
        <v>France</v>
      </c>
    </row>
    <row r="5118" spans="1:8" x14ac:dyDescent="0.3">
      <c r="A5118" s="3">
        <v>46242.981307870366</v>
      </c>
      <c r="B5118" s="1">
        <v>5.99</v>
      </c>
      <c r="C5118" s="1">
        <v>5.18</v>
      </c>
      <c r="D5118" s="1">
        <v>0.52</v>
      </c>
      <c r="E5118" s="1"/>
      <c r="F5118" s="1" t="s">
        <v>113</v>
      </c>
      <c r="G5118" s="1" t="s">
        <v>113</v>
      </c>
      <c r="H5118" s="1" t="str">
        <f>VLOOKUP(F5118,Countries!$A$1:$B$161,2,0)</f>
        <v>United States of America</v>
      </c>
    </row>
    <row r="5119" spans="1:8" x14ac:dyDescent="0.3">
      <c r="A5119" s="3">
        <v>46242.97215277778</v>
      </c>
      <c r="B5119" s="1">
        <v>2.99</v>
      </c>
      <c r="C5119" s="1">
        <v>2.59</v>
      </c>
      <c r="D5119" s="1">
        <v>0.38</v>
      </c>
      <c r="E5119" s="1" t="s">
        <v>113</v>
      </c>
      <c r="F5119" s="1" t="s">
        <v>113</v>
      </c>
      <c r="G5119" s="1" t="s">
        <v>113</v>
      </c>
      <c r="H5119" s="1" t="str">
        <f>VLOOKUP(F5119,Countries!$A$1:$B$161,2,0)</f>
        <v>United States of America</v>
      </c>
    </row>
    <row r="5120" spans="1:8" x14ac:dyDescent="0.3">
      <c r="A5120" s="3">
        <v>46242.967951388891</v>
      </c>
      <c r="B5120" s="1">
        <v>6.37</v>
      </c>
      <c r="C5120" s="1">
        <v>5.51</v>
      </c>
      <c r="D5120" s="1">
        <v>0.54</v>
      </c>
      <c r="E5120" s="1" t="s">
        <v>113</v>
      </c>
      <c r="F5120" s="1" t="s">
        <v>113</v>
      </c>
      <c r="G5120" s="1" t="s">
        <v>113</v>
      </c>
      <c r="H5120" s="1" t="str">
        <f>VLOOKUP(F5120,Countries!$A$1:$B$161,2,0)</f>
        <v>United States of America</v>
      </c>
    </row>
    <row r="5121" spans="1:8" x14ac:dyDescent="0.3">
      <c r="A5121" s="3">
        <v>46242.964282407411</v>
      </c>
      <c r="B5121" s="1">
        <v>6.3</v>
      </c>
      <c r="C5121" s="1">
        <v>5.45</v>
      </c>
      <c r="D5121" s="1">
        <v>0.54</v>
      </c>
      <c r="E5121" s="1" t="s">
        <v>132</v>
      </c>
      <c r="F5121" s="1" t="s">
        <v>132</v>
      </c>
      <c r="G5121" s="1" t="s">
        <v>132</v>
      </c>
      <c r="H5121" s="1" t="str">
        <f>VLOOKUP(F5121,Countries!$A$1:$B$161,2,0)</f>
        <v>Canada</v>
      </c>
    </row>
    <row r="5122" spans="1:8" x14ac:dyDescent="0.3">
      <c r="A5122" s="3">
        <v>46242.96193287037</v>
      </c>
      <c r="B5122" s="1">
        <v>85.09</v>
      </c>
      <c r="C5122" s="1">
        <v>73.62</v>
      </c>
      <c r="D5122" s="1">
        <v>4.1100000000000003</v>
      </c>
      <c r="E5122" s="1" t="s">
        <v>113</v>
      </c>
      <c r="F5122" s="1" t="s">
        <v>113</v>
      </c>
      <c r="G5122" s="1" t="s">
        <v>113</v>
      </c>
      <c r="H5122" s="1" t="str">
        <f>VLOOKUP(F5122,Countries!$A$1:$B$161,2,0)</f>
        <v>United States of America</v>
      </c>
    </row>
    <row r="5123" spans="1:8" x14ac:dyDescent="0.3">
      <c r="A5123" s="3">
        <v>46242.959756944438</v>
      </c>
      <c r="B5123" s="1">
        <v>6.58</v>
      </c>
      <c r="C5123" s="1">
        <v>5.69</v>
      </c>
      <c r="D5123" s="1">
        <v>0.54</v>
      </c>
      <c r="E5123" s="1" t="s">
        <v>152</v>
      </c>
      <c r="F5123" s="1" t="s">
        <v>152</v>
      </c>
      <c r="G5123" s="1" t="s">
        <v>152</v>
      </c>
      <c r="H5123" s="1" t="str">
        <f>VLOOKUP(F5123,Countries!$A$1:$B$161,2,0)</f>
        <v>Singapore</v>
      </c>
    </row>
    <row r="5124" spans="1:8" x14ac:dyDescent="0.3">
      <c r="A5124" s="3">
        <v>46242.937199074076</v>
      </c>
      <c r="B5124" s="1">
        <v>3.88</v>
      </c>
      <c r="C5124" s="1">
        <v>3.36</v>
      </c>
      <c r="D5124" s="1">
        <v>0.37</v>
      </c>
      <c r="E5124" s="1" t="s">
        <v>137</v>
      </c>
      <c r="F5124" s="1" t="s">
        <v>137</v>
      </c>
      <c r="G5124" s="1" t="s">
        <v>137</v>
      </c>
      <c r="H5124" s="1" t="str">
        <f>VLOOKUP(F5124,Countries!$A$1:$B$161,2,0)</f>
        <v>Poland</v>
      </c>
    </row>
    <row r="5125" spans="1:8" x14ac:dyDescent="0.3">
      <c r="A5125" s="3">
        <v>46242.935601851852</v>
      </c>
      <c r="B5125" s="1">
        <v>11.1</v>
      </c>
      <c r="C5125" s="1">
        <v>9.6</v>
      </c>
      <c r="D5125" s="1">
        <v>0.75</v>
      </c>
      <c r="E5125" s="1" t="s">
        <v>130</v>
      </c>
      <c r="F5125" s="1" t="s">
        <v>130</v>
      </c>
      <c r="G5125" s="1" t="s">
        <v>130</v>
      </c>
      <c r="H5125" s="1" t="str">
        <f>VLOOKUP(F5125,Countries!$A$1:$B$161,2,0)</f>
        <v>Australia</v>
      </c>
    </row>
    <row r="5126" spans="1:8" x14ac:dyDescent="0.3">
      <c r="A5126" s="3">
        <v>46242.934884259259</v>
      </c>
      <c r="B5126" s="1">
        <v>10.62</v>
      </c>
      <c r="C5126" s="1">
        <v>9.19</v>
      </c>
      <c r="D5126" s="1">
        <v>0.73</v>
      </c>
      <c r="E5126" s="1" t="s">
        <v>113</v>
      </c>
      <c r="F5126" s="1" t="s">
        <v>113</v>
      </c>
      <c r="G5126" s="1" t="s">
        <v>113</v>
      </c>
      <c r="H5126" s="1" t="str">
        <f>VLOOKUP(F5126,Countries!$A$1:$B$161,2,0)</f>
        <v>United States of America</v>
      </c>
    </row>
    <row r="5127" spans="1:8" x14ac:dyDescent="0.3">
      <c r="A5127" s="3">
        <v>46242.932939814818</v>
      </c>
      <c r="B5127" s="1">
        <v>2.48</v>
      </c>
      <c r="C5127" s="1">
        <v>2.15</v>
      </c>
      <c r="D5127" s="1">
        <v>0.34</v>
      </c>
      <c r="E5127" s="1" t="s">
        <v>119</v>
      </c>
      <c r="F5127" s="1" t="s">
        <v>119</v>
      </c>
      <c r="G5127" s="1" t="s">
        <v>119</v>
      </c>
      <c r="H5127" s="1" t="str">
        <f>VLOOKUP(F5127,Countries!$A$1:$B$161,2,0)</f>
        <v>Great Britain (United Kingdom)</v>
      </c>
    </row>
    <row r="5128" spans="1:8" x14ac:dyDescent="0.3">
      <c r="A5128" s="3">
        <v>46242.932326388887</v>
      </c>
      <c r="B5128" s="1">
        <v>5.99</v>
      </c>
      <c r="C5128" s="1">
        <v>5.18</v>
      </c>
      <c r="D5128" s="1">
        <v>0.52</v>
      </c>
      <c r="E5128" s="1" t="s">
        <v>113</v>
      </c>
      <c r="F5128" s="1" t="s">
        <v>113</v>
      </c>
      <c r="G5128" s="1" t="s">
        <v>113</v>
      </c>
      <c r="H5128" s="1" t="str">
        <f>VLOOKUP(F5128,Countries!$A$1:$B$161,2,0)</f>
        <v>United States of America</v>
      </c>
    </row>
    <row r="5129" spans="1:8" x14ac:dyDescent="0.3">
      <c r="A5129" s="3">
        <v>46242.927164351851</v>
      </c>
      <c r="B5129" s="1">
        <v>10.62</v>
      </c>
      <c r="C5129" s="1">
        <v>9.19</v>
      </c>
      <c r="D5129" s="1">
        <v>0.73</v>
      </c>
      <c r="E5129" s="1" t="s">
        <v>113</v>
      </c>
      <c r="F5129" s="1" t="s">
        <v>113</v>
      </c>
      <c r="G5129" s="1" t="s">
        <v>113</v>
      </c>
      <c r="H5129" s="1" t="str">
        <f>VLOOKUP(F5129,Countries!$A$1:$B$161,2,0)</f>
        <v>United States of America</v>
      </c>
    </row>
    <row r="5130" spans="1:8" x14ac:dyDescent="0.3">
      <c r="A5130" s="3">
        <v>46242.924166666657</v>
      </c>
      <c r="B5130" s="1">
        <v>34.75</v>
      </c>
      <c r="C5130" s="1">
        <v>30.07</v>
      </c>
      <c r="D5130" s="1">
        <v>1.3</v>
      </c>
      <c r="E5130" s="1" t="s">
        <v>123</v>
      </c>
      <c r="F5130" s="1" t="s">
        <v>123</v>
      </c>
      <c r="G5130" s="1" t="s">
        <v>123</v>
      </c>
      <c r="H5130" s="1" t="str">
        <f>VLOOKUP(F5130,Countries!$A$1:$B$161,2,0)</f>
        <v>France</v>
      </c>
    </row>
    <row r="5131" spans="1:8" x14ac:dyDescent="0.3">
      <c r="A5131" s="3">
        <v>46242.91883101852</v>
      </c>
      <c r="B5131" s="1">
        <v>1.99</v>
      </c>
      <c r="C5131" s="1">
        <v>1.72</v>
      </c>
      <c r="D5131" s="1">
        <v>0.34</v>
      </c>
      <c r="E5131" s="1" t="s">
        <v>202</v>
      </c>
      <c r="F5131" s="1" t="s">
        <v>202</v>
      </c>
      <c r="G5131" s="1" t="s">
        <v>202</v>
      </c>
      <c r="H5131" s="1" t="str">
        <f>VLOOKUP(F5131,Countries!$A$1:$B$161,2,0)</f>
        <v>Lebanon</v>
      </c>
    </row>
    <row r="5132" spans="1:8" x14ac:dyDescent="0.3">
      <c r="A5132" s="3">
        <v>46242.91028935185</v>
      </c>
      <c r="B5132" s="1">
        <v>7.48</v>
      </c>
      <c r="C5132" s="1">
        <v>6.47</v>
      </c>
      <c r="D5132" s="1">
        <v>0.54</v>
      </c>
      <c r="E5132" s="1" t="s">
        <v>119</v>
      </c>
      <c r="F5132" s="1" t="s">
        <v>119</v>
      </c>
      <c r="G5132" s="1" t="s">
        <v>119</v>
      </c>
      <c r="H5132" s="1" t="str">
        <f>VLOOKUP(F5132,Countries!$A$1:$B$161,2,0)</f>
        <v>Great Britain (United Kingdom)</v>
      </c>
    </row>
    <row r="5133" spans="1:8" x14ac:dyDescent="0.3">
      <c r="A5133" s="3">
        <v>46242.900868055563</v>
      </c>
      <c r="B5133" s="1">
        <v>2.99</v>
      </c>
      <c r="C5133" s="1">
        <v>2.59</v>
      </c>
      <c r="D5133" s="1">
        <v>0.38</v>
      </c>
      <c r="E5133" s="1" t="s">
        <v>142</v>
      </c>
      <c r="F5133" s="1" t="s">
        <v>142</v>
      </c>
      <c r="G5133" s="1" t="s">
        <v>142</v>
      </c>
      <c r="H5133" s="1" t="str">
        <f>VLOOKUP(F5133,Countries!$A$1:$B$161,2,0)</f>
        <v>India</v>
      </c>
    </row>
    <row r="5134" spans="1:8" x14ac:dyDescent="0.3">
      <c r="A5134" s="3">
        <v>46242.897962962961</v>
      </c>
      <c r="B5134" s="1">
        <v>6.37</v>
      </c>
      <c r="C5134" s="1">
        <v>5.51</v>
      </c>
      <c r="D5134" s="1">
        <v>0.54</v>
      </c>
      <c r="E5134" s="1" t="s">
        <v>113</v>
      </c>
      <c r="F5134" s="1" t="s">
        <v>113</v>
      </c>
      <c r="G5134" s="1" t="s">
        <v>113</v>
      </c>
      <c r="H5134" s="1" t="str">
        <f>VLOOKUP(F5134,Countries!$A$1:$B$161,2,0)</f>
        <v>United States of America</v>
      </c>
    </row>
    <row r="5135" spans="1:8" x14ac:dyDescent="0.3">
      <c r="A5135" s="3">
        <v>46242.894363425927</v>
      </c>
      <c r="B5135" s="1">
        <v>6.37</v>
      </c>
      <c r="C5135" s="1">
        <v>5.51</v>
      </c>
      <c r="D5135" s="1">
        <v>0.54</v>
      </c>
      <c r="E5135" s="1" t="s">
        <v>113</v>
      </c>
      <c r="F5135" s="1" t="s">
        <v>113</v>
      </c>
      <c r="G5135" s="1" t="s">
        <v>113</v>
      </c>
      <c r="H5135" s="1" t="str">
        <f>VLOOKUP(F5135,Countries!$A$1:$B$161,2,0)</f>
        <v>United States of America</v>
      </c>
    </row>
    <row r="5136" spans="1:8" x14ac:dyDescent="0.3">
      <c r="A5136" s="3">
        <v>46242.892465277779</v>
      </c>
      <c r="B5136" s="1">
        <v>10.11</v>
      </c>
      <c r="C5136" s="1">
        <v>8.75</v>
      </c>
      <c r="D5136" s="1">
        <v>0.56000000000000005</v>
      </c>
      <c r="E5136" s="1" t="s">
        <v>116</v>
      </c>
      <c r="F5136" s="1" t="s">
        <v>116</v>
      </c>
      <c r="G5136" s="1" t="s">
        <v>116</v>
      </c>
      <c r="H5136" s="1" t="str">
        <f>VLOOKUP(F5136,Countries!$A$1:$B$161,2,0)</f>
        <v>Spain</v>
      </c>
    </row>
    <row r="5137" spans="1:8" x14ac:dyDescent="0.3">
      <c r="A5137" s="3">
        <v>46242.879780092589</v>
      </c>
      <c r="B5137" s="1">
        <v>35.64</v>
      </c>
      <c r="C5137" s="1">
        <v>30.83</v>
      </c>
      <c r="D5137" s="1">
        <v>1.33</v>
      </c>
      <c r="E5137" s="1" t="s">
        <v>203</v>
      </c>
      <c r="F5137" s="1" t="s">
        <v>203</v>
      </c>
      <c r="G5137" s="1" t="s">
        <v>203</v>
      </c>
      <c r="H5137" s="1" t="str">
        <f>VLOOKUP(F5137,Countries!$A$1:$B$161,2,0)</f>
        <v>Slovenia</v>
      </c>
    </row>
    <row r="5138" spans="1:8" x14ac:dyDescent="0.3">
      <c r="A5138" s="3">
        <v>46242.878483796303</v>
      </c>
      <c r="B5138" s="1">
        <v>10.62</v>
      </c>
      <c r="C5138" s="1">
        <v>9.19</v>
      </c>
      <c r="D5138" s="1">
        <v>0.73</v>
      </c>
      <c r="E5138" s="1" t="s">
        <v>113</v>
      </c>
      <c r="F5138" s="1" t="s">
        <v>113</v>
      </c>
      <c r="G5138" s="1" t="s">
        <v>113</v>
      </c>
      <c r="H5138" s="1" t="str">
        <f>VLOOKUP(F5138,Countries!$A$1:$B$161,2,0)</f>
        <v>United States of America</v>
      </c>
    </row>
    <row r="5139" spans="1:8" x14ac:dyDescent="0.3">
      <c r="A5139" s="3">
        <v>46242.876747685194</v>
      </c>
      <c r="B5139" s="1">
        <v>10.51</v>
      </c>
      <c r="C5139" s="1">
        <v>9.09</v>
      </c>
      <c r="D5139" s="1">
        <v>0.73</v>
      </c>
      <c r="E5139" s="1" t="s">
        <v>132</v>
      </c>
      <c r="F5139" s="1" t="s">
        <v>132</v>
      </c>
      <c r="G5139" s="1" t="s">
        <v>132</v>
      </c>
      <c r="H5139" s="1" t="str">
        <f>VLOOKUP(F5139,Countries!$A$1:$B$161,2,0)</f>
        <v>Canada</v>
      </c>
    </row>
    <row r="5140" spans="1:8" x14ac:dyDescent="0.3">
      <c r="A5140" s="3">
        <v>46242.874513888892</v>
      </c>
      <c r="B5140" s="1">
        <v>7.67</v>
      </c>
      <c r="C5140" s="1">
        <v>6.64</v>
      </c>
      <c r="D5140" s="1">
        <v>0.48</v>
      </c>
      <c r="E5140" s="1" t="s">
        <v>203</v>
      </c>
      <c r="F5140" s="1" t="s">
        <v>203</v>
      </c>
      <c r="G5140" s="1" t="s">
        <v>203</v>
      </c>
      <c r="H5140" s="1" t="str">
        <f>VLOOKUP(F5140,Countries!$A$1:$B$161,2,0)</f>
        <v>Slovenia</v>
      </c>
    </row>
    <row r="5141" spans="1:8" x14ac:dyDescent="0.3">
      <c r="A5141" s="3">
        <v>46242.869317129633</v>
      </c>
      <c r="B5141" s="1">
        <v>10.85</v>
      </c>
      <c r="C5141" s="1">
        <v>9.39</v>
      </c>
      <c r="D5141" s="1">
        <v>0.75</v>
      </c>
      <c r="E5141" s="1" t="s">
        <v>115</v>
      </c>
      <c r="F5141" s="1" t="s">
        <v>115</v>
      </c>
      <c r="G5141" s="1" t="s">
        <v>115</v>
      </c>
      <c r="H5141" s="1" t="str">
        <f>VLOOKUP(F5141,Countries!$A$1:$B$161,2,0)</f>
        <v>Switzerland</v>
      </c>
    </row>
    <row r="5142" spans="1:8" x14ac:dyDescent="0.3">
      <c r="A5142" s="3">
        <v>46242.868425925917</v>
      </c>
      <c r="B5142" s="1">
        <v>17.36</v>
      </c>
      <c r="C5142" s="1">
        <v>15.02</v>
      </c>
      <c r="D5142" s="1">
        <v>0.78</v>
      </c>
      <c r="E5142" s="1" t="s">
        <v>123</v>
      </c>
      <c r="F5142" s="1" t="s">
        <v>123</v>
      </c>
      <c r="G5142" s="1" t="s">
        <v>123</v>
      </c>
      <c r="H5142" s="1" t="str">
        <f>VLOOKUP(F5142,Countries!$A$1:$B$161,2,0)</f>
        <v>France</v>
      </c>
    </row>
    <row r="5143" spans="1:8" x14ac:dyDescent="0.3">
      <c r="A5143" s="3">
        <v>46242.867037037038</v>
      </c>
      <c r="B5143" s="1">
        <v>7.48</v>
      </c>
      <c r="C5143" s="1">
        <v>6.47</v>
      </c>
      <c r="D5143" s="1">
        <v>0.48</v>
      </c>
      <c r="E5143" s="1" t="s">
        <v>123</v>
      </c>
      <c r="F5143" s="1" t="s">
        <v>123</v>
      </c>
      <c r="G5143" s="1" t="s">
        <v>123</v>
      </c>
      <c r="H5143" s="1" t="str">
        <f>VLOOKUP(F5143,Countries!$A$1:$B$161,2,0)</f>
        <v>France</v>
      </c>
    </row>
    <row r="5144" spans="1:8" x14ac:dyDescent="0.3">
      <c r="A5144" s="3">
        <v>46242.866319444453</v>
      </c>
      <c r="B5144" s="1">
        <v>21.32</v>
      </c>
      <c r="C5144" s="1">
        <v>18.45</v>
      </c>
      <c r="D5144" s="1">
        <v>0.9</v>
      </c>
      <c r="E5144" s="1" t="s">
        <v>178</v>
      </c>
      <c r="F5144" s="1" t="s">
        <v>178</v>
      </c>
      <c r="G5144" s="1" t="s">
        <v>178</v>
      </c>
      <c r="H5144" s="1" t="str">
        <f>VLOOKUP(F5144,Countries!$A$1:$B$161,2,0)</f>
        <v>Sweden</v>
      </c>
    </row>
    <row r="5145" spans="1:8" x14ac:dyDescent="0.3">
      <c r="A5145" s="3">
        <v>46242.864386574067</v>
      </c>
      <c r="B5145" s="1">
        <v>10.62</v>
      </c>
      <c r="C5145" s="1">
        <v>9.19</v>
      </c>
      <c r="D5145" s="1">
        <v>0.73</v>
      </c>
      <c r="E5145" s="1" t="s">
        <v>113</v>
      </c>
      <c r="F5145" s="1" t="s">
        <v>113</v>
      </c>
      <c r="G5145" s="1" t="s">
        <v>113</v>
      </c>
      <c r="H5145" s="1" t="str">
        <f>VLOOKUP(F5145,Countries!$A$1:$B$161,2,0)</f>
        <v>United States of America</v>
      </c>
    </row>
    <row r="5146" spans="1:8" x14ac:dyDescent="0.3">
      <c r="A5146" s="3">
        <v>46242.860671296286</v>
      </c>
      <c r="B5146" s="1">
        <v>10.62</v>
      </c>
      <c r="C5146" s="1">
        <v>9.19</v>
      </c>
      <c r="D5146" s="1">
        <v>0.73</v>
      </c>
      <c r="E5146" s="1" t="s">
        <v>113</v>
      </c>
      <c r="F5146" s="1" t="s">
        <v>113</v>
      </c>
      <c r="G5146" s="1" t="s">
        <v>113</v>
      </c>
      <c r="H5146" s="1" t="str">
        <f>VLOOKUP(F5146,Countries!$A$1:$B$161,2,0)</f>
        <v>United States of America</v>
      </c>
    </row>
    <row r="5147" spans="1:8" x14ac:dyDescent="0.3">
      <c r="A5147" s="3">
        <v>46242.856400462973</v>
      </c>
      <c r="B5147" s="1">
        <v>6.65</v>
      </c>
      <c r="C5147" s="1">
        <v>5.75</v>
      </c>
      <c r="D5147" s="1">
        <v>0.56000000000000005</v>
      </c>
      <c r="E5147" s="1" t="s">
        <v>121</v>
      </c>
      <c r="F5147" s="1" t="s">
        <v>121</v>
      </c>
      <c r="G5147" s="1" t="s">
        <v>121</v>
      </c>
      <c r="H5147" s="1" t="str">
        <f>VLOOKUP(F5147,Countries!$A$1:$B$161,2,0)</f>
        <v>Japan</v>
      </c>
    </row>
    <row r="5148" spans="1:8" x14ac:dyDescent="0.3">
      <c r="A5148" s="3">
        <v>46242.845578703702</v>
      </c>
      <c r="B5148" s="1">
        <v>10.62</v>
      </c>
      <c r="C5148" s="1">
        <v>9.19</v>
      </c>
      <c r="D5148" s="1">
        <v>0.73</v>
      </c>
      <c r="E5148" s="1" t="s">
        <v>113</v>
      </c>
      <c r="F5148" s="1" t="s">
        <v>113</v>
      </c>
      <c r="G5148" s="1" t="s">
        <v>113</v>
      </c>
      <c r="H5148" s="1" t="str">
        <f>VLOOKUP(F5148,Countries!$A$1:$B$161,2,0)</f>
        <v>United States of America</v>
      </c>
    </row>
    <row r="5149" spans="1:8" x14ac:dyDescent="0.3">
      <c r="A5149" s="3">
        <v>46242.841400462959</v>
      </c>
      <c r="B5149" s="1">
        <v>2.99</v>
      </c>
      <c r="C5149" s="1">
        <v>2.59</v>
      </c>
      <c r="D5149" s="1">
        <v>0.38</v>
      </c>
      <c r="E5149" s="1" t="s">
        <v>136</v>
      </c>
      <c r="F5149" s="1" t="s">
        <v>136</v>
      </c>
      <c r="G5149" s="1" t="s">
        <v>136</v>
      </c>
      <c r="H5149" s="1" t="str">
        <f>VLOOKUP(F5149,Countries!$A$1:$B$161,2,0)</f>
        <v>Turkey</v>
      </c>
    </row>
    <row r="5150" spans="1:8" x14ac:dyDescent="0.3">
      <c r="A5150" s="3">
        <v>46242.836840277778</v>
      </c>
      <c r="B5150" s="1">
        <v>10.85</v>
      </c>
      <c r="C5150" s="1">
        <v>9.39</v>
      </c>
      <c r="D5150" s="1">
        <v>0.75</v>
      </c>
      <c r="E5150" s="1" t="s">
        <v>115</v>
      </c>
      <c r="F5150" s="1" t="s">
        <v>115</v>
      </c>
      <c r="G5150" s="1" t="s">
        <v>115</v>
      </c>
      <c r="H5150" s="1" t="str">
        <f>VLOOKUP(F5150,Countries!$A$1:$B$161,2,0)</f>
        <v>Switzerland</v>
      </c>
    </row>
    <row r="5151" spans="1:8" x14ac:dyDescent="0.3">
      <c r="A5151" s="3">
        <v>46242.83556712963</v>
      </c>
      <c r="B5151" s="1">
        <v>2.99</v>
      </c>
      <c r="C5151" s="1">
        <v>2.59</v>
      </c>
      <c r="D5151" s="1">
        <v>0.34</v>
      </c>
      <c r="E5151" s="1" t="s">
        <v>120</v>
      </c>
      <c r="F5151" s="1" t="s">
        <v>120</v>
      </c>
      <c r="G5151" s="1" t="s">
        <v>120</v>
      </c>
      <c r="H5151" s="1" t="str">
        <f>VLOOKUP(F5151,Countries!$A$1:$B$161,2,0)</f>
        <v>Czech Republic</v>
      </c>
    </row>
    <row r="5152" spans="1:8" x14ac:dyDescent="0.3">
      <c r="A5152" s="3">
        <v>46242.83394675926</v>
      </c>
      <c r="B5152" s="1">
        <v>6.65</v>
      </c>
      <c r="C5152" s="1">
        <v>5.75</v>
      </c>
      <c r="D5152" s="1">
        <v>0.56000000000000005</v>
      </c>
      <c r="E5152" s="1" t="s">
        <v>121</v>
      </c>
      <c r="F5152" s="1" t="s">
        <v>121</v>
      </c>
      <c r="G5152" s="1" t="s">
        <v>121</v>
      </c>
      <c r="H5152" s="1" t="str">
        <f>VLOOKUP(F5152,Countries!$A$1:$B$161,2,0)</f>
        <v>Japan</v>
      </c>
    </row>
    <row r="5153" spans="1:8" x14ac:dyDescent="0.3">
      <c r="A5153" s="3">
        <v>46242.832916666674</v>
      </c>
      <c r="B5153" s="1">
        <v>7.58</v>
      </c>
      <c r="C5153" s="1">
        <v>6.56</v>
      </c>
      <c r="D5153" s="1">
        <v>0.48</v>
      </c>
      <c r="E5153" s="1" t="s">
        <v>116</v>
      </c>
      <c r="F5153" s="1" t="s">
        <v>116</v>
      </c>
      <c r="G5153" s="1" t="s">
        <v>116</v>
      </c>
      <c r="H5153" s="1" t="str">
        <f>VLOOKUP(F5153,Countries!$A$1:$B$161,2,0)</f>
        <v>Spain</v>
      </c>
    </row>
    <row r="5154" spans="1:8" x14ac:dyDescent="0.3">
      <c r="A5154" s="3">
        <v>46242.830868055556</v>
      </c>
      <c r="B5154" s="1">
        <v>3.83</v>
      </c>
      <c r="C5154" s="1">
        <v>3.31</v>
      </c>
      <c r="D5154" s="1">
        <v>0.37</v>
      </c>
      <c r="E5154" s="1" t="s">
        <v>124</v>
      </c>
      <c r="F5154" s="1" t="s">
        <v>124</v>
      </c>
      <c r="G5154" s="1" t="s">
        <v>124</v>
      </c>
      <c r="H5154" s="1" t="str">
        <f>VLOOKUP(F5154,Countries!$A$1:$B$161,2,0)</f>
        <v>Italy</v>
      </c>
    </row>
    <row r="5155" spans="1:8" x14ac:dyDescent="0.3">
      <c r="A5155" s="3">
        <v>46242.822800925933</v>
      </c>
      <c r="B5155" s="1">
        <v>6.37</v>
      </c>
      <c r="C5155" s="1">
        <v>5.51</v>
      </c>
      <c r="D5155" s="1">
        <v>0.54</v>
      </c>
      <c r="E5155" s="1" t="s">
        <v>113</v>
      </c>
      <c r="F5155" s="1" t="s">
        <v>113</v>
      </c>
      <c r="G5155" s="1" t="s">
        <v>113</v>
      </c>
      <c r="H5155" s="1" t="str">
        <f>VLOOKUP(F5155,Countries!$A$1:$B$161,2,0)</f>
        <v>United States of America</v>
      </c>
    </row>
    <row r="5156" spans="1:8" x14ac:dyDescent="0.3">
      <c r="A5156" s="3">
        <v>46242.821504629632</v>
      </c>
      <c r="B5156" s="1">
        <v>6.3</v>
      </c>
      <c r="C5156" s="1">
        <v>5.45</v>
      </c>
      <c r="D5156" s="1">
        <v>0.54</v>
      </c>
      <c r="E5156" s="1" t="s">
        <v>132</v>
      </c>
      <c r="F5156" s="1" t="s">
        <v>132</v>
      </c>
      <c r="G5156" s="1" t="s">
        <v>132</v>
      </c>
      <c r="H5156" s="1" t="str">
        <f>VLOOKUP(F5156,Countries!$A$1:$B$161,2,0)</f>
        <v>Canada</v>
      </c>
    </row>
    <row r="5157" spans="1:8" x14ac:dyDescent="0.3">
      <c r="A5157" s="3">
        <v>46242.818657407413</v>
      </c>
      <c r="B5157" s="1">
        <v>1.99</v>
      </c>
      <c r="C5157" s="1">
        <v>1.72</v>
      </c>
      <c r="D5157" s="1">
        <v>0.34</v>
      </c>
      <c r="E5157" s="1" t="s">
        <v>113</v>
      </c>
      <c r="F5157" s="1" t="s">
        <v>113</v>
      </c>
      <c r="G5157" s="1" t="s">
        <v>113</v>
      </c>
      <c r="H5157" s="1" t="str">
        <f>VLOOKUP(F5157,Countries!$A$1:$B$161,2,0)</f>
        <v>United States of America</v>
      </c>
    </row>
    <row r="5158" spans="1:8" x14ac:dyDescent="0.3">
      <c r="A5158" s="3">
        <v>46242.81790509259</v>
      </c>
      <c r="B5158" s="1">
        <v>10.85</v>
      </c>
      <c r="C5158" s="1">
        <v>9.39</v>
      </c>
      <c r="D5158" s="1">
        <v>0.75</v>
      </c>
      <c r="E5158" s="1" t="s">
        <v>115</v>
      </c>
      <c r="F5158" s="1" t="s">
        <v>115</v>
      </c>
      <c r="G5158" s="1" t="s">
        <v>115</v>
      </c>
      <c r="H5158" s="1" t="str">
        <f>VLOOKUP(F5158,Countries!$A$1:$B$161,2,0)</f>
        <v>Switzerland</v>
      </c>
    </row>
    <row r="5159" spans="1:8" x14ac:dyDescent="0.3">
      <c r="A5159" s="3">
        <v>46242.814120370371</v>
      </c>
      <c r="B5159" s="1">
        <v>14.77</v>
      </c>
      <c r="C5159" s="1">
        <v>12.78</v>
      </c>
      <c r="D5159" s="1">
        <v>0.93</v>
      </c>
      <c r="E5159" s="1" t="s">
        <v>113</v>
      </c>
      <c r="F5159" s="1" t="s">
        <v>113</v>
      </c>
      <c r="G5159" s="1" t="s">
        <v>113</v>
      </c>
      <c r="H5159" s="1" t="str">
        <f>VLOOKUP(F5159,Countries!$A$1:$B$161,2,0)</f>
        <v>United States of America</v>
      </c>
    </row>
    <row r="5160" spans="1:8" x14ac:dyDescent="0.3">
      <c r="A5160" s="3">
        <v>46242.812118055554</v>
      </c>
      <c r="B5160" s="1">
        <v>6.37</v>
      </c>
      <c r="C5160" s="1">
        <v>5.51</v>
      </c>
      <c r="D5160" s="1">
        <v>0.54</v>
      </c>
      <c r="E5160" s="1" t="s">
        <v>113</v>
      </c>
      <c r="F5160" s="1" t="s">
        <v>113</v>
      </c>
      <c r="G5160" s="1" t="s">
        <v>113</v>
      </c>
      <c r="H5160" s="1" t="str">
        <f>VLOOKUP(F5160,Countries!$A$1:$B$161,2,0)</f>
        <v>United States of America</v>
      </c>
    </row>
    <row r="5161" spans="1:8" x14ac:dyDescent="0.3">
      <c r="A5161" s="3">
        <v>46242.809791666667</v>
      </c>
      <c r="B5161" s="1">
        <v>7.04</v>
      </c>
      <c r="C5161" s="1">
        <v>6.09</v>
      </c>
      <c r="D5161" s="1">
        <v>0.56999999999999995</v>
      </c>
      <c r="E5161" s="1" t="s">
        <v>163</v>
      </c>
      <c r="F5161" s="1" t="s">
        <v>163</v>
      </c>
      <c r="G5161" s="1" t="s">
        <v>163</v>
      </c>
      <c r="H5161" s="1" t="str">
        <f>VLOOKUP(F5161,Countries!$A$1:$B$161,2,0)</f>
        <v>Saudi Arabia</v>
      </c>
    </row>
    <row r="5162" spans="1:8" x14ac:dyDescent="0.3">
      <c r="A5162" s="3">
        <v>46242.808541666673</v>
      </c>
      <c r="B5162" s="1">
        <v>12.5</v>
      </c>
      <c r="C5162" s="1">
        <v>10.81</v>
      </c>
      <c r="D5162" s="1">
        <v>0.68</v>
      </c>
      <c r="E5162" s="1" t="s">
        <v>116</v>
      </c>
      <c r="F5162" s="1" t="s">
        <v>123</v>
      </c>
      <c r="G5162" s="1" t="s">
        <v>123</v>
      </c>
      <c r="H5162" s="1" t="str">
        <f>VLOOKUP(F5162,Countries!$A$1:$B$161,2,0)</f>
        <v>France</v>
      </c>
    </row>
    <row r="5163" spans="1:8" x14ac:dyDescent="0.3">
      <c r="A5163" s="3">
        <v>46242.805844907409</v>
      </c>
      <c r="B5163" s="1">
        <v>10.85</v>
      </c>
      <c r="C5163" s="1">
        <v>9.39</v>
      </c>
      <c r="D5163" s="1">
        <v>0.75</v>
      </c>
      <c r="E5163" s="1" t="s">
        <v>115</v>
      </c>
      <c r="F5163" s="1" t="s">
        <v>115</v>
      </c>
      <c r="G5163" s="1" t="s">
        <v>115</v>
      </c>
      <c r="H5163" s="1" t="str">
        <f>VLOOKUP(F5163,Countries!$A$1:$B$161,2,0)</f>
        <v>Switzerland</v>
      </c>
    </row>
    <row r="5164" spans="1:8" x14ac:dyDescent="0.3">
      <c r="A5164" s="3">
        <v>46242.799247685187</v>
      </c>
      <c r="B5164" s="1">
        <v>10.62</v>
      </c>
      <c r="C5164" s="1">
        <v>9.19</v>
      </c>
      <c r="D5164" s="1">
        <v>0.73</v>
      </c>
      <c r="E5164" s="1" t="s">
        <v>113</v>
      </c>
      <c r="F5164" s="1" t="s">
        <v>113</v>
      </c>
      <c r="G5164" s="1" t="s">
        <v>113</v>
      </c>
      <c r="H5164" s="1" t="str">
        <f>VLOOKUP(F5164,Countries!$A$1:$B$161,2,0)</f>
        <v>United States of America</v>
      </c>
    </row>
    <row r="5165" spans="1:8" x14ac:dyDescent="0.3">
      <c r="A5165" s="3">
        <v>46242.796759259261</v>
      </c>
      <c r="B5165" s="1">
        <v>10.85</v>
      </c>
      <c r="C5165" s="1">
        <v>9.39</v>
      </c>
      <c r="D5165" s="1">
        <v>0.75</v>
      </c>
      <c r="E5165" s="1" t="s">
        <v>115</v>
      </c>
      <c r="F5165" s="1" t="s">
        <v>115</v>
      </c>
      <c r="G5165" s="1" t="s">
        <v>115</v>
      </c>
      <c r="H5165" s="1" t="str">
        <f>VLOOKUP(F5165,Countries!$A$1:$B$161,2,0)</f>
        <v>Switzerland</v>
      </c>
    </row>
    <row r="5166" spans="1:8" x14ac:dyDescent="0.3">
      <c r="A5166" s="3">
        <v>46242.794074074067</v>
      </c>
      <c r="B5166" s="1">
        <v>7.77</v>
      </c>
      <c r="C5166" s="1">
        <v>6.72</v>
      </c>
      <c r="D5166" s="1">
        <v>0.48</v>
      </c>
      <c r="E5166" s="1" t="s">
        <v>137</v>
      </c>
      <c r="F5166" s="1" t="s">
        <v>137</v>
      </c>
      <c r="G5166" s="1" t="s">
        <v>137</v>
      </c>
      <c r="H5166" s="1" t="str">
        <f>VLOOKUP(F5166,Countries!$A$1:$B$161,2,0)</f>
        <v>Poland</v>
      </c>
    </row>
    <row r="5167" spans="1:8" x14ac:dyDescent="0.3">
      <c r="A5167" s="3">
        <v>46242.793043981481</v>
      </c>
      <c r="B5167" s="1">
        <v>19.98</v>
      </c>
      <c r="C5167" s="1">
        <v>17.29</v>
      </c>
      <c r="D5167" s="1">
        <v>1.03</v>
      </c>
      <c r="E5167" s="1" t="s">
        <v>119</v>
      </c>
      <c r="F5167" s="1" t="s">
        <v>119</v>
      </c>
      <c r="G5167" s="1" t="s">
        <v>119</v>
      </c>
      <c r="H5167" s="1" t="str">
        <f>VLOOKUP(F5167,Countries!$A$1:$B$161,2,0)</f>
        <v>Great Britain (United Kingdom)</v>
      </c>
    </row>
    <row r="5168" spans="1:8" x14ac:dyDescent="0.3">
      <c r="A5168" s="3">
        <v>46242.787465277783</v>
      </c>
      <c r="B5168" s="1">
        <v>1.99</v>
      </c>
      <c r="C5168" s="1">
        <v>1.72</v>
      </c>
      <c r="D5168" s="1">
        <v>0.34</v>
      </c>
      <c r="E5168" s="1" t="s">
        <v>113</v>
      </c>
      <c r="F5168" s="1" t="s">
        <v>113</v>
      </c>
      <c r="G5168" s="1" t="s">
        <v>113</v>
      </c>
      <c r="H5168" s="1" t="str">
        <f>VLOOKUP(F5168,Countries!$A$1:$B$161,2,0)</f>
        <v>United States of America</v>
      </c>
    </row>
    <row r="5169" spans="1:8" x14ac:dyDescent="0.3">
      <c r="A5169" s="3">
        <v>46242.78696759259</v>
      </c>
      <c r="B5169" s="1">
        <v>5.99</v>
      </c>
      <c r="C5169" s="1">
        <v>5.18</v>
      </c>
      <c r="D5169" s="1">
        <v>0.43</v>
      </c>
      <c r="E5169" s="1" t="s">
        <v>123</v>
      </c>
      <c r="F5169" s="1" t="s">
        <v>123</v>
      </c>
      <c r="G5169" s="1" t="s">
        <v>123</v>
      </c>
      <c r="H5169" s="1" t="str">
        <f>VLOOKUP(F5169,Countries!$A$1:$B$161,2,0)</f>
        <v>France</v>
      </c>
    </row>
    <row r="5170" spans="1:8" x14ac:dyDescent="0.3">
      <c r="A5170" s="3">
        <v>46242.78025462963</v>
      </c>
      <c r="B5170" s="1">
        <v>6.37</v>
      </c>
      <c r="C5170" s="1">
        <v>5.51</v>
      </c>
      <c r="D5170" s="1">
        <v>0.54</v>
      </c>
      <c r="E5170" s="1" t="s">
        <v>113</v>
      </c>
      <c r="F5170" s="1" t="s">
        <v>113</v>
      </c>
      <c r="G5170" s="1" t="s">
        <v>113</v>
      </c>
      <c r="H5170" s="1" t="str">
        <f>VLOOKUP(F5170,Countries!$A$1:$B$161,2,0)</f>
        <v>United States of America</v>
      </c>
    </row>
    <row r="5171" spans="1:8" x14ac:dyDescent="0.3">
      <c r="A5171" s="3">
        <v>46242.776226851849</v>
      </c>
      <c r="B5171" s="1">
        <v>7.48</v>
      </c>
      <c r="C5171" s="1">
        <v>6.47</v>
      </c>
      <c r="D5171" s="1">
        <v>0.48</v>
      </c>
      <c r="E5171" s="1" t="s">
        <v>123</v>
      </c>
      <c r="F5171" s="1" t="s">
        <v>123</v>
      </c>
      <c r="G5171" s="1" t="s">
        <v>123</v>
      </c>
      <c r="H5171" s="1" t="str">
        <f>VLOOKUP(F5171,Countries!$A$1:$B$161,2,0)</f>
        <v>France</v>
      </c>
    </row>
    <row r="5172" spans="1:8" x14ac:dyDescent="0.3">
      <c r="A5172" s="3">
        <v>46242.774398148147</v>
      </c>
      <c r="B5172" s="1">
        <v>10.85</v>
      </c>
      <c r="C5172" s="1">
        <v>9.39</v>
      </c>
      <c r="D5172" s="1">
        <v>0.75</v>
      </c>
      <c r="E5172" s="1" t="s">
        <v>115</v>
      </c>
      <c r="F5172" s="1" t="s">
        <v>115</v>
      </c>
      <c r="G5172" s="1" t="s">
        <v>115</v>
      </c>
      <c r="H5172" s="1" t="str">
        <f>VLOOKUP(F5172,Countries!$A$1:$B$161,2,0)</f>
        <v>Switzerland</v>
      </c>
    </row>
    <row r="5173" spans="1:8" x14ac:dyDescent="0.3">
      <c r="A5173" s="3">
        <v>46242.764305555553</v>
      </c>
      <c r="B5173" s="1">
        <v>3.32</v>
      </c>
      <c r="C5173" s="1">
        <v>2.87</v>
      </c>
      <c r="D5173" s="1">
        <v>0.4</v>
      </c>
      <c r="E5173" s="1" t="s">
        <v>121</v>
      </c>
      <c r="F5173" s="1" t="s">
        <v>121</v>
      </c>
      <c r="G5173" s="1" t="s">
        <v>121</v>
      </c>
      <c r="H5173" s="1" t="str">
        <f>VLOOKUP(F5173,Countries!$A$1:$B$161,2,0)</f>
        <v>Japan</v>
      </c>
    </row>
    <row r="5174" spans="1:8" x14ac:dyDescent="0.3">
      <c r="A5174" s="3">
        <v>46242.752152777779</v>
      </c>
      <c r="B5174" s="1">
        <v>3.78</v>
      </c>
      <c r="C5174" s="1">
        <v>3.27</v>
      </c>
      <c r="D5174" s="1">
        <v>0.38</v>
      </c>
      <c r="E5174" s="1" t="s">
        <v>116</v>
      </c>
      <c r="F5174" s="1" t="s">
        <v>123</v>
      </c>
      <c r="G5174" s="1" t="s">
        <v>123</v>
      </c>
      <c r="H5174" s="1" t="str">
        <f>VLOOKUP(F5174,Countries!$A$1:$B$161,2,0)</f>
        <v>France</v>
      </c>
    </row>
    <row r="5175" spans="1:8" x14ac:dyDescent="0.3">
      <c r="A5175" s="3">
        <v>46242.750335648147</v>
      </c>
      <c r="B5175" s="1">
        <v>2.99</v>
      </c>
      <c r="C5175" s="1">
        <v>2.59</v>
      </c>
      <c r="D5175" s="1">
        <v>0.38</v>
      </c>
      <c r="E5175" s="1" t="s">
        <v>157</v>
      </c>
      <c r="F5175" s="1" t="s">
        <v>157</v>
      </c>
      <c r="G5175" s="1" t="s">
        <v>157</v>
      </c>
      <c r="H5175" s="1" t="str">
        <f>VLOOKUP(F5175,Countries!$A$1:$B$161,2,0)</f>
        <v>Costa Rica</v>
      </c>
    </row>
    <row r="5176" spans="1:8" x14ac:dyDescent="0.3">
      <c r="A5176" s="3">
        <v>46242.743703703702</v>
      </c>
      <c r="B5176" s="1">
        <v>6.37</v>
      </c>
      <c r="C5176" s="1">
        <v>5.51</v>
      </c>
      <c r="D5176" s="1">
        <v>0.54</v>
      </c>
      <c r="E5176" s="1" t="s">
        <v>113</v>
      </c>
      <c r="F5176" s="1" t="s">
        <v>113</v>
      </c>
      <c r="G5176" s="1" t="s">
        <v>113</v>
      </c>
      <c r="H5176" s="1" t="str">
        <f>VLOOKUP(F5176,Countries!$A$1:$B$161,2,0)</f>
        <v>United States of America</v>
      </c>
    </row>
    <row r="5177" spans="1:8" x14ac:dyDescent="0.3">
      <c r="A5177" s="3">
        <v>46242.74113425926</v>
      </c>
      <c r="B5177" s="1">
        <v>6.37</v>
      </c>
      <c r="C5177" s="1">
        <v>5.51</v>
      </c>
      <c r="D5177" s="1">
        <v>0.54</v>
      </c>
      <c r="E5177" s="1" t="s">
        <v>113</v>
      </c>
      <c r="F5177" s="1" t="s">
        <v>113</v>
      </c>
      <c r="G5177" s="1" t="s">
        <v>113</v>
      </c>
      <c r="H5177" s="1" t="str">
        <f>VLOOKUP(F5177,Countries!$A$1:$B$161,2,0)</f>
        <v>United States of America</v>
      </c>
    </row>
    <row r="5178" spans="1:8" x14ac:dyDescent="0.3">
      <c r="A5178" s="3">
        <v>46242.738541666673</v>
      </c>
      <c r="B5178" s="1">
        <v>6.37</v>
      </c>
      <c r="C5178" s="1">
        <v>5.51</v>
      </c>
      <c r="D5178" s="1">
        <v>0.54</v>
      </c>
      <c r="E5178" s="1" t="s">
        <v>113</v>
      </c>
      <c r="F5178" s="1" t="s">
        <v>113</v>
      </c>
      <c r="G5178" s="1" t="s">
        <v>113</v>
      </c>
      <c r="H5178" s="1" t="str">
        <f>VLOOKUP(F5178,Countries!$A$1:$B$161,2,0)</f>
        <v>United States of America</v>
      </c>
    </row>
    <row r="5179" spans="1:8" x14ac:dyDescent="0.3">
      <c r="A5179" s="3">
        <v>46242.73710648148</v>
      </c>
      <c r="B5179" s="1">
        <v>21.27</v>
      </c>
      <c r="C5179" s="1">
        <v>18.399999999999999</v>
      </c>
      <c r="D5179" s="1">
        <v>1.22</v>
      </c>
      <c r="E5179" s="1" t="s">
        <v>113</v>
      </c>
      <c r="F5179" s="1" t="s">
        <v>113</v>
      </c>
      <c r="G5179" s="1" t="s">
        <v>113</v>
      </c>
      <c r="H5179" s="1" t="str">
        <f>VLOOKUP(F5179,Countries!$A$1:$B$161,2,0)</f>
        <v>United States of America</v>
      </c>
    </row>
    <row r="5180" spans="1:8" x14ac:dyDescent="0.3">
      <c r="A5180" s="3">
        <v>46242.732430555552</v>
      </c>
      <c r="B5180" s="1">
        <v>6.37</v>
      </c>
      <c r="C5180" s="1">
        <v>5.51</v>
      </c>
      <c r="D5180" s="1">
        <v>0.54</v>
      </c>
      <c r="E5180" s="1" t="s">
        <v>113</v>
      </c>
      <c r="F5180" s="1" t="s">
        <v>113</v>
      </c>
      <c r="G5180" s="1" t="s">
        <v>113</v>
      </c>
      <c r="H5180" s="1" t="str">
        <f>VLOOKUP(F5180,Countries!$A$1:$B$161,2,0)</f>
        <v>United States of America</v>
      </c>
    </row>
    <row r="5181" spans="1:8" x14ac:dyDescent="0.3">
      <c r="A5181" s="3">
        <v>46242.728888888887</v>
      </c>
      <c r="B5181" s="1">
        <v>25.74</v>
      </c>
      <c r="C5181" s="1">
        <v>22.27</v>
      </c>
      <c r="D5181" s="1">
        <v>1.03</v>
      </c>
      <c r="E5181" s="1" t="s">
        <v>147</v>
      </c>
      <c r="F5181" s="1" t="s">
        <v>147</v>
      </c>
      <c r="G5181" s="1" t="s">
        <v>147</v>
      </c>
      <c r="H5181" s="1" t="str">
        <f>VLOOKUP(F5181,Countries!$A$1:$B$161,2,0)</f>
        <v>Germany</v>
      </c>
    </row>
    <row r="5182" spans="1:8" x14ac:dyDescent="0.3">
      <c r="A5182" s="3">
        <v>46242.722337962958</v>
      </c>
      <c r="B5182" s="1">
        <v>19.739999999999998</v>
      </c>
      <c r="C5182" s="1">
        <v>17.079999999999998</v>
      </c>
      <c r="D5182" s="1">
        <v>0.85</v>
      </c>
      <c r="E5182" s="1" t="s">
        <v>147</v>
      </c>
      <c r="F5182" s="1" t="s">
        <v>147</v>
      </c>
      <c r="G5182" s="1" t="s">
        <v>147</v>
      </c>
      <c r="H5182" s="1" t="str">
        <f>VLOOKUP(F5182,Countries!$A$1:$B$161,2,0)</f>
        <v>Germany</v>
      </c>
    </row>
    <row r="5183" spans="1:8" x14ac:dyDescent="0.3">
      <c r="A5183" s="3">
        <v>46242.713622685187</v>
      </c>
      <c r="B5183" s="1">
        <v>2.99</v>
      </c>
      <c r="C5183" s="1">
        <v>2.59</v>
      </c>
      <c r="D5183" s="1">
        <v>0.38</v>
      </c>
      <c r="E5183" s="1" t="s">
        <v>114</v>
      </c>
      <c r="F5183" s="1" t="s">
        <v>114</v>
      </c>
      <c r="G5183" s="1" t="s">
        <v>114</v>
      </c>
      <c r="H5183" s="1" t="str">
        <f>VLOOKUP(F5183,Countries!$A$1:$B$161,2,0)</f>
        <v>Philippines</v>
      </c>
    </row>
    <row r="5184" spans="1:8" x14ac:dyDescent="0.3">
      <c r="A5184" s="3">
        <v>46242.699479166673</v>
      </c>
      <c r="B5184" s="1">
        <v>6.37</v>
      </c>
      <c r="C5184" s="1">
        <v>5.51</v>
      </c>
      <c r="D5184" s="1">
        <v>0.54</v>
      </c>
      <c r="E5184" s="1" t="s">
        <v>113</v>
      </c>
      <c r="F5184" s="1" t="s">
        <v>113</v>
      </c>
      <c r="G5184" s="1" t="s">
        <v>113</v>
      </c>
      <c r="H5184" s="1" t="str">
        <f>VLOOKUP(F5184,Countries!$A$1:$B$161,2,0)</f>
        <v>United States of America</v>
      </c>
    </row>
    <row r="5185" spans="1:8" x14ac:dyDescent="0.3">
      <c r="A5185" s="3">
        <v>46242.695277777777</v>
      </c>
      <c r="B5185" s="1">
        <v>36.96</v>
      </c>
      <c r="C5185" s="1">
        <v>31.98</v>
      </c>
      <c r="D5185" s="1">
        <v>1.93</v>
      </c>
      <c r="E5185" s="1" t="s">
        <v>113</v>
      </c>
      <c r="F5185" s="1" t="s">
        <v>113</v>
      </c>
      <c r="G5185" s="1" t="s">
        <v>113</v>
      </c>
      <c r="H5185" s="1" t="str">
        <f>VLOOKUP(F5185,Countries!$A$1:$B$161,2,0)</f>
        <v>United States of America</v>
      </c>
    </row>
    <row r="5186" spans="1:8" x14ac:dyDescent="0.3">
      <c r="A5186" s="3">
        <v>46242.689201388886</v>
      </c>
      <c r="B5186" s="1">
        <v>6.37</v>
      </c>
      <c r="C5186" s="1">
        <v>5.51</v>
      </c>
      <c r="D5186" s="1">
        <v>0.54</v>
      </c>
      <c r="E5186" s="1" t="s">
        <v>113</v>
      </c>
      <c r="F5186" s="1" t="s">
        <v>113</v>
      </c>
      <c r="G5186" s="1" t="s">
        <v>113</v>
      </c>
      <c r="H5186" s="1" t="str">
        <f>VLOOKUP(F5186,Countries!$A$1:$B$161,2,0)</f>
        <v>United States of America</v>
      </c>
    </row>
    <row r="5187" spans="1:8" x14ac:dyDescent="0.3">
      <c r="A5187" s="3">
        <v>46242.682314814818</v>
      </c>
      <c r="B5187" s="1">
        <v>8.9700000000000006</v>
      </c>
      <c r="C5187" s="1">
        <v>7.76</v>
      </c>
      <c r="D5187" s="1">
        <v>0.66</v>
      </c>
      <c r="E5187" s="1" t="s">
        <v>149</v>
      </c>
      <c r="F5187" s="1" t="s">
        <v>149</v>
      </c>
      <c r="G5187" s="1" t="s">
        <v>149</v>
      </c>
      <c r="H5187" s="1" t="str">
        <f>VLOOKUP(F5187,Countries!$A$1:$B$161,2,0)</f>
        <v>Indonesia</v>
      </c>
    </row>
    <row r="5188" spans="1:8" x14ac:dyDescent="0.3">
      <c r="A5188" s="3">
        <v>46242.681481481479</v>
      </c>
      <c r="B5188" s="1">
        <v>16.34</v>
      </c>
      <c r="C5188" s="1">
        <v>14.14</v>
      </c>
      <c r="D5188" s="1">
        <v>0.99</v>
      </c>
      <c r="E5188" s="1" t="s">
        <v>160</v>
      </c>
      <c r="F5188" s="1" t="s">
        <v>160</v>
      </c>
      <c r="G5188" s="1" t="s">
        <v>160</v>
      </c>
      <c r="H5188" s="1" t="str">
        <f>VLOOKUP(F5188,Countries!$A$1:$B$161,2,0)</f>
        <v>New Zealand</v>
      </c>
    </row>
    <row r="5189" spans="1:8" x14ac:dyDescent="0.3">
      <c r="A5189" s="3">
        <v>46242.672962962963</v>
      </c>
      <c r="B5189" s="1">
        <v>58.41</v>
      </c>
      <c r="C5189" s="1">
        <v>50.53</v>
      </c>
      <c r="D5189" s="1">
        <v>2.9</v>
      </c>
      <c r="E5189" s="1" t="s">
        <v>132</v>
      </c>
      <c r="F5189" s="1" t="s">
        <v>132</v>
      </c>
      <c r="G5189" s="1" t="s">
        <v>132</v>
      </c>
      <c r="H5189" s="1" t="str">
        <f>VLOOKUP(F5189,Countries!$A$1:$B$161,2,0)</f>
        <v>Canada</v>
      </c>
    </row>
    <row r="5190" spans="1:8" x14ac:dyDescent="0.3">
      <c r="A5190" s="3">
        <v>46242.658472222232</v>
      </c>
      <c r="B5190" s="1">
        <v>6.65</v>
      </c>
      <c r="C5190" s="1">
        <v>5.75</v>
      </c>
      <c r="D5190" s="1">
        <v>0.56000000000000005</v>
      </c>
      <c r="E5190" s="1" t="s">
        <v>121</v>
      </c>
      <c r="F5190" s="1" t="s">
        <v>121</v>
      </c>
      <c r="G5190" s="1" t="s">
        <v>121</v>
      </c>
      <c r="H5190" s="1" t="str">
        <f>VLOOKUP(F5190,Countries!$A$1:$B$161,2,0)</f>
        <v>Japan</v>
      </c>
    </row>
    <row r="5191" spans="1:8" x14ac:dyDescent="0.3">
      <c r="A5191" s="3">
        <v>46242.652824074074</v>
      </c>
      <c r="B5191" s="1">
        <v>6.37</v>
      </c>
      <c r="C5191" s="1">
        <v>5.51</v>
      </c>
      <c r="D5191" s="1">
        <v>0.54</v>
      </c>
      <c r="E5191" s="1" t="s">
        <v>113</v>
      </c>
      <c r="F5191" s="1" t="s">
        <v>113</v>
      </c>
      <c r="G5191" s="1" t="s">
        <v>113</v>
      </c>
      <c r="H5191" s="1" t="str">
        <f>VLOOKUP(F5191,Countries!$A$1:$B$161,2,0)</f>
        <v>United States of America</v>
      </c>
    </row>
    <row r="5192" spans="1:8" x14ac:dyDescent="0.3">
      <c r="A5192" s="3">
        <v>46242.651585648149</v>
      </c>
      <c r="B5192" s="1">
        <v>6.37</v>
      </c>
      <c r="C5192" s="1">
        <v>5.51</v>
      </c>
      <c r="D5192" s="1">
        <v>0.54</v>
      </c>
      <c r="E5192" s="1" t="s">
        <v>113</v>
      </c>
      <c r="F5192" s="1" t="s">
        <v>113</v>
      </c>
      <c r="G5192" s="1" t="s">
        <v>113</v>
      </c>
      <c r="H5192" s="1" t="str">
        <f>VLOOKUP(F5192,Countries!$A$1:$B$161,2,0)</f>
        <v>United States of America</v>
      </c>
    </row>
    <row r="5193" spans="1:8" x14ac:dyDescent="0.3">
      <c r="A5193" s="3">
        <v>46242.649421296293</v>
      </c>
      <c r="B5193" s="1">
        <v>3.39</v>
      </c>
      <c r="C5193" s="1">
        <v>2.93</v>
      </c>
      <c r="D5193" s="1">
        <v>0.41</v>
      </c>
      <c r="E5193" s="1" t="s">
        <v>114</v>
      </c>
      <c r="F5193" s="1" t="s">
        <v>114</v>
      </c>
      <c r="G5193" s="1" t="s">
        <v>114</v>
      </c>
      <c r="H5193" s="1" t="str">
        <f>VLOOKUP(F5193,Countries!$A$1:$B$161,2,0)</f>
        <v>Philippines</v>
      </c>
    </row>
    <row r="5194" spans="1:8" x14ac:dyDescent="0.3">
      <c r="A5194" s="3">
        <v>46242.647407407407</v>
      </c>
      <c r="B5194" s="1">
        <v>6.37</v>
      </c>
      <c r="C5194" s="1">
        <v>5.51</v>
      </c>
      <c r="D5194" s="1">
        <v>0.54</v>
      </c>
      <c r="E5194" s="1" t="s">
        <v>113</v>
      </c>
      <c r="F5194" s="1" t="s">
        <v>113</v>
      </c>
      <c r="G5194" s="1" t="s">
        <v>113</v>
      </c>
      <c r="H5194" s="1" t="str">
        <f>VLOOKUP(F5194,Countries!$A$1:$B$161,2,0)</f>
        <v>United States of America</v>
      </c>
    </row>
    <row r="5195" spans="1:8" x14ac:dyDescent="0.3">
      <c r="A5195" s="3">
        <v>46242.637569444443</v>
      </c>
      <c r="B5195" s="1">
        <v>2.23</v>
      </c>
      <c r="C5195" s="1">
        <v>1.93</v>
      </c>
      <c r="D5195" s="1">
        <v>0.35</v>
      </c>
      <c r="E5195" s="1" t="s">
        <v>149</v>
      </c>
      <c r="F5195" s="1" t="s">
        <v>149</v>
      </c>
      <c r="G5195" s="1" t="s">
        <v>149</v>
      </c>
      <c r="H5195" s="1" t="str">
        <f>VLOOKUP(F5195,Countries!$A$1:$B$161,2,0)</f>
        <v>Indonesia</v>
      </c>
    </row>
    <row r="5196" spans="1:8" x14ac:dyDescent="0.3">
      <c r="A5196" s="3">
        <v>46242.633680555547</v>
      </c>
      <c r="B5196" s="1">
        <v>6.3</v>
      </c>
      <c r="C5196" s="1">
        <v>5.45</v>
      </c>
      <c r="D5196" s="1">
        <v>0.54</v>
      </c>
      <c r="E5196" s="1" t="s">
        <v>132</v>
      </c>
      <c r="F5196" s="1" t="s">
        <v>132</v>
      </c>
      <c r="G5196" s="1" t="s">
        <v>132</v>
      </c>
      <c r="H5196" s="1" t="str">
        <f>VLOOKUP(F5196,Countries!$A$1:$B$161,2,0)</f>
        <v>Canada</v>
      </c>
    </row>
    <row r="5197" spans="1:8" x14ac:dyDescent="0.3">
      <c r="A5197" s="3">
        <v>46242.632789351846</v>
      </c>
      <c r="B5197" s="1">
        <v>1.05</v>
      </c>
      <c r="C5197" s="1">
        <v>0.91</v>
      </c>
      <c r="D5197" s="1">
        <v>0.3</v>
      </c>
      <c r="E5197" s="1" t="s">
        <v>113</v>
      </c>
      <c r="F5197" s="1" t="s">
        <v>113</v>
      </c>
      <c r="G5197" s="1" t="s">
        <v>113</v>
      </c>
      <c r="H5197" s="1" t="str">
        <f>VLOOKUP(F5197,Countries!$A$1:$B$161,2,0)</f>
        <v>United States of America</v>
      </c>
    </row>
    <row r="5198" spans="1:8" x14ac:dyDescent="0.3">
      <c r="A5198" s="3">
        <v>46242.632777777777</v>
      </c>
      <c r="B5198" s="1">
        <v>10.85</v>
      </c>
      <c r="C5198" s="1">
        <v>9.39</v>
      </c>
      <c r="D5198" s="1">
        <v>0.75</v>
      </c>
      <c r="E5198" s="1" t="s">
        <v>115</v>
      </c>
      <c r="F5198" s="1" t="s">
        <v>115</v>
      </c>
      <c r="G5198" s="1" t="s">
        <v>115</v>
      </c>
      <c r="H5198" s="1" t="str">
        <f>VLOOKUP(F5198,Countries!$A$1:$B$161,2,0)</f>
        <v>Switzerland</v>
      </c>
    </row>
    <row r="5199" spans="1:8" x14ac:dyDescent="0.3">
      <c r="A5199" s="3">
        <v>46242.632210648153</v>
      </c>
      <c r="B5199" s="1">
        <v>1.05</v>
      </c>
      <c r="C5199" s="1">
        <v>0.91</v>
      </c>
      <c r="D5199" s="1">
        <v>0.3</v>
      </c>
      <c r="E5199" s="1" t="s">
        <v>113</v>
      </c>
      <c r="F5199" s="1" t="s">
        <v>113</v>
      </c>
      <c r="G5199" s="1" t="s">
        <v>113</v>
      </c>
      <c r="H5199" s="1" t="str">
        <f>VLOOKUP(F5199,Countries!$A$1:$B$161,2,0)</f>
        <v>United States of America</v>
      </c>
    </row>
    <row r="5200" spans="1:8" x14ac:dyDescent="0.3">
      <c r="A5200" s="3">
        <v>46242.628553240742</v>
      </c>
      <c r="B5200" s="1">
        <v>16.34</v>
      </c>
      <c r="C5200" s="1">
        <v>14.14</v>
      </c>
      <c r="D5200" s="1">
        <v>0.99</v>
      </c>
      <c r="E5200" s="1" t="s">
        <v>160</v>
      </c>
      <c r="F5200" s="1" t="s">
        <v>160</v>
      </c>
      <c r="G5200" s="1" t="s">
        <v>160</v>
      </c>
      <c r="H5200" s="1" t="str">
        <f>VLOOKUP(F5200,Countries!$A$1:$B$161,2,0)</f>
        <v>New Zealand</v>
      </c>
    </row>
    <row r="5201" spans="1:8" x14ac:dyDescent="0.3">
      <c r="A5201" s="3">
        <v>46242.628101851849</v>
      </c>
      <c r="B5201" s="1">
        <v>16.34</v>
      </c>
      <c r="C5201" s="1">
        <v>14.14</v>
      </c>
      <c r="D5201" s="1">
        <v>0.99</v>
      </c>
      <c r="E5201" s="1" t="s">
        <v>160</v>
      </c>
      <c r="F5201" s="1" t="s">
        <v>160</v>
      </c>
      <c r="G5201" s="1" t="s">
        <v>160</v>
      </c>
      <c r="H5201" s="1" t="str">
        <f>VLOOKUP(F5201,Countries!$A$1:$B$161,2,0)</f>
        <v>New Zealand</v>
      </c>
    </row>
    <row r="5202" spans="1:8" x14ac:dyDescent="0.3">
      <c r="A5202" s="3">
        <v>46242.62699074074</v>
      </c>
      <c r="B5202" s="1">
        <v>10.85</v>
      </c>
      <c r="C5202" s="1">
        <v>9.39</v>
      </c>
      <c r="D5202" s="1">
        <v>0.75</v>
      </c>
      <c r="E5202" s="1" t="s">
        <v>115</v>
      </c>
      <c r="F5202" s="1" t="s">
        <v>115</v>
      </c>
      <c r="G5202" s="1" t="s">
        <v>115</v>
      </c>
      <c r="H5202" s="1" t="str">
        <f>VLOOKUP(F5202,Countries!$A$1:$B$161,2,0)</f>
        <v>Switzerland</v>
      </c>
    </row>
    <row r="5203" spans="1:8" x14ac:dyDescent="0.3">
      <c r="A5203" s="3">
        <v>46242.623414351852</v>
      </c>
      <c r="B5203" s="1">
        <v>17.36</v>
      </c>
      <c r="C5203" s="1">
        <v>15.02</v>
      </c>
      <c r="D5203" s="1">
        <v>0.93</v>
      </c>
      <c r="E5203" s="1" t="s">
        <v>119</v>
      </c>
      <c r="F5203" s="1" t="s">
        <v>119</v>
      </c>
      <c r="G5203" s="1" t="s">
        <v>119</v>
      </c>
      <c r="H5203" s="1" t="str">
        <f>VLOOKUP(F5203,Countries!$A$1:$B$161,2,0)</f>
        <v>Great Britain (United Kingdom)</v>
      </c>
    </row>
    <row r="5204" spans="1:8" x14ac:dyDescent="0.3">
      <c r="A5204" s="3">
        <v>46242.620497685188</v>
      </c>
      <c r="B5204" s="1">
        <v>10.85</v>
      </c>
      <c r="C5204" s="1">
        <v>9.39</v>
      </c>
      <c r="D5204" s="1">
        <v>0.75</v>
      </c>
      <c r="E5204" s="1" t="s">
        <v>115</v>
      </c>
      <c r="F5204" s="1" t="s">
        <v>115</v>
      </c>
      <c r="G5204" s="1" t="s">
        <v>115</v>
      </c>
      <c r="H5204" s="1" t="str">
        <f>VLOOKUP(F5204,Countries!$A$1:$B$161,2,0)</f>
        <v>Switzerland</v>
      </c>
    </row>
    <row r="5205" spans="1:8" x14ac:dyDescent="0.3">
      <c r="A5205" s="3">
        <v>46242.61341435185</v>
      </c>
      <c r="B5205" s="1">
        <v>14.77</v>
      </c>
      <c r="C5205" s="1">
        <v>12.78</v>
      </c>
      <c r="D5205" s="1">
        <v>0.93</v>
      </c>
      <c r="E5205" s="1" t="s">
        <v>113</v>
      </c>
      <c r="F5205" s="1" t="s">
        <v>113</v>
      </c>
      <c r="G5205" s="1" t="s">
        <v>113</v>
      </c>
      <c r="H5205" s="1" t="str">
        <f>VLOOKUP(F5205,Countries!$A$1:$B$161,2,0)</f>
        <v>United States of America</v>
      </c>
    </row>
    <row r="5206" spans="1:8" x14ac:dyDescent="0.3">
      <c r="A5206" s="3">
        <v>46242.612847222219</v>
      </c>
      <c r="B5206" s="1">
        <v>10.85</v>
      </c>
      <c r="C5206" s="1">
        <v>9.39</v>
      </c>
      <c r="D5206" s="1">
        <v>0.75</v>
      </c>
      <c r="E5206" s="1" t="s">
        <v>115</v>
      </c>
      <c r="F5206" s="1" t="s">
        <v>115</v>
      </c>
      <c r="G5206" s="1" t="s">
        <v>115</v>
      </c>
      <c r="H5206" s="1" t="str">
        <f>VLOOKUP(F5206,Countries!$A$1:$B$161,2,0)</f>
        <v>Switzerland</v>
      </c>
    </row>
    <row r="5207" spans="1:8" x14ac:dyDescent="0.3">
      <c r="A5207" s="3">
        <v>46242.612349537027</v>
      </c>
      <c r="B5207" s="1">
        <v>36.96</v>
      </c>
      <c r="C5207" s="1">
        <v>31.98</v>
      </c>
      <c r="D5207" s="1">
        <v>1.93</v>
      </c>
      <c r="E5207" s="1" t="s">
        <v>113</v>
      </c>
      <c r="F5207" s="1" t="s">
        <v>113</v>
      </c>
      <c r="G5207" s="1" t="s">
        <v>113</v>
      </c>
      <c r="H5207" s="1" t="str">
        <f>VLOOKUP(F5207,Countries!$A$1:$B$161,2,0)</f>
        <v>United States of America</v>
      </c>
    </row>
    <row r="5208" spans="1:8" x14ac:dyDescent="0.3">
      <c r="A5208" s="3">
        <v>46242.611250000002</v>
      </c>
      <c r="B5208" s="1">
        <v>36.96</v>
      </c>
      <c r="C5208" s="1">
        <v>31.98</v>
      </c>
      <c r="D5208" s="1">
        <v>1.93</v>
      </c>
      <c r="E5208" s="1" t="s">
        <v>113</v>
      </c>
      <c r="F5208" s="1" t="s">
        <v>113</v>
      </c>
      <c r="G5208" s="1" t="s">
        <v>113</v>
      </c>
      <c r="H5208" s="1" t="str">
        <f>VLOOKUP(F5208,Countries!$A$1:$B$161,2,0)</f>
        <v>United States of America</v>
      </c>
    </row>
    <row r="5209" spans="1:8" x14ac:dyDescent="0.3">
      <c r="A5209" s="3">
        <v>46242.609456018523</v>
      </c>
      <c r="B5209" s="1">
        <v>14.77</v>
      </c>
      <c r="C5209" s="1">
        <v>12.78</v>
      </c>
      <c r="D5209" s="1">
        <v>0.93</v>
      </c>
      <c r="E5209" s="1" t="s">
        <v>113</v>
      </c>
      <c r="F5209" s="1" t="s">
        <v>113</v>
      </c>
      <c r="G5209" s="1" t="s">
        <v>113</v>
      </c>
      <c r="H5209" s="1" t="str">
        <f>VLOOKUP(F5209,Countries!$A$1:$B$161,2,0)</f>
        <v>United States of America</v>
      </c>
    </row>
    <row r="5210" spans="1:8" x14ac:dyDescent="0.3">
      <c r="A5210" s="3">
        <v>46242.606678240743</v>
      </c>
      <c r="B5210" s="1">
        <v>29.57</v>
      </c>
      <c r="C5210" s="1">
        <v>25.58</v>
      </c>
      <c r="D5210" s="1">
        <v>1.59</v>
      </c>
      <c r="E5210" s="1" t="s">
        <v>113</v>
      </c>
      <c r="F5210" s="1" t="s">
        <v>113</v>
      </c>
      <c r="G5210" s="1" t="s">
        <v>113</v>
      </c>
      <c r="H5210" s="1" t="str">
        <f>VLOOKUP(F5210,Countries!$A$1:$B$161,2,0)</f>
        <v>United States of America</v>
      </c>
    </row>
    <row r="5211" spans="1:8" x14ac:dyDescent="0.3">
      <c r="A5211" s="3">
        <v>46242.605185185188</v>
      </c>
      <c r="B5211" s="1">
        <v>36.96</v>
      </c>
      <c r="C5211" s="1">
        <v>31.98</v>
      </c>
      <c r="D5211" s="1">
        <v>1.93</v>
      </c>
      <c r="E5211" s="1" t="s">
        <v>113</v>
      </c>
      <c r="F5211" s="1" t="s">
        <v>113</v>
      </c>
      <c r="G5211" s="1" t="s">
        <v>113</v>
      </c>
      <c r="H5211" s="1" t="str">
        <f>VLOOKUP(F5211,Countries!$A$1:$B$161,2,0)</f>
        <v>United States of America</v>
      </c>
    </row>
    <row r="5212" spans="1:8" x14ac:dyDescent="0.3">
      <c r="A5212" s="3">
        <v>46242.605069444442</v>
      </c>
      <c r="B5212" s="1">
        <v>14.78</v>
      </c>
      <c r="C5212" s="1">
        <v>12.79</v>
      </c>
      <c r="D5212" s="1">
        <v>0.93</v>
      </c>
      <c r="E5212" s="1" t="s">
        <v>113</v>
      </c>
      <c r="F5212" s="1" t="s">
        <v>113</v>
      </c>
      <c r="G5212" s="1" t="s">
        <v>113</v>
      </c>
      <c r="H5212" s="1" t="str">
        <f>VLOOKUP(F5212,Countries!$A$1:$B$161,2,0)</f>
        <v>United States of America</v>
      </c>
    </row>
    <row r="5213" spans="1:8" x14ac:dyDescent="0.3">
      <c r="A5213" s="3">
        <v>46242.604305555556</v>
      </c>
      <c r="B5213" s="1">
        <v>14.77</v>
      </c>
      <c r="C5213" s="1">
        <v>12.78</v>
      </c>
      <c r="D5213" s="1">
        <v>0.93</v>
      </c>
      <c r="E5213" s="1" t="s">
        <v>113</v>
      </c>
      <c r="F5213" s="1" t="s">
        <v>113</v>
      </c>
      <c r="G5213" s="1" t="s">
        <v>113</v>
      </c>
      <c r="H5213" s="1" t="str">
        <f>VLOOKUP(F5213,Countries!$A$1:$B$161,2,0)</f>
        <v>United States of America</v>
      </c>
    </row>
    <row r="5214" spans="1:8" x14ac:dyDescent="0.3">
      <c r="A5214" s="3">
        <v>46242.602916666663</v>
      </c>
      <c r="B5214" s="1">
        <v>36.96</v>
      </c>
      <c r="C5214" s="1">
        <v>31.98</v>
      </c>
      <c r="D5214" s="1">
        <v>1.93</v>
      </c>
      <c r="E5214" s="1" t="s">
        <v>113</v>
      </c>
      <c r="F5214" s="1" t="s">
        <v>113</v>
      </c>
      <c r="G5214" s="1" t="s">
        <v>113</v>
      </c>
      <c r="H5214" s="1" t="str">
        <f>VLOOKUP(F5214,Countries!$A$1:$B$161,2,0)</f>
        <v>United States of America</v>
      </c>
    </row>
    <row r="5215" spans="1:8" x14ac:dyDescent="0.3">
      <c r="A5215" s="3">
        <v>46242.602916666663</v>
      </c>
      <c r="B5215" s="1">
        <v>10.85</v>
      </c>
      <c r="C5215" s="1">
        <v>9.39</v>
      </c>
      <c r="D5215" s="1">
        <v>0.75</v>
      </c>
      <c r="E5215" s="1" t="s">
        <v>115</v>
      </c>
      <c r="F5215" s="1" t="s">
        <v>115</v>
      </c>
      <c r="G5215" s="1" t="s">
        <v>115</v>
      </c>
      <c r="H5215" s="1" t="str">
        <f>VLOOKUP(F5215,Countries!$A$1:$B$161,2,0)</f>
        <v>Switzerland</v>
      </c>
    </row>
    <row r="5216" spans="1:8" x14ac:dyDescent="0.3">
      <c r="A5216" s="3">
        <v>46242.602534722217</v>
      </c>
      <c r="B5216" s="1">
        <v>12.48</v>
      </c>
      <c r="C5216" s="1">
        <v>10.8</v>
      </c>
      <c r="D5216" s="1">
        <v>0.74</v>
      </c>
      <c r="E5216" s="1" t="s">
        <v>119</v>
      </c>
      <c r="F5216" s="1" t="s">
        <v>119</v>
      </c>
      <c r="G5216" s="1" t="s">
        <v>119</v>
      </c>
      <c r="H5216" s="1" t="str">
        <f>VLOOKUP(F5216,Countries!$A$1:$B$161,2,0)</f>
        <v>Great Britain (United Kingdom)</v>
      </c>
    </row>
    <row r="5217" spans="1:8" x14ac:dyDescent="0.3">
      <c r="A5217" s="3">
        <v>46242.601979166669</v>
      </c>
      <c r="B5217" s="1">
        <v>1.99</v>
      </c>
      <c r="C5217" s="1">
        <v>1.72</v>
      </c>
      <c r="D5217" s="1">
        <v>0.34</v>
      </c>
      <c r="E5217" s="1" t="s">
        <v>220</v>
      </c>
      <c r="F5217" s="1" t="s">
        <v>220</v>
      </c>
      <c r="G5217" s="1" t="s">
        <v>220</v>
      </c>
      <c r="H5217" s="1" t="str">
        <f>VLOOKUP(F5217,Countries!$A$1:$B$161,2,0)</f>
        <v>Ghana</v>
      </c>
    </row>
    <row r="5218" spans="1:8" x14ac:dyDescent="0.3">
      <c r="A5218" s="3">
        <v>46242.601863425924</v>
      </c>
      <c r="B5218" s="1">
        <v>36.96</v>
      </c>
      <c r="C5218" s="1">
        <v>31.98</v>
      </c>
      <c r="D5218" s="1">
        <v>1.93</v>
      </c>
      <c r="E5218" s="1" t="s">
        <v>113</v>
      </c>
      <c r="F5218" s="1" t="s">
        <v>113</v>
      </c>
      <c r="G5218" s="1" t="s">
        <v>113</v>
      </c>
      <c r="H5218" s="1" t="str">
        <f>VLOOKUP(F5218,Countries!$A$1:$B$161,2,0)</f>
        <v>United States of America</v>
      </c>
    </row>
    <row r="5219" spans="1:8" x14ac:dyDescent="0.3">
      <c r="A5219" s="3">
        <v>46242.60083333333</v>
      </c>
      <c r="B5219" s="1">
        <v>36.96</v>
      </c>
      <c r="C5219" s="1">
        <v>31.98</v>
      </c>
      <c r="D5219" s="1">
        <v>1.93</v>
      </c>
      <c r="E5219" s="1" t="s">
        <v>113</v>
      </c>
      <c r="F5219" s="1" t="s">
        <v>113</v>
      </c>
      <c r="G5219" s="1" t="s">
        <v>113</v>
      </c>
      <c r="H5219" s="1" t="str">
        <f>VLOOKUP(F5219,Countries!$A$1:$B$161,2,0)</f>
        <v>United States of America</v>
      </c>
    </row>
    <row r="5220" spans="1:8" x14ac:dyDescent="0.3">
      <c r="A5220" s="3">
        <v>46242.600300925929</v>
      </c>
      <c r="B5220" s="1">
        <v>36.96</v>
      </c>
      <c r="C5220" s="1">
        <v>31.98</v>
      </c>
      <c r="D5220" s="1">
        <v>1.93</v>
      </c>
      <c r="E5220" s="1" t="s">
        <v>113</v>
      </c>
      <c r="F5220" s="1" t="s">
        <v>113</v>
      </c>
      <c r="G5220" s="1" t="s">
        <v>113</v>
      </c>
      <c r="H5220" s="1" t="str">
        <f>VLOOKUP(F5220,Countries!$A$1:$B$161,2,0)</f>
        <v>United States of America</v>
      </c>
    </row>
    <row r="5221" spans="1:8" x14ac:dyDescent="0.3">
      <c r="A5221" s="3">
        <v>46242.599710648137</v>
      </c>
      <c r="B5221" s="1">
        <v>14.77</v>
      </c>
      <c r="C5221" s="1">
        <v>12.78</v>
      </c>
      <c r="D5221" s="1">
        <v>0.93</v>
      </c>
      <c r="E5221" s="1" t="s">
        <v>113</v>
      </c>
      <c r="F5221" s="1" t="s">
        <v>113</v>
      </c>
      <c r="G5221" s="1" t="s">
        <v>113</v>
      </c>
      <c r="H5221" s="1" t="str">
        <f>VLOOKUP(F5221,Countries!$A$1:$B$161,2,0)</f>
        <v>United States of America</v>
      </c>
    </row>
    <row r="5222" spans="1:8" x14ac:dyDescent="0.3">
      <c r="A5222" s="3">
        <v>46242.599363425928</v>
      </c>
      <c r="B5222" s="1">
        <v>36.96</v>
      </c>
      <c r="C5222" s="1">
        <v>31.98</v>
      </c>
      <c r="D5222" s="1">
        <v>1.93</v>
      </c>
      <c r="E5222" s="1" t="s">
        <v>113</v>
      </c>
      <c r="F5222" s="1" t="s">
        <v>113</v>
      </c>
      <c r="G5222" s="1" t="s">
        <v>113</v>
      </c>
      <c r="H5222" s="1" t="str">
        <f>VLOOKUP(F5222,Countries!$A$1:$B$161,2,0)</f>
        <v>United States of America</v>
      </c>
    </row>
    <row r="5223" spans="1:8" x14ac:dyDescent="0.3">
      <c r="A5223" s="3">
        <v>46242.59814814815</v>
      </c>
      <c r="B5223" s="1">
        <v>36.96</v>
      </c>
      <c r="C5223" s="1">
        <v>31.98</v>
      </c>
      <c r="D5223" s="1">
        <v>1.93</v>
      </c>
      <c r="E5223" s="1" t="s">
        <v>113</v>
      </c>
      <c r="F5223" s="1" t="s">
        <v>113</v>
      </c>
      <c r="G5223" s="1" t="s">
        <v>113</v>
      </c>
      <c r="H5223" s="1" t="str">
        <f>VLOOKUP(F5223,Countries!$A$1:$B$161,2,0)</f>
        <v>United States of America</v>
      </c>
    </row>
    <row r="5224" spans="1:8" x14ac:dyDescent="0.3">
      <c r="A5224" s="3">
        <v>46242.596898148149</v>
      </c>
      <c r="B5224" s="1">
        <v>19.22</v>
      </c>
      <c r="C5224" s="1">
        <v>16.63</v>
      </c>
      <c r="D5224" s="1">
        <v>1.1200000000000001</v>
      </c>
      <c r="E5224" s="1" t="s">
        <v>113</v>
      </c>
      <c r="F5224" s="1" t="s">
        <v>113</v>
      </c>
      <c r="G5224" s="1" t="s">
        <v>113</v>
      </c>
      <c r="H5224" s="1" t="str">
        <f>VLOOKUP(F5224,Countries!$A$1:$B$161,2,0)</f>
        <v>United States of America</v>
      </c>
    </row>
    <row r="5225" spans="1:8" x14ac:dyDescent="0.3">
      <c r="A5225" s="3">
        <v>46242.592939814807</v>
      </c>
      <c r="B5225" s="1">
        <v>7.58</v>
      </c>
      <c r="C5225" s="1">
        <v>6.56</v>
      </c>
      <c r="D5225" s="1">
        <v>0.48</v>
      </c>
      <c r="E5225" s="1" t="s">
        <v>116</v>
      </c>
      <c r="F5225" s="1" t="s">
        <v>116</v>
      </c>
      <c r="G5225" s="1" t="s">
        <v>116</v>
      </c>
      <c r="H5225" s="1" t="str">
        <f>VLOOKUP(F5225,Countries!$A$1:$B$161,2,0)</f>
        <v>Spain</v>
      </c>
    </row>
    <row r="5226" spans="1:8" x14ac:dyDescent="0.3">
      <c r="A5226" s="3">
        <v>46242.592256944437</v>
      </c>
      <c r="B5226" s="1">
        <v>7.77</v>
      </c>
      <c r="C5226" s="1">
        <v>6.72</v>
      </c>
      <c r="D5226" s="1">
        <v>0.48</v>
      </c>
      <c r="E5226" s="1" t="s">
        <v>137</v>
      </c>
      <c r="F5226" s="1" t="s">
        <v>137</v>
      </c>
      <c r="G5226" s="1" t="s">
        <v>137</v>
      </c>
      <c r="H5226" s="1" t="str">
        <f>VLOOKUP(F5226,Countries!$A$1:$B$161,2,0)</f>
        <v>Poland</v>
      </c>
    </row>
    <row r="5227" spans="1:8" x14ac:dyDescent="0.3">
      <c r="A5227" s="3">
        <v>46242.58384259259</v>
      </c>
      <c r="B5227" s="1">
        <v>7.48</v>
      </c>
      <c r="C5227" s="1">
        <v>6.47</v>
      </c>
      <c r="D5227" s="1">
        <v>0.54</v>
      </c>
      <c r="E5227" s="1" t="s">
        <v>119</v>
      </c>
      <c r="F5227" s="1" t="s">
        <v>119</v>
      </c>
      <c r="G5227" s="1" t="s">
        <v>119</v>
      </c>
      <c r="H5227" s="1" t="str">
        <f>VLOOKUP(F5227,Countries!$A$1:$B$161,2,0)</f>
        <v>Great Britain (United Kingdom)</v>
      </c>
    </row>
    <row r="5228" spans="1:8" x14ac:dyDescent="0.3">
      <c r="A5228" s="3">
        <v>46242.562314814822</v>
      </c>
      <c r="B5228" s="1">
        <v>14.77</v>
      </c>
      <c r="C5228" s="1">
        <v>12.78</v>
      </c>
      <c r="D5228" s="1">
        <v>0.93</v>
      </c>
      <c r="E5228" s="1" t="s">
        <v>113</v>
      </c>
      <c r="F5228" s="1" t="s">
        <v>113</v>
      </c>
      <c r="G5228" s="1" t="s">
        <v>113</v>
      </c>
      <c r="H5228" s="1" t="str">
        <f>VLOOKUP(F5228,Countries!$A$1:$B$161,2,0)</f>
        <v>United States of America</v>
      </c>
    </row>
    <row r="5229" spans="1:8" x14ac:dyDescent="0.3">
      <c r="A5229" s="3">
        <v>46242.560173611113</v>
      </c>
      <c r="B5229" s="1">
        <v>26.59</v>
      </c>
      <c r="C5229" s="1">
        <v>23</v>
      </c>
      <c r="D5229" s="1">
        <v>1.46</v>
      </c>
      <c r="E5229" s="1" t="s">
        <v>113</v>
      </c>
      <c r="F5229" s="1" t="s">
        <v>113</v>
      </c>
      <c r="G5229" s="1" t="s">
        <v>113</v>
      </c>
      <c r="H5229" s="1" t="str">
        <f>VLOOKUP(F5229,Countries!$A$1:$B$161,2,0)</f>
        <v>United States of America</v>
      </c>
    </row>
    <row r="5230" spans="1:8" x14ac:dyDescent="0.3">
      <c r="A5230" s="3">
        <v>46242.560023148151</v>
      </c>
      <c r="B5230" s="1">
        <v>12.76</v>
      </c>
      <c r="C5230" s="1">
        <v>11.04</v>
      </c>
      <c r="D5230" s="1">
        <v>0.83</v>
      </c>
      <c r="E5230" s="1" t="s">
        <v>113</v>
      </c>
      <c r="F5230" s="1" t="s">
        <v>113</v>
      </c>
      <c r="G5230" s="1" t="s">
        <v>113</v>
      </c>
      <c r="H5230" s="1" t="str">
        <f>VLOOKUP(F5230,Countries!$A$1:$B$161,2,0)</f>
        <v>United States of America</v>
      </c>
    </row>
    <row r="5231" spans="1:8" x14ac:dyDescent="0.3">
      <c r="A5231" s="3">
        <v>46242.559502314813</v>
      </c>
      <c r="B5231" s="1">
        <v>13.82</v>
      </c>
      <c r="C5231" s="1">
        <v>11.96</v>
      </c>
      <c r="D5231" s="1">
        <v>0.88</v>
      </c>
      <c r="E5231" s="1" t="s">
        <v>113</v>
      </c>
      <c r="F5231" s="1" t="s">
        <v>113</v>
      </c>
      <c r="G5231" s="1" t="s">
        <v>113</v>
      </c>
      <c r="H5231" s="1" t="str">
        <f>VLOOKUP(F5231,Countries!$A$1:$B$161,2,0)</f>
        <v>United States of America</v>
      </c>
    </row>
    <row r="5232" spans="1:8" x14ac:dyDescent="0.3">
      <c r="A5232" s="3">
        <v>46242.552499999998</v>
      </c>
      <c r="B5232" s="1">
        <v>6.37</v>
      </c>
      <c r="C5232" s="1">
        <v>5.51</v>
      </c>
      <c r="D5232" s="1">
        <v>0.54</v>
      </c>
      <c r="E5232" s="1" t="s">
        <v>113</v>
      </c>
      <c r="F5232" s="1" t="s">
        <v>113</v>
      </c>
      <c r="G5232" s="1" t="s">
        <v>113</v>
      </c>
      <c r="H5232" s="1" t="str">
        <f>VLOOKUP(F5232,Countries!$A$1:$B$161,2,0)</f>
        <v>United States of America</v>
      </c>
    </row>
    <row r="5233" spans="1:8" x14ac:dyDescent="0.3">
      <c r="A5233" s="3">
        <v>46242.545092592591</v>
      </c>
      <c r="B5233" s="1">
        <v>6.37</v>
      </c>
      <c r="C5233" s="1">
        <v>5.51</v>
      </c>
      <c r="D5233" s="1">
        <v>0.54</v>
      </c>
      <c r="E5233" s="1" t="s">
        <v>113</v>
      </c>
      <c r="F5233" s="1" t="s">
        <v>113</v>
      </c>
      <c r="G5233" s="1" t="s">
        <v>113</v>
      </c>
      <c r="H5233" s="1" t="str">
        <f>VLOOKUP(F5233,Countries!$A$1:$B$161,2,0)</f>
        <v>United States of America</v>
      </c>
    </row>
    <row r="5234" spans="1:8" x14ac:dyDescent="0.3">
      <c r="A5234" s="3">
        <v>46242.536840277768</v>
      </c>
      <c r="B5234" s="1">
        <v>2.99</v>
      </c>
      <c r="C5234" s="1">
        <v>2.59</v>
      </c>
      <c r="D5234" s="1">
        <v>0.38</v>
      </c>
      <c r="E5234" s="1" t="s">
        <v>150</v>
      </c>
      <c r="F5234" s="1" t="s">
        <v>150</v>
      </c>
      <c r="G5234" s="1" t="s">
        <v>150</v>
      </c>
      <c r="H5234" s="1" t="str">
        <f>VLOOKUP(F5234,Countries!$A$1:$B$161,2,0)</f>
        <v>El Salvador</v>
      </c>
    </row>
    <row r="5235" spans="1:8" x14ac:dyDescent="0.3">
      <c r="A5235" s="3">
        <v>46242.533587962957</v>
      </c>
      <c r="B5235" s="1">
        <v>7.48</v>
      </c>
      <c r="C5235" s="1">
        <v>6.47</v>
      </c>
      <c r="D5235" s="1">
        <v>0.54</v>
      </c>
      <c r="E5235" s="1" t="s">
        <v>119</v>
      </c>
      <c r="F5235" s="1" t="s">
        <v>119</v>
      </c>
      <c r="G5235" s="1" t="s">
        <v>119</v>
      </c>
      <c r="H5235" s="1" t="str">
        <f>VLOOKUP(F5235,Countries!$A$1:$B$161,2,0)</f>
        <v>Great Britain (United Kingdom)</v>
      </c>
    </row>
    <row r="5236" spans="1:8" x14ac:dyDescent="0.3">
      <c r="A5236" s="3">
        <v>46242.500914351847</v>
      </c>
      <c r="B5236" s="1">
        <v>7.48</v>
      </c>
      <c r="C5236" s="1">
        <v>6.47</v>
      </c>
      <c r="D5236" s="1">
        <v>0.54</v>
      </c>
      <c r="E5236" s="1" t="s">
        <v>119</v>
      </c>
      <c r="F5236" s="1" t="s">
        <v>119</v>
      </c>
      <c r="G5236" s="1" t="s">
        <v>119</v>
      </c>
      <c r="H5236" s="1" t="str">
        <f>VLOOKUP(F5236,Countries!$A$1:$B$161,2,0)</f>
        <v>Great Britain (United Kingdom)</v>
      </c>
    </row>
    <row r="5237" spans="1:8" x14ac:dyDescent="0.3">
      <c r="A5237" s="3">
        <v>46242.494351851848</v>
      </c>
      <c r="B5237" s="1">
        <v>4.24</v>
      </c>
      <c r="C5237" s="1">
        <v>3.67</v>
      </c>
      <c r="D5237" s="1">
        <v>0.44</v>
      </c>
      <c r="E5237" s="1" t="s">
        <v>113</v>
      </c>
      <c r="F5237" s="1" t="s">
        <v>113</v>
      </c>
      <c r="G5237" s="1" t="s">
        <v>113</v>
      </c>
      <c r="H5237" s="1" t="str">
        <f>VLOOKUP(F5237,Countries!$A$1:$B$161,2,0)</f>
        <v>United States of America</v>
      </c>
    </row>
    <row r="5238" spans="1:8" x14ac:dyDescent="0.3">
      <c r="A5238" s="3">
        <v>46242.487025462957</v>
      </c>
      <c r="B5238" s="1">
        <v>29.57</v>
      </c>
      <c r="C5238" s="1">
        <v>25.58</v>
      </c>
      <c r="D5238" s="1">
        <v>1.59</v>
      </c>
      <c r="E5238" s="1" t="s">
        <v>113</v>
      </c>
      <c r="F5238" s="1" t="s">
        <v>113</v>
      </c>
      <c r="G5238" s="1" t="s">
        <v>113</v>
      </c>
      <c r="H5238" s="1" t="str">
        <f>VLOOKUP(F5238,Countries!$A$1:$B$161,2,0)</f>
        <v>United States of America</v>
      </c>
    </row>
    <row r="5239" spans="1:8" x14ac:dyDescent="0.3">
      <c r="A5239" s="3">
        <v>46242.486157407409</v>
      </c>
      <c r="B5239" s="1">
        <v>17.010000000000002</v>
      </c>
      <c r="C5239" s="1">
        <v>14.72</v>
      </c>
      <c r="D5239" s="1">
        <v>1.02</v>
      </c>
      <c r="E5239" s="1" t="s">
        <v>113</v>
      </c>
      <c r="F5239" s="1" t="s">
        <v>113</v>
      </c>
      <c r="G5239" s="1" t="s">
        <v>113</v>
      </c>
      <c r="H5239" s="1" t="str">
        <f>VLOOKUP(F5239,Countries!$A$1:$B$161,2,0)</f>
        <v>United States of America</v>
      </c>
    </row>
    <row r="5240" spans="1:8" x14ac:dyDescent="0.3">
      <c r="A5240" s="3">
        <v>46242.485844907409</v>
      </c>
      <c r="B5240" s="1">
        <v>17.760000000000002</v>
      </c>
      <c r="C5240" s="1">
        <v>15.37</v>
      </c>
      <c r="D5240" s="1">
        <v>1.06</v>
      </c>
      <c r="E5240" s="1" t="s">
        <v>121</v>
      </c>
      <c r="F5240" s="1" t="s">
        <v>121</v>
      </c>
      <c r="G5240" s="1" t="s">
        <v>121</v>
      </c>
      <c r="H5240" s="1" t="str">
        <f>VLOOKUP(F5240,Countries!$A$1:$B$161,2,0)</f>
        <v>Japan</v>
      </c>
    </row>
    <row r="5241" spans="1:8" x14ac:dyDescent="0.3">
      <c r="A5241" s="3">
        <v>46242.475162037037</v>
      </c>
      <c r="B5241" s="1">
        <v>13.82</v>
      </c>
      <c r="C5241" s="1">
        <v>11.96</v>
      </c>
      <c r="D5241" s="1">
        <v>0.88</v>
      </c>
      <c r="E5241" s="1" t="s">
        <v>113</v>
      </c>
      <c r="F5241" s="1" t="s">
        <v>113</v>
      </c>
      <c r="G5241" s="1" t="s">
        <v>113</v>
      </c>
      <c r="H5241" s="1" t="str">
        <f>VLOOKUP(F5241,Countries!$A$1:$B$161,2,0)</f>
        <v>United States of America</v>
      </c>
    </row>
    <row r="5242" spans="1:8" x14ac:dyDescent="0.3">
      <c r="A5242" s="3">
        <v>46242.47452546296</v>
      </c>
      <c r="B5242" s="1">
        <v>6.37</v>
      </c>
      <c r="C5242" s="1">
        <v>5.51</v>
      </c>
      <c r="D5242" s="1">
        <v>0.54</v>
      </c>
      <c r="E5242" s="1" t="s">
        <v>113</v>
      </c>
      <c r="F5242" s="1" t="s">
        <v>113</v>
      </c>
      <c r="G5242" s="1" t="s">
        <v>113</v>
      </c>
      <c r="H5242" s="1" t="str">
        <f>VLOOKUP(F5242,Countries!$A$1:$B$161,2,0)</f>
        <v>United States of America</v>
      </c>
    </row>
    <row r="5243" spans="1:8" x14ac:dyDescent="0.3">
      <c r="A5243" s="3">
        <v>46242.468136574083</v>
      </c>
      <c r="B5243" s="1">
        <v>3.88</v>
      </c>
      <c r="C5243" s="1">
        <v>3.36</v>
      </c>
      <c r="D5243" s="1">
        <v>0.37</v>
      </c>
      <c r="E5243" s="1" t="s">
        <v>137</v>
      </c>
      <c r="F5243" s="1" t="s">
        <v>137</v>
      </c>
      <c r="G5243" s="1" t="s">
        <v>137</v>
      </c>
      <c r="H5243" s="1" t="str">
        <f>VLOOKUP(F5243,Countries!$A$1:$B$161,2,0)</f>
        <v>Poland</v>
      </c>
    </row>
    <row r="5244" spans="1:8" x14ac:dyDescent="0.3">
      <c r="A5244" s="3">
        <v>46242.452175925922</v>
      </c>
      <c r="B5244" s="1">
        <v>6.3</v>
      </c>
      <c r="C5244" s="1">
        <v>5.45</v>
      </c>
      <c r="D5244" s="1">
        <v>0.54</v>
      </c>
      <c r="E5244" s="1" t="s">
        <v>132</v>
      </c>
      <c r="F5244" s="1" t="s">
        <v>132</v>
      </c>
      <c r="G5244" s="1" t="s">
        <v>132</v>
      </c>
      <c r="H5244" s="1" t="str">
        <f>VLOOKUP(F5244,Countries!$A$1:$B$161,2,0)</f>
        <v>Canada</v>
      </c>
    </row>
    <row r="5245" spans="1:8" x14ac:dyDescent="0.3">
      <c r="A5245" s="3">
        <v>46242.441944444443</v>
      </c>
      <c r="B5245" s="1">
        <v>7.48</v>
      </c>
      <c r="C5245" s="1">
        <v>6.47</v>
      </c>
      <c r="D5245" s="1">
        <v>0.48</v>
      </c>
      <c r="E5245" s="1" t="s">
        <v>123</v>
      </c>
      <c r="F5245" s="1" t="s">
        <v>123</v>
      </c>
      <c r="G5245" s="1" t="s">
        <v>123</v>
      </c>
      <c r="H5245" s="1" t="str">
        <f>VLOOKUP(F5245,Countries!$A$1:$B$161,2,0)</f>
        <v>France</v>
      </c>
    </row>
    <row r="5246" spans="1:8" x14ac:dyDescent="0.3">
      <c r="A5246" s="3">
        <v>46242.437094907407</v>
      </c>
      <c r="B5246" s="1">
        <v>19.22</v>
      </c>
      <c r="C5246" s="1">
        <v>16.63</v>
      </c>
      <c r="D5246" s="1">
        <v>1.1200000000000001</v>
      </c>
      <c r="E5246" s="1" t="s">
        <v>113</v>
      </c>
      <c r="F5246" s="1" t="s">
        <v>113</v>
      </c>
      <c r="G5246" s="1" t="s">
        <v>113</v>
      </c>
      <c r="H5246" s="1" t="str">
        <f>VLOOKUP(F5246,Countries!$A$1:$B$161,2,0)</f>
        <v>United States of America</v>
      </c>
    </row>
    <row r="5247" spans="1:8" x14ac:dyDescent="0.3">
      <c r="A5247" s="3">
        <v>46242.436701388891</v>
      </c>
      <c r="B5247" s="1">
        <v>23.65</v>
      </c>
      <c r="C5247" s="1">
        <v>20.46</v>
      </c>
      <c r="D5247" s="1">
        <v>1.32</v>
      </c>
      <c r="E5247" s="1" t="s">
        <v>113</v>
      </c>
      <c r="F5247" s="1" t="s">
        <v>113</v>
      </c>
      <c r="G5247" s="1" t="s">
        <v>113</v>
      </c>
      <c r="H5247" s="1" t="str">
        <f>VLOOKUP(F5247,Countries!$A$1:$B$161,2,0)</f>
        <v>United States of America</v>
      </c>
    </row>
    <row r="5248" spans="1:8" x14ac:dyDescent="0.3">
      <c r="A5248" s="3">
        <v>46242.435312499998</v>
      </c>
      <c r="B5248" s="1">
        <v>7.58</v>
      </c>
      <c r="C5248" s="1">
        <v>6.56</v>
      </c>
      <c r="D5248" s="1">
        <v>0.48</v>
      </c>
      <c r="E5248" s="1" t="s">
        <v>116</v>
      </c>
      <c r="F5248" s="1" t="s">
        <v>116</v>
      </c>
      <c r="G5248" s="1" t="s">
        <v>116</v>
      </c>
      <c r="H5248" s="1" t="str">
        <f>VLOOKUP(F5248,Countries!$A$1:$B$161,2,0)</f>
        <v>Spain</v>
      </c>
    </row>
    <row r="5249" spans="1:8" x14ac:dyDescent="0.3">
      <c r="A5249" s="3">
        <v>46242.42224537037</v>
      </c>
      <c r="B5249" s="1">
        <v>14.77</v>
      </c>
      <c r="C5249" s="1">
        <v>12.78</v>
      </c>
      <c r="D5249" s="1">
        <v>0.93</v>
      </c>
      <c r="E5249" s="1" t="s">
        <v>113</v>
      </c>
      <c r="F5249" s="1" t="s">
        <v>113</v>
      </c>
      <c r="G5249" s="1" t="s">
        <v>113</v>
      </c>
      <c r="H5249" s="1" t="str">
        <f>VLOOKUP(F5249,Countries!$A$1:$B$161,2,0)</f>
        <v>United States of America</v>
      </c>
    </row>
    <row r="5250" spans="1:8" x14ac:dyDescent="0.3">
      <c r="A5250" s="3">
        <v>46242.417696759258</v>
      </c>
      <c r="B5250" s="1">
        <v>6.37</v>
      </c>
      <c r="C5250" s="1">
        <v>5.51</v>
      </c>
      <c r="D5250" s="1">
        <v>0.54</v>
      </c>
      <c r="E5250" s="1" t="s">
        <v>113</v>
      </c>
      <c r="F5250" s="1" t="s">
        <v>113</v>
      </c>
      <c r="G5250" s="1" t="s">
        <v>113</v>
      </c>
      <c r="H5250" s="1" t="str">
        <f>VLOOKUP(F5250,Countries!$A$1:$B$161,2,0)</f>
        <v>United States of America</v>
      </c>
    </row>
    <row r="5251" spans="1:8" x14ac:dyDescent="0.3">
      <c r="A5251" s="3">
        <v>46242.415821759263</v>
      </c>
      <c r="B5251" s="1">
        <v>58.41</v>
      </c>
      <c r="C5251" s="1">
        <v>50.53</v>
      </c>
      <c r="D5251" s="1">
        <v>2.9</v>
      </c>
      <c r="E5251" s="1" t="s">
        <v>132</v>
      </c>
      <c r="F5251" s="1" t="s">
        <v>132</v>
      </c>
      <c r="G5251" s="1" t="s">
        <v>132</v>
      </c>
      <c r="H5251" s="1" t="str">
        <f>VLOOKUP(F5251,Countries!$A$1:$B$161,2,0)</f>
        <v>Canada</v>
      </c>
    </row>
    <row r="5252" spans="1:8" x14ac:dyDescent="0.3">
      <c r="A5252" s="3">
        <v>46242.411030092589</v>
      </c>
      <c r="B5252" s="1">
        <v>6.37</v>
      </c>
      <c r="C5252" s="1">
        <v>5.51</v>
      </c>
      <c r="D5252" s="1">
        <v>0.54</v>
      </c>
      <c r="E5252" s="1" t="s">
        <v>113</v>
      </c>
      <c r="F5252" s="1" t="s">
        <v>113</v>
      </c>
      <c r="G5252" s="1" t="s">
        <v>113</v>
      </c>
      <c r="H5252" s="1" t="str">
        <f>VLOOKUP(F5252,Countries!$A$1:$B$161,2,0)</f>
        <v>United States of America</v>
      </c>
    </row>
    <row r="5253" spans="1:8" x14ac:dyDescent="0.3">
      <c r="A5253" s="3">
        <v>46242.408090277779</v>
      </c>
      <c r="B5253" s="1">
        <v>6.37</v>
      </c>
      <c r="C5253" s="1">
        <v>5.51</v>
      </c>
      <c r="D5253" s="1">
        <v>0.54</v>
      </c>
      <c r="E5253" s="1" t="s">
        <v>113</v>
      </c>
      <c r="F5253" s="1" t="s">
        <v>113</v>
      </c>
      <c r="G5253" s="1" t="s">
        <v>113</v>
      </c>
      <c r="H5253" s="1" t="str">
        <f>VLOOKUP(F5253,Countries!$A$1:$B$161,2,0)</f>
        <v>United States of America</v>
      </c>
    </row>
    <row r="5254" spans="1:8" x14ac:dyDescent="0.3">
      <c r="A5254" s="3">
        <v>46242.407638888893</v>
      </c>
      <c r="B5254" s="1">
        <v>6.37</v>
      </c>
      <c r="C5254" s="1">
        <v>5.51</v>
      </c>
      <c r="D5254" s="1">
        <v>0.54</v>
      </c>
      <c r="E5254" s="1" t="s">
        <v>113</v>
      </c>
      <c r="F5254" s="1" t="s">
        <v>113</v>
      </c>
      <c r="G5254" s="1" t="s">
        <v>113</v>
      </c>
      <c r="H5254" s="1" t="str">
        <f>VLOOKUP(F5254,Countries!$A$1:$B$161,2,0)</f>
        <v>United States of America</v>
      </c>
    </row>
    <row r="5255" spans="1:8" x14ac:dyDescent="0.3">
      <c r="A5255" s="3">
        <v>46242.407280092593</v>
      </c>
      <c r="B5255" s="1">
        <v>6.37</v>
      </c>
      <c r="C5255" s="1">
        <v>5.51</v>
      </c>
      <c r="D5255" s="1">
        <v>0.54</v>
      </c>
      <c r="E5255" s="1" t="s">
        <v>113</v>
      </c>
      <c r="F5255" s="1" t="s">
        <v>113</v>
      </c>
      <c r="G5255" s="1" t="s">
        <v>113</v>
      </c>
      <c r="H5255" s="1" t="str">
        <f>VLOOKUP(F5255,Countries!$A$1:$B$161,2,0)</f>
        <v>United States of America</v>
      </c>
    </row>
    <row r="5256" spans="1:8" x14ac:dyDescent="0.3">
      <c r="A5256" s="3">
        <v>46242.404756944437</v>
      </c>
      <c r="B5256" s="1">
        <v>2.99</v>
      </c>
      <c r="C5256" s="1">
        <v>2.59</v>
      </c>
      <c r="D5256" s="1">
        <v>0.38</v>
      </c>
      <c r="E5256" s="1" t="s">
        <v>113</v>
      </c>
      <c r="F5256" s="1" t="s">
        <v>113</v>
      </c>
      <c r="G5256" s="1" t="s">
        <v>113</v>
      </c>
      <c r="H5256" s="1" t="str">
        <f>VLOOKUP(F5256,Countries!$A$1:$B$161,2,0)</f>
        <v>United States of America</v>
      </c>
    </row>
    <row r="5257" spans="1:8" x14ac:dyDescent="0.3">
      <c r="A5257" s="3">
        <v>46242.403009259258</v>
      </c>
      <c r="B5257" s="1">
        <v>6.37</v>
      </c>
      <c r="C5257" s="1">
        <v>5.51</v>
      </c>
      <c r="D5257" s="1">
        <v>0.54</v>
      </c>
      <c r="E5257" s="1" t="s">
        <v>113</v>
      </c>
      <c r="F5257" s="1" t="s">
        <v>113</v>
      </c>
      <c r="G5257" s="1" t="s">
        <v>113</v>
      </c>
      <c r="H5257" s="1" t="str">
        <f>VLOOKUP(F5257,Countries!$A$1:$B$161,2,0)</f>
        <v>United States of America</v>
      </c>
    </row>
    <row r="5258" spans="1:8" x14ac:dyDescent="0.3">
      <c r="A5258" s="3">
        <v>46242.401539351849</v>
      </c>
      <c r="B5258" s="1">
        <v>32.53</v>
      </c>
      <c r="C5258" s="1">
        <v>28.14</v>
      </c>
      <c r="D5258" s="1">
        <v>1.72</v>
      </c>
      <c r="E5258" s="1" t="s">
        <v>113</v>
      </c>
      <c r="F5258" s="1" t="s">
        <v>113</v>
      </c>
      <c r="G5258" s="1" t="s">
        <v>113</v>
      </c>
      <c r="H5258" s="1" t="str">
        <f>VLOOKUP(F5258,Countries!$A$1:$B$161,2,0)</f>
        <v>United States of America</v>
      </c>
    </row>
    <row r="5259" spans="1:8" x14ac:dyDescent="0.3">
      <c r="A5259" s="3">
        <v>46242.401539351849</v>
      </c>
      <c r="B5259" s="1">
        <v>10.51</v>
      </c>
      <c r="C5259" s="1">
        <v>9.09</v>
      </c>
      <c r="D5259" s="1">
        <v>0.73</v>
      </c>
      <c r="E5259" s="1" t="s">
        <v>143</v>
      </c>
      <c r="F5259" s="1" t="s">
        <v>143</v>
      </c>
      <c r="G5259" s="1" t="s">
        <v>143</v>
      </c>
      <c r="H5259" s="1" t="str">
        <f>VLOOKUP(F5259,Countries!$A$1:$B$161,2,0)</f>
        <v>United Arab Emirates</v>
      </c>
    </row>
    <row r="5260" spans="1:8" x14ac:dyDescent="0.3">
      <c r="A5260" s="3">
        <v>46242.400254629632</v>
      </c>
      <c r="B5260" s="1">
        <v>1.99</v>
      </c>
      <c r="C5260" s="1">
        <v>1.72</v>
      </c>
      <c r="D5260" s="1">
        <v>0.34</v>
      </c>
      <c r="E5260" s="1" t="s">
        <v>126</v>
      </c>
      <c r="F5260" s="1" t="s">
        <v>126</v>
      </c>
      <c r="G5260" s="1" t="s">
        <v>126</v>
      </c>
      <c r="H5260" s="1" t="str">
        <f>VLOOKUP(F5260,Countries!$A$1:$B$161,2,0)</f>
        <v>Cambodia</v>
      </c>
    </row>
    <row r="5261" spans="1:8" x14ac:dyDescent="0.3">
      <c r="A5261" s="3">
        <v>46242.396585648137</v>
      </c>
      <c r="B5261" s="1">
        <v>26.61</v>
      </c>
      <c r="C5261" s="1">
        <v>23.02</v>
      </c>
      <c r="D5261" s="1">
        <v>1.46</v>
      </c>
      <c r="E5261" s="1" t="s">
        <v>113</v>
      </c>
      <c r="F5261" s="1" t="s">
        <v>113</v>
      </c>
      <c r="G5261" s="1" t="s">
        <v>113</v>
      </c>
      <c r="H5261" s="1" t="str">
        <f>VLOOKUP(F5261,Countries!$A$1:$B$161,2,0)</f>
        <v>United States of America</v>
      </c>
    </row>
    <row r="5262" spans="1:8" x14ac:dyDescent="0.3">
      <c r="A5262" s="3">
        <v>46242.391250000001</v>
      </c>
      <c r="B5262" s="1">
        <v>10.51</v>
      </c>
      <c r="C5262" s="1">
        <v>9.09</v>
      </c>
      <c r="D5262" s="1">
        <v>0.73</v>
      </c>
      <c r="E5262" s="1" t="s">
        <v>143</v>
      </c>
      <c r="F5262" s="1" t="s">
        <v>143</v>
      </c>
      <c r="G5262" s="1" t="s">
        <v>143</v>
      </c>
      <c r="H5262" s="1" t="str">
        <f>VLOOKUP(F5262,Countries!$A$1:$B$161,2,0)</f>
        <v>United Arab Emirates</v>
      </c>
    </row>
    <row r="5263" spans="1:8" x14ac:dyDescent="0.3">
      <c r="A5263" s="3">
        <v>46242.388564814813</v>
      </c>
      <c r="B5263" s="1">
        <v>10.51</v>
      </c>
      <c r="C5263" s="1">
        <v>9.09</v>
      </c>
      <c r="D5263" s="1">
        <v>0.73</v>
      </c>
      <c r="E5263" s="1" t="s">
        <v>143</v>
      </c>
      <c r="F5263" s="1" t="s">
        <v>143</v>
      </c>
      <c r="G5263" s="1" t="s">
        <v>143</v>
      </c>
      <c r="H5263" s="1" t="str">
        <f>VLOOKUP(F5263,Countries!$A$1:$B$161,2,0)</f>
        <v>United Arab Emirates</v>
      </c>
    </row>
    <row r="5264" spans="1:8" x14ac:dyDescent="0.3">
      <c r="A5264" s="3">
        <v>46242.384583333333</v>
      </c>
      <c r="B5264" s="1">
        <v>10.51</v>
      </c>
      <c r="C5264" s="1">
        <v>9.09</v>
      </c>
      <c r="D5264" s="1">
        <v>0.73</v>
      </c>
      <c r="E5264" s="1" t="s">
        <v>143</v>
      </c>
      <c r="F5264" s="1" t="s">
        <v>143</v>
      </c>
      <c r="G5264" s="1" t="s">
        <v>143</v>
      </c>
      <c r="H5264" s="1" t="str">
        <f>VLOOKUP(F5264,Countries!$A$1:$B$161,2,0)</f>
        <v>United Arab Emirates</v>
      </c>
    </row>
    <row r="5265" spans="1:8" x14ac:dyDescent="0.3">
      <c r="A5265" s="3">
        <v>46242.381932870368</v>
      </c>
      <c r="B5265" s="1">
        <v>2.11</v>
      </c>
      <c r="C5265" s="1">
        <v>1.83</v>
      </c>
      <c r="D5265" s="1">
        <v>0.35</v>
      </c>
      <c r="E5265" s="1" t="s">
        <v>113</v>
      </c>
      <c r="F5265" s="1" t="s">
        <v>113</v>
      </c>
      <c r="G5265" s="1" t="s">
        <v>113</v>
      </c>
      <c r="H5265" s="1" t="str">
        <f>VLOOKUP(F5265,Countries!$A$1:$B$161,2,0)</f>
        <v>United States of America</v>
      </c>
    </row>
    <row r="5266" spans="1:8" x14ac:dyDescent="0.3">
      <c r="A5266" s="3">
        <v>46242.354016203702</v>
      </c>
      <c r="B5266" s="1">
        <v>2.11</v>
      </c>
      <c r="C5266" s="1">
        <v>1.83</v>
      </c>
      <c r="D5266" s="1">
        <v>0.35</v>
      </c>
      <c r="E5266" s="1" t="s">
        <v>113</v>
      </c>
      <c r="F5266" s="1" t="s">
        <v>113</v>
      </c>
      <c r="G5266" s="1" t="s">
        <v>113</v>
      </c>
      <c r="H5266" s="1" t="str">
        <f>VLOOKUP(F5266,Countries!$A$1:$B$161,2,0)</f>
        <v>United States of America</v>
      </c>
    </row>
    <row r="5267" spans="1:8" x14ac:dyDescent="0.3">
      <c r="A5267" s="3">
        <v>46242.35224537037</v>
      </c>
      <c r="B5267" s="1">
        <v>30.85</v>
      </c>
      <c r="C5267" s="1">
        <v>26.69</v>
      </c>
      <c r="D5267" s="1">
        <v>1.65</v>
      </c>
      <c r="E5267" s="1" t="s">
        <v>113</v>
      </c>
      <c r="F5267" s="1" t="s">
        <v>113</v>
      </c>
      <c r="G5267" s="1" t="s">
        <v>113</v>
      </c>
      <c r="H5267" s="1" t="str">
        <f>VLOOKUP(F5267,Countries!$A$1:$B$161,2,0)</f>
        <v>United States of America</v>
      </c>
    </row>
    <row r="5268" spans="1:8" x14ac:dyDescent="0.3">
      <c r="A5268" s="3">
        <v>46242.351643518523</v>
      </c>
      <c r="B5268" s="1">
        <v>7.48</v>
      </c>
      <c r="C5268" s="1">
        <v>6.47</v>
      </c>
      <c r="D5268" s="1">
        <v>0.54</v>
      </c>
      <c r="E5268" s="1" t="s">
        <v>119</v>
      </c>
      <c r="F5268" s="1" t="s">
        <v>119</v>
      </c>
      <c r="G5268" s="1" t="s">
        <v>119</v>
      </c>
      <c r="H5268" s="1" t="str">
        <f>VLOOKUP(F5268,Countries!$A$1:$B$161,2,0)</f>
        <v>Great Britain (United Kingdom)</v>
      </c>
    </row>
    <row r="5269" spans="1:8" x14ac:dyDescent="0.3">
      <c r="A5269" s="3">
        <v>46242.337847222218</v>
      </c>
      <c r="B5269" s="1">
        <v>14.77</v>
      </c>
      <c r="C5269" s="1">
        <v>12.78</v>
      </c>
      <c r="D5269" s="1">
        <v>0.93</v>
      </c>
      <c r="E5269" s="1" t="s">
        <v>113</v>
      </c>
      <c r="F5269" s="1" t="s">
        <v>113</v>
      </c>
      <c r="G5269" s="1" t="s">
        <v>113</v>
      </c>
      <c r="H5269" s="1" t="str">
        <f>VLOOKUP(F5269,Countries!$A$1:$B$161,2,0)</f>
        <v>United States of America</v>
      </c>
    </row>
    <row r="5270" spans="1:8" x14ac:dyDescent="0.3">
      <c r="A5270" s="3">
        <v>46242.336157407408</v>
      </c>
      <c r="B5270" s="1">
        <v>17.36</v>
      </c>
      <c r="C5270" s="1">
        <v>15.02</v>
      </c>
      <c r="D5270" s="1">
        <v>0.93</v>
      </c>
      <c r="E5270" s="1" t="s">
        <v>119</v>
      </c>
      <c r="F5270" s="1" t="s">
        <v>119</v>
      </c>
      <c r="G5270" s="1" t="s">
        <v>119</v>
      </c>
      <c r="H5270" s="1" t="str">
        <f>VLOOKUP(F5270,Countries!$A$1:$B$161,2,0)</f>
        <v>Great Britain (United Kingdom)</v>
      </c>
    </row>
    <row r="5271" spans="1:8" x14ac:dyDescent="0.3">
      <c r="A5271" s="3">
        <v>46242.32949074074</v>
      </c>
      <c r="B5271" s="1">
        <v>7.39</v>
      </c>
      <c r="C5271" s="1">
        <v>6.39</v>
      </c>
      <c r="D5271" s="1">
        <v>0.59</v>
      </c>
      <c r="E5271" s="1" t="s">
        <v>163</v>
      </c>
      <c r="F5271" s="1" t="s">
        <v>163</v>
      </c>
      <c r="G5271" s="1" t="s">
        <v>163</v>
      </c>
      <c r="H5271" s="1" t="str">
        <f>VLOOKUP(F5271,Countries!$A$1:$B$161,2,0)</f>
        <v>Saudi Arabia</v>
      </c>
    </row>
    <row r="5272" spans="1:8" x14ac:dyDescent="0.3">
      <c r="A5272" s="3">
        <v>46242.324548611112</v>
      </c>
      <c r="B5272" s="1">
        <v>6.37</v>
      </c>
      <c r="C5272" s="1">
        <v>5.51</v>
      </c>
      <c r="D5272" s="1">
        <v>0.54</v>
      </c>
      <c r="E5272" s="1" t="s">
        <v>113</v>
      </c>
      <c r="F5272" s="1" t="s">
        <v>113</v>
      </c>
      <c r="G5272" s="1" t="s">
        <v>113</v>
      </c>
      <c r="H5272" s="1" t="str">
        <f>VLOOKUP(F5272,Countries!$A$1:$B$161,2,0)</f>
        <v>United States of America</v>
      </c>
    </row>
    <row r="5273" spans="1:8" x14ac:dyDescent="0.3">
      <c r="A5273" s="3">
        <v>46242.316516203697</v>
      </c>
      <c r="B5273" s="1">
        <v>30.85</v>
      </c>
      <c r="C5273" s="1">
        <v>26.69</v>
      </c>
      <c r="D5273" s="1">
        <v>1.65</v>
      </c>
      <c r="E5273" s="1" t="s">
        <v>113</v>
      </c>
      <c r="F5273" s="1" t="s">
        <v>113</v>
      </c>
      <c r="G5273" s="1" t="s">
        <v>113</v>
      </c>
      <c r="H5273" s="1" t="str">
        <f>VLOOKUP(F5273,Countries!$A$1:$B$161,2,0)</f>
        <v>United States of America</v>
      </c>
    </row>
    <row r="5274" spans="1:8" x14ac:dyDescent="0.3">
      <c r="A5274" s="3">
        <v>46242.316030092603</v>
      </c>
      <c r="B5274" s="1">
        <v>1.99</v>
      </c>
      <c r="C5274" s="1">
        <v>1.72</v>
      </c>
      <c r="D5274" s="1">
        <v>0.34</v>
      </c>
      <c r="E5274" s="1" t="s">
        <v>164</v>
      </c>
      <c r="F5274" s="1" t="s">
        <v>164</v>
      </c>
      <c r="G5274" s="1" t="s">
        <v>164</v>
      </c>
      <c r="H5274" s="1" t="str">
        <f>VLOOKUP(F5274,Countries!$A$1:$B$161,2,0)</f>
        <v>Guyana</v>
      </c>
    </row>
    <row r="5275" spans="1:8" x14ac:dyDescent="0.3">
      <c r="A5275" s="3">
        <v>46242.310069444437</v>
      </c>
      <c r="B5275" s="1">
        <v>17.36</v>
      </c>
      <c r="C5275" s="1">
        <v>15.02</v>
      </c>
      <c r="D5275" s="1">
        <v>0.78</v>
      </c>
      <c r="E5275" s="1" t="s">
        <v>123</v>
      </c>
      <c r="F5275" s="1" t="s">
        <v>123</v>
      </c>
      <c r="G5275" s="1" t="s">
        <v>123</v>
      </c>
      <c r="H5275" s="1" t="str">
        <f>VLOOKUP(F5275,Countries!$A$1:$B$161,2,0)</f>
        <v>France</v>
      </c>
    </row>
    <row r="5276" spans="1:8" x14ac:dyDescent="0.3">
      <c r="A5276" s="3">
        <v>46242.307372685187</v>
      </c>
      <c r="B5276" s="1">
        <v>12.48</v>
      </c>
      <c r="C5276" s="1">
        <v>10.8</v>
      </c>
      <c r="D5276" s="1">
        <v>0.63</v>
      </c>
      <c r="E5276" s="1" t="s">
        <v>123</v>
      </c>
      <c r="F5276" s="1" t="s">
        <v>123</v>
      </c>
      <c r="G5276" s="1" t="s">
        <v>123</v>
      </c>
      <c r="H5276" s="1" t="str">
        <f>VLOOKUP(F5276,Countries!$A$1:$B$161,2,0)</f>
        <v>France</v>
      </c>
    </row>
    <row r="5277" spans="1:8" x14ac:dyDescent="0.3">
      <c r="A5277" s="3">
        <v>46242.301678240743</v>
      </c>
      <c r="B5277" s="1">
        <v>7.48</v>
      </c>
      <c r="C5277" s="1">
        <v>6.47</v>
      </c>
      <c r="D5277" s="1">
        <v>0.48</v>
      </c>
      <c r="E5277" s="1" t="s">
        <v>123</v>
      </c>
      <c r="F5277" s="1" t="s">
        <v>123</v>
      </c>
      <c r="G5277" s="1" t="s">
        <v>123</v>
      </c>
      <c r="H5277" s="1" t="str">
        <f>VLOOKUP(F5277,Countries!$A$1:$B$161,2,0)</f>
        <v>France</v>
      </c>
    </row>
    <row r="5278" spans="1:8" x14ac:dyDescent="0.3">
      <c r="A5278" s="3">
        <v>46242.301354166673</v>
      </c>
      <c r="B5278" s="1">
        <v>26.59</v>
      </c>
      <c r="C5278" s="1">
        <v>23</v>
      </c>
      <c r="D5278" s="1">
        <v>1.46</v>
      </c>
      <c r="E5278" s="1" t="s">
        <v>113</v>
      </c>
      <c r="F5278" s="1" t="s">
        <v>113</v>
      </c>
      <c r="G5278" s="1" t="s">
        <v>113</v>
      </c>
      <c r="H5278" s="1" t="str">
        <f>VLOOKUP(F5278,Countries!$A$1:$B$161,2,0)</f>
        <v>United States of America</v>
      </c>
    </row>
    <row r="5279" spans="1:8" x14ac:dyDescent="0.3">
      <c r="A5279" s="3">
        <v>46242.298807870371</v>
      </c>
      <c r="B5279" s="1">
        <v>6.37</v>
      </c>
      <c r="C5279" s="1">
        <v>5.51</v>
      </c>
      <c r="D5279" s="1">
        <v>0.54</v>
      </c>
      <c r="E5279" s="1" t="s">
        <v>113</v>
      </c>
      <c r="F5279" s="1" t="s">
        <v>113</v>
      </c>
      <c r="G5279" s="1" t="s">
        <v>113</v>
      </c>
      <c r="H5279" s="1" t="str">
        <f>VLOOKUP(F5279,Countries!$A$1:$B$161,2,0)</f>
        <v>United States of America</v>
      </c>
    </row>
    <row r="5280" spans="1:8" x14ac:dyDescent="0.3">
      <c r="A5280" s="3">
        <v>46242.29614583333</v>
      </c>
      <c r="B5280" s="1">
        <v>17.36</v>
      </c>
      <c r="C5280" s="1">
        <v>15.02</v>
      </c>
      <c r="D5280" s="1">
        <v>0.93</v>
      </c>
      <c r="E5280" s="1" t="s">
        <v>119</v>
      </c>
      <c r="F5280" s="1" t="s">
        <v>119</v>
      </c>
      <c r="G5280" s="1" t="s">
        <v>119</v>
      </c>
      <c r="H5280" s="1" t="str">
        <f>VLOOKUP(F5280,Countries!$A$1:$B$161,2,0)</f>
        <v>Great Britain (United Kingdom)</v>
      </c>
    </row>
    <row r="5281" spans="1:8" x14ac:dyDescent="0.3">
      <c r="A5281" s="3">
        <v>46242.292662037027</v>
      </c>
      <c r="B5281" s="1">
        <v>10.62</v>
      </c>
      <c r="C5281" s="1">
        <v>9.19</v>
      </c>
      <c r="D5281" s="1">
        <v>0.73</v>
      </c>
      <c r="E5281" s="1" t="s">
        <v>113</v>
      </c>
      <c r="F5281" s="1" t="s">
        <v>113</v>
      </c>
      <c r="G5281" s="1" t="s">
        <v>113</v>
      </c>
      <c r="H5281" s="1" t="str">
        <f>VLOOKUP(F5281,Countries!$A$1:$B$161,2,0)</f>
        <v>United States of America</v>
      </c>
    </row>
    <row r="5282" spans="1:8" x14ac:dyDescent="0.3">
      <c r="A5282" s="3">
        <v>46242.291435185187</v>
      </c>
      <c r="B5282" s="1">
        <v>7.48</v>
      </c>
      <c r="C5282" s="1">
        <v>6.47</v>
      </c>
      <c r="D5282" s="1">
        <v>0.48</v>
      </c>
      <c r="E5282" s="1" t="s">
        <v>123</v>
      </c>
      <c r="F5282" s="1" t="s">
        <v>123</v>
      </c>
      <c r="G5282" s="1" t="s">
        <v>123</v>
      </c>
      <c r="H5282" s="1" t="str">
        <f>VLOOKUP(F5282,Countries!$A$1:$B$161,2,0)</f>
        <v>France</v>
      </c>
    </row>
    <row r="5283" spans="1:8" x14ac:dyDescent="0.3">
      <c r="A5283" s="3">
        <v>46242.285162037027</v>
      </c>
      <c r="B5283" s="1">
        <v>7.99</v>
      </c>
      <c r="C5283" s="1">
        <v>6.91</v>
      </c>
      <c r="D5283" s="1">
        <v>0.61</v>
      </c>
      <c r="E5283" s="1" t="s">
        <v>132</v>
      </c>
      <c r="F5283" s="1" t="s">
        <v>132</v>
      </c>
      <c r="G5283" s="1" t="s">
        <v>132</v>
      </c>
      <c r="H5283" s="1" t="str">
        <f>VLOOKUP(F5283,Countries!$A$1:$B$161,2,0)</f>
        <v>Canada</v>
      </c>
    </row>
    <row r="5284" spans="1:8" x14ac:dyDescent="0.3">
      <c r="A5284" s="3">
        <v>46242.282777777778</v>
      </c>
      <c r="B5284" s="1">
        <v>6.58</v>
      </c>
      <c r="C5284" s="1">
        <v>5.69</v>
      </c>
      <c r="D5284" s="1">
        <v>0.54</v>
      </c>
      <c r="E5284" s="1" t="s">
        <v>114</v>
      </c>
      <c r="F5284" s="1" t="s">
        <v>114</v>
      </c>
      <c r="G5284" s="1" t="s">
        <v>114</v>
      </c>
      <c r="H5284" s="1" t="str">
        <f>VLOOKUP(F5284,Countries!$A$1:$B$161,2,0)</f>
        <v>Philippines</v>
      </c>
    </row>
    <row r="5285" spans="1:8" x14ac:dyDescent="0.3">
      <c r="A5285" s="3">
        <v>46242.280636574083</v>
      </c>
      <c r="B5285" s="1">
        <v>17.36</v>
      </c>
      <c r="C5285" s="1">
        <v>15.02</v>
      </c>
      <c r="D5285" s="1">
        <v>0.93</v>
      </c>
      <c r="E5285" s="1" t="s">
        <v>119</v>
      </c>
      <c r="F5285" s="1" t="s">
        <v>119</v>
      </c>
      <c r="G5285" s="1" t="s">
        <v>119</v>
      </c>
      <c r="H5285" s="1" t="str">
        <f>VLOOKUP(F5285,Countries!$A$1:$B$161,2,0)</f>
        <v>Great Britain (United Kingdom)</v>
      </c>
    </row>
    <row r="5286" spans="1:8" x14ac:dyDescent="0.3">
      <c r="A5286" s="3">
        <v>46242.278749999998</v>
      </c>
      <c r="B5286" s="1">
        <v>6.37</v>
      </c>
      <c r="C5286" s="1">
        <v>5.51</v>
      </c>
      <c r="D5286" s="1">
        <v>0.54</v>
      </c>
      <c r="E5286" s="1" t="s">
        <v>113</v>
      </c>
      <c r="F5286" s="1" t="s">
        <v>113</v>
      </c>
      <c r="G5286" s="1" t="s">
        <v>113</v>
      </c>
      <c r="H5286" s="1" t="str">
        <f>VLOOKUP(F5286,Countries!$A$1:$B$161,2,0)</f>
        <v>United States of America</v>
      </c>
    </row>
    <row r="5287" spans="1:8" x14ac:dyDescent="0.3">
      <c r="A5287" s="3">
        <v>46242.272326388891</v>
      </c>
      <c r="B5287" s="1">
        <v>6.37</v>
      </c>
      <c r="C5287" s="1">
        <v>5.51</v>
      </c>
      <c r="D5287" s="1">
        <v>0.54</v>
      </c>
      <c r="E5287" s="1" t="s">
        <v>113</v>
      </c>
      <c r="F5287" s="1" t="s">
        <v>113</v>
      </c>
      <c r="G5287" s="1" t="s">
        <v>113</v>
      </c>
      <c r="H5287" s="1" t="str">
        <f>VLOOKUP(F5287,Countries!$A$1:$B$161,2,0)</f>
        <v>United States of America</v>
      </c>
    </row>
    <row r="5288" spans="1:8" x14ac:dyDescent="0.3">
      <c r="A5288" s="3">
        <v>46242.268321759257</v>
      </c>
      <c r="B5288" s="1">
        <v>6.37</v>
      </c>
      <c r="C5288" s="1">
        <v>5.51</v>
      </c>
      <c r="D5288" s="1">
        <v>0.54</v>
      </c>
      <c r="E5288" s="1" t="s">
        <v>113</v>
      </c>
      <c r="F5288" s="1" t="s">
        <v>113</v>
      </c>
      <c r="G5288" s="1" t="s">
        <v>113</v>
      </c>
      <c r="H5288" s="1" t="str">
        <f>VLOOKUP(F5288,Countries!$A$1:$B$161,2,0)</f>
        <v>United States of America</v>
      </c>
    </row>
    <row r="5289" spans="1:8" x14ac:dyDescent="0.3">
      <c r="A5289" s="3">
        <v>46242.267824074072</v>
      </c>
      <c r="B5289" s="1">
        <v>16.350000000000001</v>
      </c>
      <c r="C5289" s="1">
        <v>14.15</v>
      </c>
      <c r="D5289" s="1">
        <v>0.99</v>
      </c>
      <c r="E5289" s="1" t="s">
        <v>113</v>
      </c>
      <c r="F5289" s="1" t="s">
        <v>160</v>
      </c>
      <c r="G5289" s="1" t="s">
        <v>160</v>
      </c>
      <c r="H5289" s="1" t="str">
        <f>VLOOKUP(F5289,Countries!$A$1:$B$161,2,0)</f>
        <v>New Zealand</v>
      </c>
    </row>
    <row r="5290" spans="1:8" x14ac:dyDescent="0.3">
      <c r="A5290" s="3">
        <v>46242.266053240739</v>
      </c>
      <c r="B5290" s="1">
        <v>6.37</v>
      </c>
      <c r="C5290" s="1">
        <v>5.51</v>
      </c>
      <c r="D5290" s="1">
        <v>0.54</v>
      </c>
      <c r="E5290" s="1" t="s">
        <v>113</v>
      </c>
      <c r="F5290" s="1" t="s">
        <v>113</v>
      </c>
      <c r="G5290" s="1" t="s">
        <v>113</v>
      </c>
      <c r="H5290" s="1" t="str">
        <f>VLOOKUP(F5290,Countries!$A$1:$B$161,2,0)</f>
        <v>United States of America</v>
      </c>
    </row>
    <row r="5291" spans="1:8" x14ac:dyDescent="0.3">
      <c r="A5291" s="3">
        <v>46242.263749999998</v>
      </c>
      <c r="B5291" s="1">
        <v>6.37</v>
      </c>
      <c r="C5291" s="1">
        <v>5.51</v>
      </c>
      <c r="D5291" s="1">
        <v>0.54</v>
      </c>
      <c r="E5291" s="1" t="s">
        <v>113</v>
      </c>
      <c r="F5291" s="1" t="s">
        <v>113</v>
      </c>
      <c r="G5291" s="1" t="s">
        <v>113</v>
      </c>
      <c r="H5291" s="1" t="str">
        <f>VLOOKUP(F5291,Countries!$A$1:$B$161,2,0)</f>
        <v>United States of America</v>
      </c>
    </row>
    <row r="5292" spans="1:8" x14ac:dyDescent="0.3">
      <c r="A5292" s="3">
        <v>46242.235821759263</v>
      </c>
      <c r="B5292" s="1">
        <v>3.35</v>
      </c>
      <c r="C5292" s="1">
        <v>2.9</v>
      </c>
      <c r="D5292" s="1">
        <v>0.4</v>
      </c>
      <c r="E5292" s="1" t="s">
        <v>149</v>
      </c>
      <c r="F5292" s="1" t="s">
        <v>149</v>
      </c>
      <c r="G5292" s="1" t="s">
        <v>149</v>
      </c>
      <c r="H5292" s="1" t="str">
        <f>VLOOKUP(F5292,Countries!$A$1:$B$161,2,0)</f>
        <v>Indonesia</v>
      </c>
    </row>
    <row r="5293" spans="1:8" x14ac:dyDescent="0.3">
      <c r="A5293" s="3">
        <v>46242.234166666669</v>
      </c>
      <c r="B5293" s="1">
        <v>6.37</v>
      </c>
      <c r="C5293" s="1">
        <v>5.51</v>
      </c>
      <c r="D5293" s="1">
        <v>0.54</v>
      </c>
      <c r="E5293" s="1" t="s">
        <v>113</v>
      </c>
      <c r="F5293" s="1" t="s">
        <v>113</v>
      </c>
      <c r="G5293" s="1" t="s">
        <v>113</v>
      </c>
      <c r="H5293" s="1" t="str">
        <f>VLOOKUP(F5293,Countries!$A$1:$B$161,2,0)</f>
        <v>United States of America</v>
      </c>
    </row>
    <row r="5294" spans="1:8" x14ac:dyDescent="0.3">
      <c r="A5294" s="3">
        <v>46242.228483796287</v>
      </c>
      <c r="B5294" s="1">
        <v>10.62</v>
      </c>
      <c r="C5294" s="1">
        <v>9.19</v>
      </c>
      <c r="D5294" s="1">
        <v>0.73</v>
      </c>
      <c r="E5294" s="1" t="s">
        <v>113</v>
      </c>
      <c r="F5294" s="1" t="s">
        <v>113</v>
      </c>
      <c r="G5294" s="1" t="s">
        <v>113</v>
      </c>
      <c r="H5294" s="1" t="str">
        <f>VLOOKUP(F5294,Countries!$A$1:$B$161,2,0)</f>
        <v>United States of America</v>
      </c>
    </row>
    <row r="5295" spans="1:8" x14ac:dyDescent="0.3">
      <c r="A5295" s="3">
        <v>46242.220150462963</v>
      </c>
      <c r="B5295" s="1">
        <v>10.62</v>
      </c>
      <c r="C5295" s="1">
        <v>9.19</v>
      </c>
      <c r="D5295" s="1">
        <v>0.73</v>
      </c>
      <c r="E5295" s="1" t="s">
        <v>113</v>
      </c>
      <c r="F5295" s="1" t="s">
        <v>113</v>
      </c>
      <c r="G5295" s="1" t="s">
        <v>113</v>
      </c>
      <c r="H5295" s="1" t="str">
        <f>VLOOKUP(F5295,Countries!$A$1:$B$161,2,0)</f>
        <v>United States of America</v>
      </c>
    </row>
    <row r="5296" spans="1:8" x14ac:dyDescent="0.3">
      <c r="A5296" s="3">
        <v>46242.219409722216</v>
      </c>
      <c r="B5296" s="1">
        <v>8.5</v>
      </c>
      <c r="C5296" s="1">
        <v>7.35</v>
      </c>
      <c r="D5296" s="1">
        <v>0.64</v>
      </c>
      <c r="E5296" s="1" t="s">
        <v>113</v>
      </c>
      <c r="F5296" s="1" t="s">
        <v>113</v>
      </c>
      <c r="G5296" s="1" t="s">
        <v>113</v>
      </c>
      <c r="H5296" s="1" t="str">
        <f>VLOOKUP(F5296,Countries!$A$1:$B$161,2,0)</f>
        <v>United States of America</v>
      </c>
    </row>
    <row r="5297" spans="1:8" x14ac:dyDescent="0.3">
      <c r="A5297" s="3">
        <v>46242.216597222221</v>
      </c>
      <c r="B5297" s="1">
        <v>6.37</v>
      </c>
      <c r="C5297" s="1">
        <v>5.51</v>
      </c>
      <c r="D5297" s="1">
        <v>0.54</v>
      </c>
      <c r="E5297" s="1" t="s">
        <v>113</v>
      </c>
      <c r="F5297" s="1" t="s">
        <v>113</v>
      </c>
      <c r="G5297" s="1" t="s">
        <v>113</v>
      </c>
      <c r="H5297" s="1" t="str">
        <f>VLOOKUP(F5297,Countries!$A$1:$B$161,2,0)</f>
        <v>United States of America</v>
      </c>
    </row>
    <row r="5298" spans="1:8" x14ac:dyDescent="0.3">
      <c r="A5298" s="3">
        <v>46242.210601851853</v>
      </c>
      <c r="B5298" s="1">
        <v>6.37</v>
      </c>
      <c r="C5298" s="1">
        <v>5.51</v>
      </c>
      <c r="D5298" s="1">
        <v>0.54</v>
      </c>
      <c r="E5298" s="1" t="s">
        <v>113</v>
      </c>
      <c r="F5298" s="1" t="s">
        <v>113</v>
      </c>
      <c r="G5298" s="1" t="s">
        <v>113</v>
      </c>
      <c r="H5298" s="1" t="str">
        <f>VLOOKUP(F5298,Countries!$A$1:$B$161,2,0)</f>
        <v>United States of America</v>
      </c>
    </row>
    <row r="5299" spans="1:8" x14ac:dyDescent="0.3">
      <c r="A5299" s="3">
        <v>46242.19835648148</v>
      </c>
      <c r="B5299" s="1">
        <v>6.37</v>
      </c>
      <c r="C5299" s="1">
        <v>5.51</v>
      </c>
      <c r="D5299" s="1">
        <v>0.54</v>
      </c>
      <c r="E5299" s="1" t="s">
        <v>113</v>
      </c>
      <c r="F5299" s="1" t="s">
        <v>113</v>
      </c>
      <c r="G5299" s="1" t="s">
        <v>113</v>
      </c>
      <c r="H5299" s="1" t="str">
        <f>VLOOKUP(F5299,Countries!$A$1:$B$161,2,0)</f>
        <v>United States of America</v>
      </c>
    </row>
    <row r="5300" spans="1:8" x14ac:dyDescent="0.3">
      <c r="A5300" s="3">
        <v>46242.188958333332</v>
      </c>
      <c r="B5300" s="1">
        <v>14.77</v>
      </c>
      <c r="C5300" s="1">
        <v>12.78</v>
      </c>
      <c r="D5300" s="1">
        <v>0.93</v>
      </c>
      <c r="E5300" s="1" t="s">
        <v>113</v>
      </c>
      <c r="F5300" s="1" t="s">
        <v>113</v>
      </c>
      <c r="G5300" s="1" t="s">
        <v>113</v>
      </c>
      <c r="H5300" s="1" t="str">
        <f>VLOOKUP(F5300,Countries!$A$1:$B$161,2,0)</f>
        <v>United States of America</v>
      </c>
    </row>
    <row r="5301" spans="1:8" x14ac:dyDescent="0.3">
      <c r="A5301" s="3">
        <v>46242.188668981478</v>
      </c>
      <c r="B5301" s="1">
        <v>1.99</v>
      </c>
      <c r="C5301" s="1">
        <v>1.72</v>
      </c>
      <c r="D5301" s="1">
        <v>0.31</v>
      </c>
      <c r="E5301" s="1" t="s">
        <v>125</v>
      </c>
      <c r="F5301" s="1" t="s">
        <v>125</v>
      </c>
      <c r="G5301" s="1" t="s">
        <v>125</v>
      </c>
      <c r="H5301" s="1" t="str">
        <f>VLOOKUP(F5301,Countries!$A$1:$B$161,2,0)</f>
        <v>Norway</v>
      </c>
    </row>
    <row r="5302" spans="1:8" x14ac:dyDescent="0.3">
      <c r="A5302" s="3">
        <v>46242.172094907408</v>
      </c>
      <c r="B5302" s="1">
        <v>2.09</v>
      </c>
      <c r="C5302" s="1">
        <v>1.81</v>
      </c>
      <c r="D5302" s="1">
        <v>0.35</v>
      </c>
      <c r="E5302" s="1" t="s">
        <v>166</v>
      </c>
      <c r="F5302" s="1" t="s">
        <v>143</v>
      </c>
      <c r="G5302" s="1" t="s">
        <v>143</v>
      </c>
      <c r="H5302" s="1" t="str">
        <f>VLOOKUP(F5302,Countries!$A$1:$B$161,2,0)</f>
        <v>United Arab Emirates</v>
      </c>
    </row>
    <row r="5303" spans="1:8" x14ac:dyDescent="0.3">
      <c r="A5303" s="3">
        <v>46242.15693287037</v>
      </c>
      <c r="B5303" s="1">
        <v>33.090000000000003</v>
      </c>
      <c r="C5303" s="1">
        <v>28.63</v>
      </c>
      <c r="D5303" s="1">
        <v>1.75</v>
      </c>
      <c r="E5303" s="1" t="s">
        <v>221</v>
      </c>
      <c r="F5303" s="1" t="s">
        <v>221</v>
      </c>
      <c r="G5303" s="1" t="s">
        <v>221</v>
      </c>
      <c r="H5303" s="1" t="str">
        <f>VLOOKUP(F5303,Countries!$A$1:$B$161,2,0)</f>
        <v>Jordan</v>
      </c>
    </row>
    <row r="5304" spans="1:8" x14ac:dyDescent="0.3">
      <c r="A5304" s="3">
        <v>46242.156307870369</v>
      </c>
      <c r="B5304" s="1">
        <v>21.51</v>
      </c>
      <c r="C5304" s="1">
        <v>18.61</v>
      </c>
      <c r="D5304" s="1">
        <v>1.22</v>
      </c>
      <c r="E5304" s="1" t="s">
        <v>221</v>
      </c>
      <c r="F5304" s="1" t="s">
        <v>221</v>
      </c>
      <c r="G5304" s="1" t="s">
        <v>221</v>
      </c>
      <c r="H5304" s="1" t="str">
        <f>VLOOKUP(F5304,Countries!$A$1:$B$161,2,0)</f>
        <v>Jordan</v>
      </c>
    </row>
    <row r="5305" spans="1:8" x14ac:dyDescent="0.3">
      <c r="A5305" s="3">
        <v>46242.151921296303</v>
      </c>
      <c r="B5305" s="1">
        <v>17.36</v>
      </c>
      <c r="C5305" s="1">
        <v>15.02</v>
      </c>
      <c r="D5305" s="1">
        <v>0.78</v>
      </c>
      <c r="E5305" s="1" t="s">
        <v>123</v>
      </c>
      <c r="F5305" s="1" t="s">
        <v>123</v>
      </c>
      <c r="G5305" s="1" t="s">
        <v>123</v>
      </c>
      <c r="H5305" s="1" t="str">
        <f>VLOOKUP(F5305,Countries!$A$1:$B$161,2,0)</f>
        <v>France</v>
      </c>
    </row>
    <row r="5306" spans="1:8" x14ac:dyDescent="0.3">
      <c r="A5306" s="3">
        <v>46242.147314814807</v>
      </c>
      <c r="B5306" s="1">
        <v>12.48</v>
      </c>
      <c r="C5306" s="1">
        <v>10.8</v>
      </c>
      <c r="D5306" s="1">
        <v>0.63</v>
      </c>
      <c r="E5306" s="1" t="s">
        <v>123</v>
      </c>
      <c r="F5306" s="1" t="s">
        <v>123</v>
      </c>
      <c r="G5306" s="1" t="s">
        <v>123</v>
      </c>
      <c r="H5306" s="1" t="str">
        <f>VLOOKUP(F5306,Countries!$A$1:$B$161,2,0)</f>
        <v>France</v>
      </c>
    </row>
    <row r="5307" spans="1:8" x14ac:dyDescent="0.3">
      <c r="A5307" s="3">
        <v>46242.141261574077</v>
      </c>
      <c r="B5307" s="1">
        <v>17.010000000000002</v>
      </c>
      <c r="C5307" s="1">
        <v>14.72</v>
      </c>
      <c r="D5307" s="1">
        <v>1.02</v>
      </c>
      <c r="E5307" s="1" t="s">
        <v>113</v>
      </c>
      <c r="F5307" s="1" t="s">
        <v>113</v>
      </c>
      <c r="G5307" s="1" t="s">
        <v>113</v>
      </c>
      <c r="H5307" s="1" t="str">
        <f>VLOOKUP(F5307,Countries!$A$1:$B$161,2,0)</f>
        <v>United States of America</v>
      </c>
    </row>
    <row r="5308" spans="1:8" x14ac:dyDescent="0.3">
      <c r="A5308" s="3">
        <v>46242.134953703702</v>
      </c>
      <c r="B5308" s="1">
        <v>2.99</v>
      </c>
      <c r="C5308" s="1">
        <v>2.59</v>
      </c>
      <c r="D5308" s="1">
        <v>0.38</v>
      </c>
      <c r="E5308" s="1" t="s">
        <v>113</v>
      </c>
      <c r="F5308" s="1" t="s">
        <v>113</v>
      </c>
      <c r="G5308" s="1" t="s">
        <v>113</v>
      </c>
      <c r="H5308" s="1" t="str">
        <f>VLOOKUP(F5308,Countries!$A$1:$B$161,2,0)</f>
        <v>United States of America</v>
      </c>
    </row>
    <row r="5309" spans="1:8" x14ac:dyDescent="0.3">
      <c r="A5309" s="3">
        <v>46242.132071759261</v>
      </c>
      <c r="B5309" s="1">
        <v>7.48</v>
      </c>
      <c r="C5309" s="1">
        <v>6.47</v>
      </c>
      <c r="D5309" s="1">
        <v>0.48</v>
      </c>
      <c r="E5309" s="1" t="s">
        <v>123</v>
      </c>
      <c r="F5309" s="1" t="s">
        <v>123</v>
      </c>
      <c r="G5309" s="1" t="s">
        <v>123</v>
      </c>
      <c r="H5309" s="1" t="str">
        <f>VLOOKUP(F5309,Countries!$A$1:$B$161,2,0)</f>
        <v>France</v>
      </c>
    </row>
    <row r="5310" spans="1:8" x14ac:dyDescent="0.3">
      <c r="A5310" s="3">
        <v>46242.127893518518</v>
      </c>
      <c r="B5310" s="1">
        <v>7.48</v>
      </c>
      <c r="C5310" s="1">
        <v>6.47</v>
      </c>
      <c r="D5310" s="1">
        <v>0.48</v>
      </c>
      <c r="E5310" s="1" t="s">
        <v>123</v>
      </c>
      <c r="F5310" s="1" t="s">
        <v>123</v>
      </c>
      <c r="G5310" s="1" t="s">
        <v>123</v>
      </c>
      <c r="H5310" s="1" t="str">
        <f>VLOOKUP(F5310,Countries!$A$1:$B$161,2,0)</f>
        <v>France</v>
      </c>
    </row>
    <row r="5311" spans="1:8" x14ac:dyDescent="0.3">
      <c r="A5311" s="3">
        <v>46242.126481481479</v>
      </c>
      <c r="B5311" s="1">
        <v>4.24</v>
      </c>
      <c r="C5311" s="1">
        <v>3.67</v>
      </c>
      <c r="D5311" s="1">
        <v>0.44</v>
      </c>
      <c r="E5311" s="1"/>
      <c r="F5311" s="1" t="s">
        <v>113</v>
      </c>
      <c r="G5311" s="1" t="s">
        <v>113</v>
      </c>
      <c r="H5311" s="1" t="str">
        <f>VLOOKUP(F5311,Countries!$A$1:$B$161,2,0)</f>
        <v>United States of America</v>
      </c>
    </row>
    <row r="5312" spans="1:8" x14ac:dyDescent="0.3">
      <c r="A5312" s="3">
        <v>46242.121793981481</v>
      </c>
      <c r="B5312" s="1">
        <v>7.58</v>
      </c>
      <c r="C5312" s="1">
        <v>6.56</v>
      </c>
      <c r="D5312" s="1">
        <v>0.48</v>
      </c>
      <c r="E5312" s="1" t="s">
        <v>116</v>
      </c>
      <c r="F5312" s="1" t="s">
        <v>116</v>
      </c>
      <c r="G5312" s="1" t="s">
        <v>116</v>
      </c>
      <c r="H5312" s="1" t="str">
        <f>VLOOKUP(F5312,Countries!$A$1:$B$161,2,0)</f>
        <v>Spain</v>
      </c>
    </row>
    <row r="5313" spans="1:8" x14ac:dyDescent="0.3">
      <c r="A5313" s="3">
        <v>46242.119953703703</v>
      </c>
      <c r="B5313" s="1">
        <v>6.65</v>
      </c>
      <c r="C5313" s="1">
        <v>5.75</v>
      </c>
      <c r="D5313" s="1">
        <v>0.56000000000000005</v>
      </c>
      <c r="E5313" s="1" t="s">
        <v>130</v>
      </c>
      <c r="F5313" s="1" t="s">
        <v>130</v>
      </c>
      <c r="G5313" s="1" t="s">
        <v>130</v>
      </c>
      <c r="H5313" s="1" t="str">
        <f>VLOOKUP(F5313,Countries!$A$1:$B$161,2,0)</f>
        <v>Australia</v>
      </c>
    </row>
    <row r="5314" spans="1:8" x14ac:dyDescent="0.3">
      <c r="A5314" s="3">
        <v>46242.119155092587</v>
      </c>
      <c r="B5314" s="1">
        <v>7.48</v>
      </c>
      <c r="C5314" s="1">
        <v>6.47</v>
      </c>
      <c r="D5314" s="1">
        <v>0.48</v>
      </c>
      <c r="E5314" s="1" t="s">
        <v>123</v>
      </c>
      <c r="F5314" s="1" t="s">
        <v>123</v>
      </c>
      <c r="G5314" s="1" t="s">
        <v>123</v>
      </c>
      <c r="H5314" s="1" t="str">
        <f>VLOOKUP(F5314,Countries!$A$1:$B$161,2,0)</f>
        <v>France</v>
      </c>
    </row>
    <row r="5315" spans="1:8" x14ac:dyDescent="0.3">
      <c r="A5315" s="3">
        <v>46242.116747685177</v>
      </c>
      <c r="B5315" s="1">
        <v>7.58</v>
      </c>
      <c r="C5315" s="1">
        <v>6.56</v>
      </c>
      <c r="D5315" s="1">
        <v>0.48</v>
      </c>
      <c r="E5315" s="1" t="s">
        <v>116</v>
      </c>
      <c r="F5315" s="1" t="s">
        <v>116</v>
      </c>
      <c r="G5315" s="1" t="s">
        <v>116</v>
      </c>
      <c r="H5315" s="1" t="str">
        <f>VLOOKUP(F5315,Countries!$A$1:$B$161,2,0)</f>
        <v>Spain</v>
      </c>
    </row>
    <row r="5316" spans="1:8" x14ac:dyDescent="0.3">
      <c r="A5316" s="3">
        <v>46242.115115740737</v>
      </c>
      <c r="B5316" s="1">
        <v>5.99</v>
      </c>
      <c r="C5316" s="1">
        <v>5.18</v>
      </c>
      <c r="D5316" s="1">
        <v>0.52</v>
      </c>
      <c r="E5316" s="1" t="s">
        <v>129</v>
      </c>
      <c r="F5316" s="1" t="s">
        <v>129</v>
      </c>
      <c r="G5316" s="1" t="s">
        <v>129</v>
      </c>
      <c r="H5316" s="1" t="str">
        <f>VLOOKUP(F5316,Countries!$A$1:$B$161,2,0)</f>
        <v>Qatar</v>
      </c>
    </row>
    <row r="5317" spans="1:8" x14ac:dyDescent="0.3">
      <c r="A5317" s="3">
        <v>46242.112858796303</v>
      </c>
      <c r="B5317" s="1">
        <v>2.1800000000000002</v>
      </c>
      <c r="C5317" s="1">
        <v>1.89</v>
      </c>
      <c r="D5317" s="1">
        <v>0.35</v>
      </c>
      <c r="E5317" s="1" t="s">
        <v>158</v>
      </c>
      <c r="F5317" s="1" t="s">
        <v>152</v>
      </c>
      <c r="G5317" s="1" t="s">
        <v>152</v>
      </c>
      <c r="H5317" s="1" t="str">
        <f>VLOOKUP(F5317,Countries!$A$1:$B$161,2,0)</f>
        <v>Singapore</v>
      </c>
    </row>
    <row r="5318" spans="1:8" x14ac:dyDescent="0.3">
      <c r="A5318" s="3">
        <v>46242.101956018523</v>
      </c>
      <c r="B5318" s="1">
        <v>3.18</v>
      </c>
      <c r="C5318" s="1">
        <v>2.75</v>
      </c>
      <c r="D5318" s="1">
        <v>0.4</v>
      </c>
      <c r="E5318" s="1" t="s">
        <v>113</v>
      </c>
      <c r="F5318" s="1" t="s">
        <v>113</v>
      </c>
      <c r="G5318" s="1" t="s">
        <v>113</v>
      </c>
      <c r="H5318" s="1" t="str">
        <f>VLOOKUP(F5318,Countries!$A$1:$B$161,2,0)</f>
        <v>United States of America</v>
      </c>
    </row>
    <row r="5319" spans="1:8" x14ac:dyDescent="0.3">
      <c r="A5319" s="3">
        <v>46242.087546296287</v>
      </c>
      <c r="B5319" s="1">
        <v>1.99</v>
      </c>
      <c r="C5319" s="1">
        <v>1.72</v>
      </c>
      <c r="D5319" s="1">
        <v>0.34</v>
      </c>
      <c r="E5319" s="1" t="s">
        <v>113</v>
      </c>
      <c r="F5319" s="1" t="s">
        <v>113</v>
      </c>
      <c r="G5319" s="1" t="s">
        <v>113</v>
      </c>
      <c r="H5319" s="1" t="str">
        <f>VLOOKUP(F5319,Countries!$A$1:$B$161,2,0)</f>
        <v>United States of America</v>
      </c>
    </row>
    <row r="5320" spans="1:8" x14ac:dyDescent="0.3">
      <c r="A5320" s="3">
        <v>46242.078784722216</v>
      </c>
      <c r="B5320" s="1">
        <v>29.57</v>
      </c>
      <c r="C5320" s="1">
        <v>25.58</v>
      </c>
      <c r="D5320" s="1">
        <v>1.59</v>
      </c>
      <c r="E5320" s="1" t="s">
        <v>113</v>
      </c>
      <c r="F5320" s="1" t="s">
        <v>113</v>
      </c>
      <c r="G5320" s="1" t="s">
        <v>113</v>
      </c>
      <c r="H5320" s="1" t="str">
        <f>VLOOKUP(F5320,Countries!$A$1:$B$161,2,0)</f>
        <v>United States of America</v>
      </c>
    </row>
    <row r="5321" spans="1:8" x14ac:dyDescent="0.3">
      <c r="A5321" s="3">
        <v>46242.078634259262</v>
      </c>
      <c r="B5321" s="1">
        <v>6.37</v>
      </c>
      <c r="C5321" s="1">
        <v>5.51</v>
      </c>
      <c r="D5321" s="1">
        <v>0.54</v>
      </c>
      <c r="E5321" s="1" t="s">
        <v>113</v>
      </c>
      <c r="F5321" s="1" t="s">
        <v>113</v>
      </c>
      <c r="G5321" s="1" t="s">
        <v>113</v>
      </c>
      <c r="H5321" s="1" t="str">
        <f>VLOOKUP(F5321,Countries!$A$1:$B$161,2,0)</f>
        <v>United States of America</v>
      </c>
    </row>
    <row r="5322" spans="1:8" x14ac:dyDescent="0.3">
      <c r="A5322" s="3">
        <v>46242.07708333333</v>
      </c>
      <c r="B5322" s="1">
        <v>6.37</v>
      </c>
      <c r="C5322" s="1">
        <v>5.51</v>
      </c>
      <c r="D5322" s="1">
        <v>0.54</v>
      </c>
      <c r="E5322" s="1" t="s">
        <v>113</v>
      </c>
      <c r="F5322" s="1" t="s">
        <v>113</v>
      </c>
      <c r="G5322" s="1" t="s">
        <v>113</v>
      </c>
      <c r="H5322" s="1" t="str">
        <f>VLOOKUP(F5322,Countries!$A$1:$B$161,2,0)</f>
        <v>United States of America</v>
      </c>
    </row>
    <row r="5323" spans="1:8" x14ac:dyDescent="0.3">
      <c r="A5323" s="3">
        <v>46242.065370370372</v>
      </c>
      <c r="B5323" s="1">
        <v>6.37</v>
      </c>
      <c r="C5323" s="1">
        <v>5.51</v>
      </c>
      <c r="D5323" s="1">
        <v>0.54</v>
      </c>
      <c r="E5323" s="1" t="s">
        <v>113</v>
      </c>
      <c r="F5323" s="1" t="s">
        <v>113</v>
      </c>
      <c r="G5323" s="1" t="s">
        <v>113</v>
      </c>
      <c r="H5323" s="1" t="str">
        <f>VLOOKUP(F5323,Countries!$A$1:$B$161,2,0)</f>
        <v>United States of America</v>
      </c>
    </row>
    <row r="5324" spans="1:8" x14ac:dyDescent="0.3">
      <c r="A5324" s="3">
        <v>46242.063506944447</v>
      </c>
      <c r="B5324" s="1">
        <v>17.739999999999998</v>
      </c>
      <c r="C5324" s="1">
        <v>15.35</v>
      </c>
      <c r="D5324" s="1">
        <v>1.06</v>
      </c>
      <c r="E5324" s="1" t="s">
        <v>113</v>
      </c>
      <c r="F5324" s="1" t="s">
        <v>113</v>
      </c>
      <c r="G5324" s="1" t="s">
        <v>113</v>
      </c>
      <c r="H5324" s="1" t="str">
        <f>VLOOKUP(F5324,Countries!$A$1:$B$161,2,0)</f>
        <v>United States of America</v>
      </c>
    </row>
    <row r="5325" spans="1:8" x14ac:dyDescent="0.3">
      <c r="A5325" s="3">
        <v>46242.056041666663</v>
      </c>
      <c r="B5325" s="1">
        <v>14.77</v>
      </c>
      <c r="C5325" s="1">
        <v>12.78</v>
      </c>
      <c r="D5325" s="1">
        <v>0.93</v>
      </c>
      <c r="E5325" s="1" t="s">
        <v>113</v>
      </c>
      <c r="F5325" s="1" t="s">
        <v>113</v>
      </c>
      <c r="G5325" s="1" t="s">
        <v>113</v>
      </c>
      <c r="H5325" s="1" t="str">
        <f>VLOOKUP(F5325,Countries!$A$1:$B$161,2,0)</f>
        <v>United States of America</v>
      </c>
    </row>
    <row r="5326" spans="1:8" x14ac:dyDescent="0.3">
      <c r="A5326" s="3">
        <v>46242.053263888891</v>
      </c>
      <c r="B5326" s="1">
        <v>43.98</v>
      </c>
      <c r="C5326" s="1">
        <v>38.049999999999997</v>
      </c>
      <c r="D5326" s="1">
        <v>1.58</v>
      </c>
      <c r="E5326" s="1" t="s">
        <v>116</v>
      </c>
      <c r="F5326" s="1" t="s">
        <v>116</v>
      </c>
      <c r="G5326" s="1" t="s">
        <v>116</v>
      </c>
      <c r="H5326" s="1" t="str">
        <f>VLOOKUP(F5326,Countries!$A$1:$B$161,2,0)</f>
        <v>Spain</v>
      </c>
    </row>
    <row r="5327" spans="1:8" x14ac:dyDescent="0.3">
      <c r="A5327" s="3">
        <v>46242.049224537041</v>
      </c>
      <c r="B5327" s="1">
        <v>14.77</v>
      </c>
      <c r="C5327" s="1">
        <v>12.78</v>
      </c>
      <c r="D5327" s="1">
        <v>0.93</v>
      </c>
      <c r="E5327" s="1" t="s">
        <v>113</v>
      </c>
      <c r="F5327" s="1" t="s">
        <v>113</v>
      </c>
      <c r="G5327" s="1" t="s">
        <v>113</v>
      </c>
      <c r="H5327" s="1" t="str">
        <f>VLOOKUP(F5327,Countries!$A$1:$B$161,2,0)</f>
        <v>United States of America</v>
      </c>
    </row>
    <row r="5328" spans="1:8" x14ac:dyDescent="0.3">
      <c r="A5328" s="3">
        <v>46242.043402777781</v>
      </c>
      <c r="B5328" s="1">
        <v>17.579999999999998</v>
      </c>
      <c r="C5328" s="1">
        <v>15.21</v>
      </c>
      <c r="D5328" s="1">
        <v>0.78</v>
      </c>
      <c r="E5328" s="1" t="s">
        <v>116</v>
      </c>
      <c r="F5328" s="1" t="s">
        <v>116</v>
      </c>
      <c r="G5328" s="1" t="s">
        <v>116</v>
      </c>
      <c r="H5328" s="1" t="str">
        <f>VLOOKUP(F5328,Countries!$A$1:$B$161,2,0)</f>
        <v>Spain</v>
      </c>
    </row>
    <row r="5329" spans="1:8" x14ac:dyDescent="0.3">
      <c r="A5329" s="3">
        <v>46242.041365740741</v>
      </c>
      <c r="B5329" s="1">
        <v>21.27</v>
      </c>
      <c r="C5329" s="1">
        <v>18.399999999999999</v>
      </c>
      <c r="D5329" s="1">
        <v>1.22</v>
      </c>
      <c r="E5329" s="1" t="s">
        <v>113</v>
      </c>
      <c r="F5329" s="1" t="s">
        <v>113</v>
      </c>
      <c r="G5329" s="1" t="s">
        <v>113</v>
      </c>
      <c r="H5329" s="1" t="str">
        <f>VLOOKUP(F5329,Countries!$A$1:$B$161,2,0)</f>
        <v>United States of America</v>
      </c>
    </row>
    <row r="5330" spans="1:8" x14ac:dyDescent="0.3">
      <c r="A5330" s="3">
        <v>46242.036550925928</v>
      </c>
      <c r="B5330" s="1">
        <v>10.62</v>
      </c>
      <c r="C5330" s="1">
        <v>9.19</v>
      </c>
      <c r="D5330" s="1">
        <v>0.73</v>
      </c>
      <c r="E5330" s="1" t="s">
        <v>113</v>
      </c>
      <c r="F5330" s="1" t="s">
        <v>113</v>
      </c>
      <c r="G5330" s="1" t="s">
        <v>113</v>
      </c>
      <c r="H5330" s="1" t="str">
        <f>VLOOKUP(F5330,Countries!$A$1:$B$161,2,0)</f>
        <v>United States of America</v>
      </c>
    </row>
    <row r="5331" spans="1:8" x14ac:dyDescent="0.3">
      <c r="A5331" s="3">
        <v>46242.035381944443</v>
      </c>
      <c r="B5331" s="1">
        <v>12.97</v>
      </c>
      <c r="C5331" s="1">
        <v>11.22</v>
      </c>
      <c r="D5331" s="1">
        <v>0.64</v>
      </c>
      <c r="E5331" s="1" t="s">
        <v>137</v>
      </c>
      <c r="F5331" s="1" t="s">
        <v>137</v>
      </c>
      <c r="G5331" s="1" t="s">
        <v>137</v>
      </c>
      <c r="H5331" s="1" t="str">
        <f>VLOOKUP(F5331,Countries!$A$1:$B$161,2,0)</f>
        <v>Poland</v>
      </c>
    </row>
    <row r="5332" spans="1:8" x14ac:dyDescent="0.3">
      <c r="A5332" s="3">
        <v>46242.035219907397</v>
      </c>
      <c r="B5332" s="1">
        <v>6.3</v>
      </c>
      <c r="C5332" s="1">
        <v>5.45</v>
      </c>
      <c r="D5332" s="1">
        <v>0.54</v>
      </c>
      <c r="E5332" s="1" t="s">
        <v>113</v>
      </c>
      <c r="F5332" s="1" t="s">
        <v>113</v>
      </c>
      <c r="G5332" s="1" t="s">
        <v>113</v>
      </c>
      <c r="H5332" s="1" t="str">
        <f>VLOOKUP(F5332,Countries!$A$1:$B$161,2,0)</f>
        <v>United States of America</v>
      </c>
    </row>
    <row r="5333" spans="1:8" x14ac:dyDescent="0.3">
      <c r="A5333" s="3">
        <v>46242.03328703704</v>
      </c>
      <c r="B5333" s="1">
        <v>14.77</v>
      </c>
      <c r="C5333" s="1">
        <v>12.78</v>
      </c>
      <c r="D5333" s="1">
        <v>0.93</v>
      </c>
      <c r="E5333" s="1" t="s">
        <v>113</v>
      </c>
      <c r="F5333" s="1" t="s">
        <v>113</v>
      </c>
      <c r="G5333" s="1" t="s">
        <v>113</v>
      </c>
      <c r="H5333" s="1" t="str">
        <f>VLOOKUP(F5333,Countries!$A$1:$B$161,2,0)</f>
        <v>United States of America</v>
      </c>
    </row>
    <row r="5334" spans="1:8" x14ac:dyDescent="0.3">
      <c r="A5334" s="3">
        <v>46242.030995370369</v>
      </c>
      <c r="B5334" s="1">
        <v>13.89</v>
      </c>
      <c r="C5334" s="1">
        <v>12.02</v>
      </c>
      <c r="D5334" s="1">
        <v>0.88</v>
      </c>
      <c r="E5334" s="1" t="s">
        <v>185</v>
      </c>
      <c r="F5334" s="1" t="s">
        <v>185</v>
      </c>
      <c r="G5334" s="1" t="s">
        <v>185</v>
      </c>
      <c r="H5334" s="1" t="str">
        <f>VLOOKUP(F5334,Countries!$A$1:$B$161,2,0)</f>
        <v>Republic of Serbia</v>
      </c>
    </row>
    <row r="5335" spans="1:8" x14ac:dyDescent="0.3">
      <c r="A5335" s="3">
        <v>46242.027974537043</v>
      </c>
      <c r="B5335" s="1">
        <v>17.579999999999998</v>
      </c>
      <c r="C5335" s="1">
        <v>15.21</v>
      </c>
      <c r="D5335" s="1">
        <v>0.78</v>
      </c>
      <c r="E5335" s="1" t="s">
        <v>116</v>
      </c>
      <c r="F5335" s="1" t="s">
        <v>116</v>
      </c>
      <c r="G5335" s="1" t="s">
        <v>116</v>
      </c>
      <c r="H5335" s="1" t="str">
        <f>VLOOKUP(F5335,Countries!$A$1:$B$161,2,0)</f>
        <v>Spain</v>
      </c>
    </row>
    <row r="5336" spans="1:8" x14ac:dyDescent="0.3">
      <c r="A5336" s="3">
        <v>46242.021180555559</v>
      </c>
      <c r="B5336" s="1">
        <v>20.239999999999998</v>
      </c>
      <c r="C5336" s="1">
        <v>17.510000000000002</v>
      </c>
      <c r="D5336" s="1">
        <v>0.86</v>
      </c>
      <c r="E5336" s="1" t="s">
        <v>116</v>
      </c>
      <c r="F5336" s="1" t="s">
        <v>116</v>
      </c>
      <c r="G5336" s="1" t="s">
        <v>116</v>
      </c>
      <c r="H5336" s="1" t="str">
        <f>VLOOKUP(F5336,Countries!$A$1:$B$161,2,0)</f>
        <v>Spain</v>
      </c>
    </row>
    <row r="5337" spans="1:8" x14ac:dyDescent="0.3">
      <c r="A5337" s="3">
        <v>46242.020914351851</v>
      </c>
      <c r="B5337" s="1">
        <v>135.38</v>
      </c>
      <c r="C5337" s="1">
        <v>117.12</v>
      </c>
      <c r="D5337" s="1">
        <v>4.3499999999999996</v>
      </c>
      <c r="E5337" s="1" t="s">
        <v>113</v>
      </c>
      <c r="F5337" s="1" t="s">
        <v>113</v>
      </c>
      <c r="G5337" s="1" t="s">
        <v>113</v>
      </c>
      <c r="H5337" s="1" t="str">
        <f>VLOOKUP(F5337,Countries!$A$1:$B$161,2,0)</f>
        <v>United States of America</v>
      </c>
    </row>
    <row r="5338" spans="1:8" x14ac:dyDescent="0.3">
      <c r="A5338" s="3">
        <v>46242.019560185188</v>
      </c>
      <c r="B5338" s="1">
        <v>2.48</v>
      </c>
      <c r="C5338" s="1">
        <v>2.15</v>
      </c>
      <c r="D5338" s="1">
        <v>0.34</v>
      </c>
      <c r="E5338" s="1" t="s">
        <v>119</v>
      </c>
      <c r="F5338" s="1" t="s">
        <v>119</v>
      </c>
      <c r="G5338" s="1" t="s">
        <v>119</v>
      </c>
      <c r="H5338" s="1" t="str">
        <f>VLOOKUP(F5338,Countries!$A$1:$B$161,2,0)</f>
        <v>Great Britain (United Kingdom)</v>
      </c>
    </row>
    <row r="5339" spans="1:8" x14ac:dyDescent="0.3">
      <c r="A5339" s="3">
        <v>46242.013020833343</v>
      </c>
      <c r="B5339" s="1">
        <v>5.99</v>
      </c>
      <c r="C5339" s="1">
        <v>5.18</v>
      </c>
      <c r="D5339" s="1">
        <v>0.52</v>
      </c>
      <c r="E5339" s="1" t="s">
        <v>143</v>
      </c>
      <c r="F5339" s="1" t="s">
        <v>143</v>
      </c>
      <c r="G5339" s="1" t="s">
        <v>143</v>
      </c>
      <c r="H5339" s="1" t="str">
        <f>VLOOKUP(F5339,Countries!$A$1:$B$161,2,0)</f>
        <v>United Arab Emirates</v>
      </c>
    </row>
    <row r="5340" spans="1:8" x14ac:dyDescent="0.3">
      <c r="A5340" s="3">
        <v>46242.008831018517</v>
      </c>
      <c r="B5340" s="1">
        <v>6.37</v>
      </c>
      <c r="C5340" s="1">
        <v>5.51</v>
      </c>
      <c r="D5340" s="1">
        <v>0.54</v>
      </c>
      <c r="E5340" s="1" t="s">
        <v>113</v>
      </c>
      <c r="F5340" s="1" t="s">
        <v>113</v>
      </c>
      <c r="G5340" s="1" t="s">
        <v>113</v>
      </c>
      <c r="H5340" s="1" t="str">
        <f>VLOOKUP(F5340,Countries!$A$1:$B$161,2,0)</f>
        <v>United States of America</v>
      </c>
    </row>
    <row r="5341" spans="1:8" x14ac:dyDescent="0.3">
      <c r="A5341" s="3">
        <v>46242.008587962962</v>
      </c>
      <c r="B5341" s="1">
        <v>6.37</v>
      </c>
      <c r="C5341" s="1">
        <v>5.51</v>
      </c>
      <c r="D5341" s="1">
        <v>0.54</v>
      </c>
      <c r="E5341" s="1" t="s">
        <v>113</v>
      </c>
      <c r="F5341" s="1" t="s">
        <v>113</v>
      </c>
      <c r="G5341" s="1" t="s">
        <v>113</v>
      </c>
      <c r="H5341" s="1" t="str">
        <f>VLOOKUP(F5341,Countries!$A$1:$B$161,2,0)</f>
        <v>United States of America</v>
      </c>
    </row>
    <row r="5342" spans="1:8" x14ac:dyDescent="0.3">
      <c r="A5342" s="3">
        <v>46242.007384259261</v>
      </c>
      <c r="B5342" s="1">
        <v>99.28</v>
      </c>
      <c r="C5342" s="1">
        <v>85.89</v>
      </c>
      <c r="D5342" s="1">
        <v>3.26</v>
      </c>
      <c r="E5342" s="1" t="s">
        <v>113</v>
      </c>
      <c r="F5342" s="1" t="s">
        <v>113</v>
      </c>
      <c r="G5342" s="1" t="s">
        <v>113</v>
      </c>
      <c r="H5342" s="1" t="str">
        <f>VLOOKUP(F5342,Countries!$A$1:$B$161,2,0)</f>
        <v>United States of America</v>
      </c>
    </row>
    <row r="5343" spans="1:8" x14ac:dyDescent="0.3">
      <c r="A5343" s="3">
        <v>46242.006168981483</v>
      </c>
      <c r="B5343" s="1">
        <v>7.58</v>
      </c>
      <c r="C5343" s="1">
        <v>6.56</v>
      </c>
      <c r="D5343" s="1">
        <v>0.48</v>
      </c>
      <c r="E5343" s="1" t="s">
        <v>116</v>
      </c>
      <c r="F5343" s="1" t="s">
        <v>116</v>
      </c>
      <c r="G5343" s="1" t="s">
        <v>116</v>
      </c>
      <c r="H5343" s="1" t="str">
        <f>VLOOKUP(F5343,Countries!$A$1:$B$161,2,0)</f>
        <v>Spain</v>
      </c>
    </row>
    <row r="5344" spans="1:8" x14ac:dyDescent="0.3">
      <c r="A5344" s="3">
        <v>46242.004525462973</v>
      </c>
      <c r="B5344" s="1">
        <v>2.99</v>
      </c>
      <c r="C5344" s="1">
        <v>2.59</v>
      </c>
      <c r="D5344" s="1">
        <v>0.38</v>
      </c>
      <c r="E5344" s="1" t="s">
        <v>149</v>
      </c>
      <c r="F5344" s="1" t="s">
        <v>149</v>
      </c>
      <c r="G5344" s="1" t="s">
        <v>149</v>
      </c>
      <c r="H5344" s="1" t="str">
        <f>VLOOKUP(F5344,Countries!$A$1:$B$161,2,0)</f>
        <v>Indonesia</v>
      </c>
    </row>
    <row r="5345" spans="1:8" x14ac:dyDescent="0.3">
      <c r="A5345" s="3">
        <v>46242.004351851851</v>
      </c>
      <c r="B5345" s="1">
        <v>99.28</v>
      </c>
      <c r="C5345" s="1">
        <v>85.89</v>
      </c>
      <c r="D5345" s="1">
        <v>3.26</v>
      </c>
      <c r="E5345" s="1" t="s">
        <v>113</v>
      </c>
      <c r="F5345" s="1" t="s">
        <v>113</v>
      </c>
      <c r="G5345" s="1" t="s">
        <v>113</v>
      </c>
      <c r="H5345" s="1" t="str">
        <f>VLOOKUP(F5345,Countries!$A$1:$B$161,2,0)</f>
        <v>United States of America</v>
      </c>
    </row>
    <row r="5346" spans="1:8" x14ac:dyDescent="0.3">
      <c r="A5346" s="3">
        <v>46241.998182870368</v>
      </c>
      <c r="B5346" s="1">
        <v>46.72</v>
      </c>
      <c r="C5346" s="1">
        <v>40.42</v>
      </c>
      <c r="D5346" s="1">
        <v>1.67</v>
      </c>
      <c r="E5346" s="1" t="s">
        <v>113</v>
      </c>
      <c r="F5346" s="1" t="s">
        <v>113</v>
      </c>
      <c r="G5346" s="1" t="s">
        <v>113</v>
      </c>
      <c r="H5346" s="1" t="str">
        <f>VLOOKUP(F5346,Countries!$A$1:$B$161,2,0)</f>
        <v>United States of America</v>
      </c>
    </row>
    <row r="5347" spans="1:8" x14ac:dyDescent="0.3">
      <c r="A5347" s="3">
        <v>46241.99318287037</v>
      </c>
      <c r="B5347" s="1">
        <v>7.67</v>
      </c>
      <c r="C5347" s="1">
        <v>6.64</v>
      </c>
      <c r="D5347" s="1">
        <v>0.48</v>
      </c>
      <c r="E5347" s="1" t="s">
        <v>124</v>
      </c>
      <c r="F5347" s="1" t="s">
        <v>124</v>
      </c>
      <c r="G5347" s="1" t="s">
        <v>124</v>
      </c>
      <c r="H5347" s="1" t="str">
        <f>VLOOKUP(F5347,Countries!$A$1:$B$161,2,0)</f>
        <v>Italy</v>
      </c>
    </row>
    <row r="5348" spans="1:8" x14ac:dyDescent="0.3">
      <c r="A5348" s="3">
        <v>46241.987986111111</v>
      </c>
      <c r="B5348" s="1">
        <v>110.99</v>
      </c>
      <c r="C5348" s="1">
        <v>96.02</v>
      </c>
      <c r="D5348" s="1">
        <v>5.29</v>
      </c>
      <c r="E5348" s="1" t="s">
        <v>185</v>
      </c>
      <c r="F5348" s="1" t="s">
        <v>185</v>
      </c>
      <c r="G5348" s="1" t="s">
        <v>185</v>
      </c>
      <c r="H5348" s="1" t="str">
        <f>VLOOKUP(F5348,Countries!$A$1:$B$161,2,0)</f>
        <v>Republic of Serbia</v>
      </c>
    </row>
    <row r="5349" spans="1:8" x14ac:dyDescent="0.3">
      <c r="A5349" s="3">
        <v>46241.983055555553</v>
      </c>
      <c r="B5349" s="1">
        <v>8.5</v>
      </c>
      <c r="C5349" s="1">
        <v>7.35</v>
      </c>
      <c r="D5349" s="1">
        <v>0.64</v>
      </c>
      <c r="E5349" s="1" t="s">
        <v>113</v>
      </c>
      <c r="F5349" s="1" t="s">
        <v>113</v>
      </c>
      <c r="G5349" s="1" t="s">
        <v>113</v>
      </c>
      <c r="H5349" s="1" t="str">
        <f>VLOOKUP(F5349,Countries!$A$1:$B$161,2,0)</f>
        <v>United States of America</v>
      </c>
    </row>
    <row r="5350" spans="1:8" x14ac:dyDescent="0.3">
      <c r="A5350" s="3">
        <v>46241.979432870372</v>
      </c>
      <c r="B5350" s="1">
        <v>14.77</v>
      </c>
      <c r="C5350" s="1">
        <v>12.78</v>
      </c>
      <c r="D5350" s="1">
        <v>0.93</v>
      </c>
      <c r="E5350" s="1" t="s">
        <v>113</v>
      </c>
      <c r="F5350" s="1" t="s">
        <v>113</v>
      </c>
      <c r="G5350" s="1" t="s">
        <v>113</v>
      </c>
      <c r="H5350" s="1" t="str">
        <f>VLOOKUP(F5350,Countries!$A$1:$B$161,2,0)</f>
        <v>United States of America</v>
      </c>
    </row>
    <row r="5351" spans="1:8" x14ac:dyDescent="0.3">
      <c r="A5351" s="3">
        <v>46241.978217592587</v>
      </c>
      <c r="B5351" s="1">
        <v>6.65</v>
      </c>
      <c r="C5351" s="1">
        <v>5.75</v>
      </c>
      <c r="D5351" s="1">
        <v>0.56000000000000005</v>
      </c>
      <c r="E5351" s="1" t="s">
        <v>181</v>
      </c>
      <c r="F5351" s="1" t="s">
        <v>181</v>
      </c>
      <c r="G5351" s="1" t="s">
        <v>181</v>
      </c>
      <c r="H5351" s="1" t="str">
        <f>VLOOKUP(F5351,Countries!$A$1:$B$161,2,0)</f>
        <v>Mexico</v>
      </c>
    </row>
    <row r="5352" spans="1:8" x14ac:dyDescent="0.3">
      <c r="A5352" s="3">
        <v>46241.973333333342</v>
      </c>
      <c r="B5352" s="1">
        <v>7.58</v>
      </c>
      <c r="C5352" s="1">
        <v>6.56</v>
      </c>
      <c r="D5352" s="1">
        <v>0.48</v>
      </c>
      <c r="E5352" s="1" t="s">
        <v>116</v>
      </c>
      <c r="F5352" s="1" t="s">
        <v>116</v>
      </c>
      <c r="G5352" s="1" t="s">
        <v>116</v>
      </c>
      <c r="H5352" s="1" t="str">
        <f>VLOOKUP(F5352,Countries!$A$1:$B$161,2,0)</f>
        <v>Spain</v>
      </c>
    </row>
    <row r="5353" spans="1:8" x14ac:dyDescent="0.3">
      <c r="A5353" s="3">
        <v>46241.966261574067</v>
      </c>
      <c r="B5353" s="1">
        <v>7.58</v>
      </c>
      <c r="C5353" s="1">
        <v>6.56</v>
      </c>
      <c r="D5353" s="1">
        <v>0.48</v>
      </c>
      <c r="E5353" s="1" t="s">
        <v>116</v>
      </c>
      <c r="F5353" s="1" t="s">
        <v>116</v>
      </c>
      <c r="G5353" s="1" t="s">
        <v>116</v>
      </c>
      <c r="H5353" s="1" t="str">
        <f>VLOOKUP(F5353,Countries!$A$1:$B$161,2,0)</f>
        <v>Spain</v>
      </c>
    </row>
    <row r="5354" spans="1:8" x14ac:dyDescent="0.3">
      <c r="A5354" s="3">
        <v>46241.961342592593</v>
      </c>
      <c r="B5354" s="1">
        <v>6.3</v>
      </c>
      <c r="C5354" s="1">
        <v>5.45</v>
      </c>
      <c r="D5354" s="1">
        <v>0.54</v>
      </c>
      <c r="E5354" s="1" t="s">
        <v>132</v>
      </c>
      <c r="F5354" s="1" t="s">
        <v>132</v>
      </c>
      <c r="G5354" s="1" t="s">
        <v>132</v>
      </c>
      <c r="H5354" s="1" t="str">
        <f>VLOOKUP(F5354,Countries!$A$1:$B$161,2,0)</f>
        <v>Canada</v>
      </c>
    </row>
    <row r="5355" spans="1:8" x14ac:dyDescent="0.3">
      <c r="A5355" s="3">
        <v>46241.959768518522</v>
      </c>
      <c r="B5355" s="1">
        <v>14.77</v>
      </c>
      <c r="C5355" s="1">
        <v>12.78</v>
      </c>
      <c r="D5355" s="1">
        <v>0.93</v>
      </c>
      <c r="E5355" s="1" t="s">
        <v>113</v>
      </c>
      <c r="F5355" s="1" t="s">
        <v>113</v>
      </c>
      <c r="G5355" s="1" t="s">
        <v>113</v>
      </c>
      <c r="H5355" s="1" t="str">
        <f>VLOOKUP(F5355,Countries!$A$1:$B$161,2,0)</f>
        <v>United States of America</v>
      </c>
    </row>
    <row r="5356" spans="1:8" x14ac:dyDescent="0.3">
      <c r="A5356" s="3">
        <v>46241.958657407413</v>
      </c>
      <c r="B5356" s="1">
        <v>14.77</v>
      </c>
      <c r="C5356" s="1">
        <v>12.78</v>
      </c>
      <c r="D5356" s="1">
        <v>0.93</v>
      </c>
      <c r="E5356" s="1" t="s">
        <v>113</v>
      </c>
      <c r="F5356" s="1" t="s">
        <v>113</v>
      </c>
      <c r="G5356" s="1" t="s">
        <v>113</v>
      </c>
      <c r="H5356" s="1" t="str">
        <f>VLOOKUP(F5356,Countries!$A$1:$B$161,2,0)</f>
        <v>United States of America</v>
      </c>
    </row>
    <row r="5357" spans="1:8" x14ac:dyDescent="0.3">
      <c r="A5357" s="3">
        <v>46241.958194444444</v>
      </c>
      <c r="B5357" s="1">
        <v>110.99</v>
      </c>
      <c r="C5357" s="1">
        <v>96.02</v>
      </c>
      <c r="D5357" s="1">
        <v>5.29</v>
      </c>
      <c r="E5357" s="1" t="s">
        <v>185</v>
      </c>
      <c r="F5357" s="1" t="s">
        <v>185</v>
      </c>
      <c r="G5357" s="1" t="s">
        <v>185</v>
      </c>
      <c r="H5357" s="1" t="str">
        <f>VLOOKUP(F5357,Countries!$A$1:$B$161,2,0)</f>
        <v>Republic of Serbia</v>
      </c>
    </row>
    <row r="5358" spans="1:8" x14ac:dyDescent="0.3">
      <c r="A5358" s="3">
        <v>46241.956828703696</v>
      </c>
      <c r="B5358" s="1">
        <v>48.65</v>
      </c>
      <c r="C5358" s="1">
        <v>42.09</v>
      </c>
      <c r="D5358" s="1">
        <v>2.46</v>
      </c>
      <c r="E5358" s="1" t="s">
        <v>185</v>
      </c>
      <c r="F5358" s="1" t="s">
        <v>185</v>
      </c>
      <c r="G5358" s="1" t="s">
        <v>185</v>
      </c>
      <c r="H5358" s="1" t="str">
        <f>VLOOKUP(F5358,Countries!$A$1:$B$161,2,0)</f>
        <v>Republic of Serbia</v>
      </c>
    </row>
    <row r="5359" spans="1:8" x14ac:dyDescent="0.3">
      <c r="A5359" s="3">
        <v>46241.947511574072</v>
      </c>
      <c r="B5359" s="1">
        <v>15</v>
      </c>
      <c r="C5359" s="1">
        <v>12.98</v>
      </c>
      <c r="D5359" s="1">
        <v>0.7</v>
      </c>
      <c r="E5359" s="1" t="s">
        <v>125</v>
      </c>
      <c r="F5359" s="1" t="s">
        <v>125</v>
      </c>
      <c r="G5359" s="1" t="s">
        <v>125</v>
      </c>
      <c r="H5359" s="1" t="str">
        <f>VLOOKUP(F5359,Countries!$A$1:$B$161,2,0)</f>
        <v>Norway</v>
      </c>
    </row>
    <row r="5360" spans="1:8" x14ac:dyDescent="0.3">
      <c r="A5360" s="3">
        <v>46241.946805555563</v>
      </c>
      <c r="B5360" s="1">
        <v>7.58</v>
      </c>
      <c r="C5360" s="1">
        <v>6.56</v>
      </c>
      <c r="D5360" s="1">
        <v>0.48</v>
      </c>
      <c r="E5360" s="1" t="s">
        <v>116</v>
      </c>
      <c r="F5360" s="1" t="s">
        <v>116</v>
      </c>
      <c r="G5360" s="1" t="s">
        <v>116</v>
      </c>
      <c r="H5360" s="1" t="str">
        <f>VLOOKUP(F5360,Countries!$A$1:$B$161,2,0)</f>
        <v>Spain</v>
      </c>
    </row>
    <row r="5361" spans="1:8" x14ac:dyDescent="0.3">
      <c r="A5361" s="3">
        <v>46241.940983796303</v>
      </c>
      <c r="B5361" s="1">
        <v>22.18</v>
      </c>
      <c r="C5361" s="1">
        <v>19.190000000000001</v>
      </c>
      <c r="D5361" s="1">
        <v>1.25</v>
      </c>
      <c r="E5361" s="1" t="s">
        <v>113</v>
      </c>
      <c r="F5361" s="1" t="s">
        <v>113</v>
      </c>
      <c r="G5361" s="1" t="s">
        <v>113</v>
      </c>
      <c r="H5361" s="1" t="str">
        <f>VLOOKUP(F5361,Countries!$A$1:$B$161,2,0)</f>
        <v>United States of America</v>
      </c>
    </row>
    <row r="5362" spans="1:8" x14ac:dyDescent="0.3">
      <c r="A5362" s="3">
        <v>46241.940775462957</v>
      </c>
      <c r="B5362" s="1">
        <v>14.77</v>
      </c>
      <c r="C5362" s="1">
        <v>12.78</v>
      </c>
      <c r="D5362" s="1">
        <v>0.93</v>
      </c>
      <c r="E5362" s="1" t="s">
        <v>113</v>
      </c>
      <c r="F5362" s="1" t="s">
        <v>113</v>
      </c>
      <c r="G5362" s="1" t="s">
        <v>113</v>
      </c>
      <c r="H5362" s="1" t="str">
        <f>VLOOKUP(F5362,Countries!$A$1:$B$161,2,0)</f>
        <v>United States of America</v>
      </c>
    </row>
    <row r="5363" spans="1:8" x14ac:dyDescent="0.3">
      <c r="A5363" s="3">
        <v>46241.932962962957</v>
      </c>
      <c r="B5363" s="1">
        <v>14.77</v>
      </c>
      <c r="C5363" s="1">
        <v>12.78</v>
      </c>
      <c r="D5363" s="1">
        <v>0.93</v>
      </c>
      <c r="E5363" s="1" t="s">
        <v>113</v>
      </c>
      <c r="F5363" s="1" t="s">
        <v>113</v>
      </c>
      <c r="G5363" s="1" t="s">
        <v>113</v>
      </c>
      <c r="H5363" s="1" t="str">
        <f>VLOOKUP(F5363,Countries!$A$1:$B$161,2,0)</f>
        <v>United States of America</v>
      </c>
    </row>
    <row r="5364" spans="1:8" x14ac:dyDescent="0.3">
      <c r="A5364" s="3">
        <v>46241.930138888893</v>
      </c>
      <c r="B5364" s="1">
        <v>6.37</v>
      </c>
      <c r="C5364" s="1">
        <v>5.51</v>
      </c>
      <c r="D5364" s="1">
        <v>0.54</v>
      </c>
      <c r="E5364" s="1" t="s">
        <v>113</v>
      </c>
      <c r="F5364" s="1" t="s">
        <v>113</v>
      </c>
      <c r="G5364" s="1" t="s">
        <v>113</v>
      </c>
      <c r="H5364" s="1" t="str">
        <f>VLOOKUP(F5364,Countries!$A$1:$B$161,2,0)</f>
        <v>United States of America</v>
      </c>
    </row>
    <row r="5365" spans="1:8" x14ac:dyDescent="0.3">
      <c r="A5365" s="3">
        <v>46241.92696759259</v>
      </c>
      <c r="B5365" s="1">
        <v>6.37</v>
      </c>
      <c r="C5365" s="1">
        <v>5.51</v>
      </c>
      <c r="D5365" s="1">
        <v>0.54</v>
      </c>
      <c r="E5365" s="1" t="s">
        <v>113</v>
      </c>
      <c r="F5365" s="1" t="s">
        <v>113</v>
      </c>
      <c r="G5365" s="1" t="s">
        <v>113</v>
      </c>
      <c r="H5365" s="1" t="str">
        <f>VLOOKUP(F5365,Countries!$A$1:$B$161,2,0)</f>
        <v>United States of America</v>
      </c>
    </row>
    <row r="5366" spans="1:8" x14ac:dyDescent="0.3">
      <c r="A5366" s="3">
        <v>46241.921770833331</v>
      </c>
      <c r="B5366" s="1">
        <v>13.89</v>
      </c>
      <c r="C5366" s="1">
        <v>12.02</v>
      </c>
      <c r="D5366" s="1">
        <v>0.88</v>
      </c>
      <c r="E5366" s="1" t="s">
        <v>185</v>
      </c>
      <c r="F5366" s="1" t="s">
        <v>185</v>
      </c>
      <c r="G5366" s="1" t="s">
        <v>185</v>
      </c>
      <c r="H5366" s="1" t="str">
        <f>VLOOKUP(F5366,Countries!$A$1:$B$161,2,0)</f>
        <v>Republic of Serbia</v>
      </c>
    </row>
    <row r="5367" spans="1:8" x14ac:dyDescent="0.3">
      <c r="A5367" s="3">
        <v>46241.920682870368</v>
      </c>
      <c r="B5367" s="1">
        <v>39.99</v>
      </c>
      <c r="C5367" s="1">
        <v>34.6</v>
      </c>
      <c r="D5367" s="1">
        <v>2.06</v>
      </c>
      <c r="E5367" s="1" t="s">
        <v>135</v>
      </c>
      <c r="F5367" s="1" t="s">
        <v>135</v>
      </c>
      <c r="G5367" s="1" t="s">
        <v>135</v>
      </c>
      <c r="H5367" s="1" t="str">
        <f>VLOOKUP(F5367,Countries!$A$1:$B$161,2,0)</f>
        <v>Kuwait</v>
      </c>
    </row>
    <row r="5368" spans="1:8" x14ac:dyDescent="0.3">
      <c r="A5368" s="3">
        <v>46241.917858796303</v>
      </c>
      <c r="B5368" s="1">
        <v>6.51</v>
      </c>
      <c r="C5368" s="1">
        <v>5.63</v>
      </c>
      <c r="D5368" s="1">
        <v>0.44</v>
      </c>
      <c r="E5368" s="1" t="s">
        <v>159</v>
      </c>
      <c r="F5368" s="1" t="s">
        <v>159</v>
      </c>
      <c r="G5368" s="1" t="s">
        <v>159</v>
      </c>
      <c r="H5368" s="1" t="str">
        <f>VLOOKUP(F5368,Countries!$A$1:$B$161,2,0)</f>
        <v>Romania</v>
      </c>
    </row>
    <row r="5369" spans="1:8" x14ac:dyDescent="0.3">
      <c r="A5369" s="3">
        <v>46241.914085648154</v>
      </c>
      <c r="B5369" s="1">
        <v>6.37</v>
      </c>
      <c r="C5369" s="1">
        <v>5.51</v>
      </c>
      <c r="D5369" s="1">
        <v>0.54</v>
      </c>
      <c r="E5369" s="1" t="s">
        <v>183</v>
      </c>
      <c r="F5369" s="1" t="s">
        <v>183</v>
      </c>
      <c r="G5369" s="1" t="s">
        <v>183</v>
      </c>
      <c r="H5369" s="1" t="str">
        <f>VLOOKUP(F5369,Countries!$A$1:$B$161,2,0)</f>
        <v>Malaysia</v>
      </c>
    </row>
    <row r="5370" spans="1:8" x14ac:dyDescent="0.3">
      <c r="A5370" s="3">
        <v>46241.910092592603</v>
      </c>
      <c r="B5370" s="1">
        <v>6.37</v>
      </c>
      <c r="C5370" s="1">
        <v>5.51</v>
      </c>
      <c r="D5370" s="1">
        <v>0.54</v>
      </c>
      <c r="E5370" s="1" t="s">
        <v>113</v>
      </c>
      <c r="F5370" s="1" t="s">
        <v>113</v>
      </c>
      <c r="G5370" s="1" t="s">
        <v>113</v>
      </c>
      <c r="H5370" s="1" t="str">
        <f>VLOOKUP(F5370,Countries!$A$1:$B$161,2,0)</f>
        <v>United States of America</v>
      </c>
    </row>
    <row r="5371" spans="1:8" x14ac:dyDescent="0.3">
      <c r="A5371" s="3">
        <v>46241.907349537039</v>
      </c>
      <c r="B5371" s="1">
        <v>1.99</v>
      </c>
      <c r="C5371" s="1">
        <v>1.72</v>
      </c>
      <c r="D5371" s="1">
        <v>0.34</v>
      </c>
      <c r="E5371" s="1" t="s">
        <v>126</v>
      </c>
      <c r="F5371" s="1" t="s">
        <v>126</v>
      </c>
      <c r="G5371" s="1" t="s">
        <v>126</v>
      </c>
      <c r="H5371" s="1" t="str">
        <f>VLOOKUP(F5371,Countries!$A$1:$B$161,2,0)</f>
        <v>Cambodia</v>
      </c>
    </row>
    <row r="5372" spans="1:8" x14ac:dyDescent="0.3">
      <c r="A5372" s="3">
        <v>46241.903831018521</v>
      </c>
      <c r="B5372" s="1">
        <v>7.48</v>
      </c>
      <c r="C5372" s="1">
        <v>6.47</v>
      </c>
      <c r="D5372" s="1">
        <v>0.48</v>
      </c>
      <c r="E5372" s="1" t="s">
        <v>123</v>
      </c>
      <c r="F5372" s="1" t="s">
        <v>123</v>
      </c>
      <c r="G5372" s="1" t="s">
        <v>123</v>
      </c>
      <c r="H5372" s="1" t="str">
        <f>VLOOKUP(F5372,Countries!$A$1:$B$161,2,0)</f>
        <v>France</v>
      </c>
    </row>
    <row r="5373" spans="1:8" x14ac:dyDescent="0.3">
      <c r="A5373" s="3">
        <v>46241.893900462957</v>
      </c>
      <c r="B5373" s="1">
        <v>1.99</v>
      </c>
      <c r="C5373" s="1">
        <v>1.72</v>
      </c>
      <c r="D5373" s="1">
        <v>0.34</v>
      </c>
      <c r="E5373" s="1" t="s">
        <v>113</v>
      </c>
      <c r="F5373" s="1" t="s">
        <v>113</v>
      </c>
      <c r="G5373" s="1" t="s">
        <v>113</v>
      </c>
      <c r="H5373" s="1" t="str">
        <f>VLOOKUP(F5373,Countries!$A$1:$B$161,2,0)</f>
        <v>United States of America</v>
      </c>
    </row>
    <row r="5374" spans="1:8" x14ac:dyDescent="0.3">
      <c r="A5374" s="3">
        <v>46241.876331018517</v>
      </c>
      <c r="B5374" s="1">
        <v>54.05</v>
      </c>
      <c r="C5374" s="1">
        <v>46.75</v>
      </c>
      <c r="D5374" s="1">
        <v>2.71</v>
      </c>
      <c r="E5374" s="1" t="s">
        <v>130</v>
      </c>
      <c r="F5374" s="1" t="s">
        <v>130</v>
      </c>
      <c r="G5374" s="1" t="s">
        <v>130</v>
      </c>
      <c r="H5374" s="1" t="str">
        <f>VLOOKUP(F5374,Countries!$A$1:$B$161,2,0)</f>
        <v>Australia</v>
      </c>
    </row>
    <row r="5375" spans="1:8" x14ac:dyDescent="0.3">
      <c r="A5375" s="3">
        <v>46241.875983796293</v>
      </c>
      <c r="B5375" s="1">
        <v>11.48</v>
      </c>
      <c r="C5375" s="1">
        <v>9.93</v>
      </c>
      <c r="D5375" s="1">
        <v>0.77</v>
      </c>
      <c r="E5375" s="1" t="s">
        <v>113</v>
      </c>
      <c r="F5375" s="1" t="s">
        <v>197</v>
      </c>
      <c r="G5375" s="1" t="s">
        <v>197</v>
      </c>
      <c r="H5375" s="1" t="str">
        <f>VLOOKUP(F5375,Countries!$A$1:$B$161,2,0)</f>
        <v>China</v>
      </c>
    </row>
    <row r="5376" spans="1:8" x14ac:dyDescent="0.3">
      <c r="A5376" s="3">
        <v>46241.867592592593</v>
      </c>
      <c r="B5376" s="1">
        <v>9.99</v>
      </c>
      <c r="C5376" s="1">
        <v>8.64</v>
      </c>
      <c r="D5376" s="1">
        <v>0.7</v>
      </c>
      <c r="E5376" s="1" t="s">
        <v>185</v>
      </c>
      <c r="F5376" s="1" t="s">
        <v>185</v>
      </c>
      <c r="G5376" s="1" t="s">
        <v>185</v>
      </c>
      <c r="H5376" s="1" t="str">
        <f>VLOOKUP(F5376,Countries!$A$1:$B$161,2,0)</f>
        <v>Republic of Serbia</v>
      </c>
    </row>
    <row r="5377" spans="1:8" x14ac:dyDescent="0.3">
      <c r="A5377" s="3">
        <v>46241.866539351853</v>
      </c>
      <c r="B5377" s="1">
        <v>12.33</v>
      </c>
      <c r="C5377" s="1">
        <v>10.66</v>
      </c>
      <c r="D5377" s="1">
        <v>0.62</v>
      </c>
      <c r="E5377" s="1" t="s">
        <v>159</v>
      </c>
      <c r="F5377" s="1" t="s">
        <v>159</v>
      </c>
      <c r="G5377" s="1" t="s">
        <v>159</v>
      </c>
      <c r="H5377" s="1" t="str">
        <f>VLOOKUP(F5377,Countries!$A$1:$B$161,2,0)</f>
        <v>Romania</v>
      </c>
    </row>
    <row r="5378" spans="1:8" x14ac:dyDescent="0.3">
      <c r="A5378" s="3">
        <v>46241.866516203707</v>
      </c>
      <c r="B5378" s="1">
        <v>6.37</v>
      </c>
      <c r="C5378" s="1">
        <v>5.51</v>
      </c>
      <c r="D5378" s="1">
        <v>0.54</v>
      </c>
      <c r="E5378" s="1" t="s">
        <v>113</v>
      </c>
      <c r="F5378" s="1" t="s">
        <v>113</v>
      </c>
      <c r="G5378" s="1" t="s">
        <v>113</v>
      </c>
      <c r="H5378" s="1" t="str">
        <f>VLOOKUP(F5378,Countries!$A$1:$B$161,2,0)</f>
        <v>United States of America</v>
      </c>
    </row>
    <row r="5379" spans="1:8" x14ac:dyDescent="0.3">
      <c r="A5379" s="3">
        <v>46241.863483796304</v>
      </c>
      <c r="B5379" s="1">
        <v>11.48</v>
      </c>
      <c r="C5379" s="1">
        <v>9.93</v>
      </c>
      <c r="D5379" s="1">
        <v>0.77</v>
      </c>
      <c r="E5379" s="1" t="s">
        <v>113</v>
      </c>
      <c r="F5379" s="1" t="s">
        <v>197</v>
      </c>
      <c r="G5379" s="1" t="s">
        <v>197</v>
      </c>
      <c r="H5379" s="1" t="str">
        <f>VLOOKUP(F5379,Countries!$A$1:$B$161,2,0)</f>
        <v>China</v>
      </c>
    </row>
    <row r="5380" spans="1:8" x14ac:dyDescent="0.3">
      <c r="A5380" s="3">
        <v>46241.862245370372</v>
      </c>
      <c r="B5380" s="1">
        <v>6.37</v>
      </c>
      <c r="C5380" s="1">
        <v>5.51</v>
      </c>
      <c r="D5380" s="1">
        <v>0.54</v>
      </c>
      <c r="E5380" s="1" t="s">
        <v>113</v>
      </c>
      <c r="F5380" s="1" t="s">
        <v>113</v>
      </c>
      <c r="G5380" s="1" t="s">
        <v>113</v>
      </c>
      <c r="H5380" s="1" t="str">
        <f>VLOOKUP(F5380,Countries!$A$1:$B$161,2,0)</f>
        <v>United States of America</v>
      </c>
    </row>
    <row r="5381" spans="1:8" x14ac:dyDescent="0.3">
      <c r="A5381" s="3">
        <v>46241.857777777783</v>
      </c>
      <c r="B5381" s="1">
        <v>61.65</v>
      </c>
      <c r="C5381" s="1">
        <v>53.32</v>
      </c>
      <c r="D5381" s="1">
        <v>3.05</v>
      </c>
      <c r="E5381" s="1" t="s">
        <v>130</v>
      </c>
      <c r="F5381" s="1" t="s">
        <v>130</v>
      </c>
      <c r="G5381" s="1" t="s">
        <v>130</v>
      </c>
      <c r="H5381" s="1" t="str">
        <f>VLOOKUP(F5381,Countries!$A$1:$B$161,2,0)</f>
        <v>Australia</v>
      </c>
    </row>
    <row r="5382" spans="1:8" x14ac:dyDescent="0.3">
      <c r="A5382" s="3">
        <v>46241.85664351852</v>
      </c>
      <c r="B5382" s="1">
        <v>38.61</v>
      </c>
      <c r="C5382" s="1">
        <v>33.39</v>
      </c>
      <c r="D5382" s="1">
        <v>2.0099999999999998</v>
      </c>
      <c r="E5382" s="1" t="s">
        <v>130</v>
      </c>
      <c r="F5382" s="1" t="s">
        <v>130</v>
      </c>
      <c r="G5382" s="1" t="s">
        <v>130</v>
      </c>
      <c r="H5382" s="1" t="str">
        <f>VLOOKUP(F5382,Countries!$A$1:$B$161,2,0)</f>
        <v>Australia</v>
      </c>
    </row>
    <row r="5383" spans="1:8" x14ac:dyDescent="0.3">
      <c r="A5383" s="3">
        <v>46241.854826388888</v>
      </c>
      <c r="B5383" s="1">
        <v>12.33</v>
      </c>
      <c r="C5383" s="1">
        <v>10.66</v>
      </c>
      <c r="D5383" s="1">
        <v>0.62</v>
      </c>
      <c r="E5383" s="1" t="s">
        <v>159</v>
      </c>
      <c r="F5383" s="1" t="s">
        <v>159</v>
      </c>
      <c r="G5383" s="1" t="s">
        <v>159</v>
      </c>
      <c r="H5383" s="1" t="str">
        <f>VLOOKUP(F5383,Countries!$A$1:$B$161,2,0)</f>
        <v>Romania</v>
      </c>
    </row>
    <row r="5384" spans="1:8" x14ac:dyDescent="0.3">
      <c r="A5384" s="3">
        <v>46241.8437037037</v>
      </c>
      <c r="B5384" s="1">
        <v>54.05</v>
      </c>
      <c r="C5384" s="1">
        <v>46.75</v>
      </c>
      <c r="D5384" s="1">
        <v>2.71</v>
      </c>
      <c r="E5384" s="1" t="s">
        <v>130</v>
      </c>
      <c r="F5384" s="1" t="s">
        <v>130</v>
      </c>
      <c r="G5384" s="1" t="s">
        <v>130</v>
      </c>
      <c r="H5384" s="1" t="str">
        <f>VLOOKUP(F5384,Countries!$A$1:$B$161,2,0)</f>
        <v>Australia</v>
      </c>
    </row>
    <row r="5385" spans="1:8" x14ac:dyDescent="0.3">
      <c r="A5385" s="3">
        <v>46241.840995370367</v>
      </c>
      <c r="B5385" s="1">
        <v>7.39</v>
      </c>
      <c r="C5385" s="1">
        <v>6.39</v>
      </c>
      <c r="D5385" s="1">
        <v>0.48</v>
      </c>
      <c r="E5385" s="1" t="s">
        <v>147</v>
      </c>
      <c r="F5385" s="1" t="s">
        <v>147</v>
      </c>
      <c r="G5385" s="1" t="s">
        <v>147</v>
      </c>
      <c r="H5385" s="1" t="str">
        <f>VLOOKUP(F5385,Countries!$A$1:$B$161,2,0)</f>
        <v>Germany</v>
      </c>
    </row>
    <row r="5386" spans="1:8" x14ac:dyDescent="0.3">
      <c r="A5386" s="3">
        <v>46241.840729166674</v>
      </c>
      <c r="B5386" s="1">
        <v>20.239999999999998</v>
      </c>
      <c r="C5386" s="1">
        <v>17.510000000000002</v>
      </c>
      <c r="D5386" s="1">
        <v>0.86</v>
      </c>
      <c r="E5386" s="1" t="s">
        <v>116</v>
      </c>
      <c r="F5386" s="1" t="s">
        <v>116</v>
      </c>
      <c r="G5386" s="1" t="s">
        <v>116</v>
      </c>
      <c r="H5386" s="1" t="str">
        <f>VLOOKUP(F5386,Countries!$A$1:$B$161,2,0)</f>
        <v>Spain</v>
      </c>
    </row>
    <row r="5387" spans="1:8" x14ac:dyDescent="0.3">
      <c r="A5387" s="3">
        <v>46241.840416666673</v>
      </c>
      <c r="B5387" s="1">
        <v>12.33</v>
      </c>
      <c r="C5387" s="1">
        <v>10.66</v>
      </c>
      <c r="D5387" s="1">
        <v>0.62</v>
      </c>
      <c r="E5387" s="1" t="s">
        <v>159</v>
      </c>
      <c r="F5387" s="1" t="s">
        <v>159</v>
      </c>
      <c r="G5387" s="1" t="s">
        <v>159</v>
      </c>
      <c r="H5387" s="1" t="str">
        <f>VLOOKUP(F5387,Countries!$A$1:$B$161,2,0)</f>
        <v>Romania</v>
      </c>
    </row>
    <row r="5388" spans="1:8" x14ac:dyDescent="0.3">
      <c r="A5388" s="3">
        <v>46241.840324074074</v>
      </c>
      <c r="B5388" s="1">
        <v>12.64</v>
      </c>
      <c r="C5388" s="1">
        <v>10.93</v>
      </c>
      <c r="D5388" s="1">
        <v>0.63</v>
      </c>
      <c r="E5388" s="1" t="s">
        <v>116</v>
      </c>
      <c r="F5388" s="1" t="s">
        <v>116</v>
      </c>
      <c r="G5388" s="1" t="s">
        <v>116</v>
      </c>
      <c r="H5388" s="1" t="str">
        <f>VLOOKUP(F5388,Countries!$A$1:$B$161,2,0)</f>
        <v>Spain</v>
      </c>
    </row>
    <row r="5389" spans="1:8" x14ac:dyDescent="0.3">
      <c r="A5389" s="3">
        <v>46241.836655092593</v>
      </c>
      <c r="B5389" s="1">
        <v>17.579999999999998</v>
      </c>
      <c r="C5389" s="1">
        <v>15.21</v>
      </c>
      <c r="D5389" s="1">
        <v>0.78</v>
      </c>
      <c r="E5389" s="1" t="s">
        <v>116</v>
      </c>
      <c r="F5389" s="1" t="s">
        <v>116</v>
      </c>
      <c r="G5389" s="1" t="s">
        <v>116</v>
      </c>
      <c r="H5389" s="1" t="str">
        <f>VLOOKUP(F5389,Countries!$A$1:$B$161,2,0)</f>
        <v>Spain</v>
      </c>
    </row>
    <row r="5390" spans="1:8" x14ac:dyDescent="0.3">
      <c r="A5390" s="3">
        <v>46241.836134259262</v>
      </c>
      <c r="B5390" s="1">
        <v>61.65</v>
      </c>
      <c r="C5390" s="1">
        <v>53.32</v>
      </c>
      <c r="D5390" s="1">
        <v>3.05</v>
      </c>
      <c r="E5390" s="1" t="s">
        <v>130</v>
      </c>
      <c r="F5390" s="1" t="s">
        <v>130</v>
      </c>
      <c r="G5390" s="1" t="s">
        <v>130</v>
      </c>
      <c r="H5390" s="1" t="str">
        <f>VLOOKUP(F5390,Countries!$A$1:$B$161,2,0)</f>
        <v>Australia</v>
      </c>
    </row>
    <row r="5391" spans="1:8" x14ac:dyDescent="0.3">
      <c r="A5391" s="3">
        <v>46241.83216435185</v>
      </c>
      <c r="B5391" s="1">
        <v>7.04</v>
      </c>
      <c r="C5391" s="1">
        <v>6.09</v>
      </c>
      <c r="D5391" s="1">
        <v>0.56999999999999995</v>
      </c>
      <c r="E5391" s="1" t="s">
        <v>160</v>
      </c>
      <c r="F5391" s="1" t="s">
        <v>160</v>
      </c>
      <c r="G5391" s="1" t="s">
        <v>160</v>
      </c>
      <c r="H5391" s="1" t="str">
        <f>VLOOKUP(F5391,Countries!$A$1:$B$161,2,0)</f>
        <v>New Zealand</v>
      </c>
    </row>
    <row r="5392" spans="1:8" x14ac:dyDescent="0.3">
      <c r="A5392" s="3">
        <v>46241.83016203704</v>
      </c>
      <c r="B5392" s="1">
        <v>17.579999999999998</v>
      </c>
      <c r="C5392" s="1">
        <v>15.2</v>
      </c>
      <c r="D5392" s="1">
        <v>0.78</v>
      </c>
      <c r="E5392" s="1" t="s">
        <v>116</v>
      </c>
      <c r="F5392" s="1" t="s">
        <v>116</v>
      </c>
      <c r="G5392" s="1" t="s">
        <v>116</v>
      </c>
      <c r="H5392" s="1" t="str">
        <f>VLOOKUP(F5392,Countries!$A$1:$B$161,2,0)</f>
        <v>Spain</v>
      </c>
    </row>
    <row r="5393" spans="1:8" x14ac:dyDescent="0.3">
      <c r="A5393" s="3">
        <v>46241.829351851848</v>
      </c>
      <c r="B5393" s="1">
        <v>7.58</v>
      </c>
      <c r="C5393" s="1">
        <v>6.55</v>
      </c>
      <c r="D5393" s="1">
        <v>0.48</v>
      </c>
      <c r="E5393" s="1" t="s">
        <v>116</v>
      </c>
      <c r="F5393" s="1" t="s">
        <v>116</v>
      </c>
      <c r="G5393" s="1" t="s">
        <v>116</v>
      </c>
      <c r="H5393" s="1" t="str">
        <f>VLOOKUP(F5393,Countries!$A$1:$B$161,2,0)</f>
        <v>Spain</v>
      </c>
    </row>
    <row r="5394" spans="1:8" x14ac:dyDescent="0.3">
      <c r="A5394" s="3">
        <v>46241.828009259261</v>
      </c>
      <c r="B5394" s="1">
        <v>7.99</v>
      </c>
      <c r="C5394" s="1">
        <v>6.91</v>
      </c>
      <c r="D5394" s="1">
        <v>0.61</v>
      </c>
      <c r="E5394" s="1" t="s">
        <v>163</v>
      </c>
      <c r="F5394" s="1" t="s">
        <v>163</v>
      </c>
      <c r="G5394" s="1" t="s">
        <v>163</v>
      </c>
      <c r="H5394" s="1" t="str">
        <f>VLOOKUP(F5394,Countries!$A$1:$B$161,2,0)</f>
        <v>Saudi Arabia</v>
      </c>
    </row>
    <row r="5395" spans="1:8" x14ac:dyDescent="0.3">
      <c r="A5395" s="3">
        <v>46241.826921296299</v>
      </c>
      <c r="B5395" s="1">
        <v>61.65</v>
      </c>
      <c r="C5395" s="1">
        <v>53.31</v>
      </c>
      <c r="D5395" s="1">
        <v>3.05</v>
      </c>
      <c r="E5395" s="1" t="s">
        <v>130</v>
      </c>
      <c r="F5395" s="1" t="s">
        <v>130</v>
      </c>
      <c r="G5395" s="1" t="s">
        <v>130</v>
      </c>
      <c r="H5395" s="1" t="str">
        <f>VLOOKUP(F5395,Countries!$A$1:$B$161,2,0)</f>
        <v>Australia</v>
      </c>
    </row>
    <row r="5396" spans="1:8" x14ac:dyDescent="0.3">
      <c r="A5396" s="3">
        <v>46241.821412037039</v>
      </c>
      <c r="B5396" s="1">
        <v>17.579999999999998</v>
      </c>
      <c r="C5396" s="1">
        <v>15.2</v>
      </c>
      <c r="D5396" s="1">
        <v>0.78</v>
      </c>
      <c r="E5396" s="1" t="s">
        <v>116</v>
      </c>
      <c r="F5396" s="1" t="s">
        <v>116</v>
      </c>
      <c r="G5396" s="1" t="s">
        <v>116</v>
      </c>
      <c r="H5396" s="1" t="str">
        <f>VLOOKUP(F5396,Countries!$A$1:$B$161,2,0)</f>
        <v>Spain</v>
      </c>
    </row>
    <row r="5397" spans="1:8" x14ac:dyDescent="0.3">
      <c r="A5397" s="3">
        <v>46241.819953703707</v>
      </c>
      <c r="B5397" s="1">
        <v>43.98</v>
      </c>
      <c r="C5397" s="1">
        <v>38.03</v>
      </c>
      <c r="D5397" s="1">
        <v>1.58</v>
      </c>
      <c r="E5397" s="1" t="s">
        <v>116</v>
      </c>
      <c r="F5397" s="1" t="s">
        <v>116</v>
      </c>
      <c r="G5397" s="1" t="s">
        <v>116</v>
      </c>
      <c r="H5397" s="1" t="str">
        <f>VLOOKUP(F5397,Countries!$A$1:$B$161,2,0)</f>
        <v>Spain</v>
      </c>
    </row>
    <row r="5398" spans="1:8" x14ac:dyDescent="0.3">
      <c r="A5398" s="3">
        <v>46241.819756944453</v>
      </c>
      <c r="B5398" s="1">
        <v>23.16</v>
      </c>
      <c r="C5398" s="1">
        <v>20.03</v>
      </c>
      <c r="D5398" s="1">
        <v>1.3</v>
      </c>
      <c r="E5398" s="1" t="s">
        <v>130</v>
      </c>
      <c r="F5398" s="1" t="s">
        <v>130</v>
      </c>
      <c r="G5398" s="1" t="s">
        <v>130</v>
      </c>
      <c r="H5398" s="1" t="str">
        <f>VLOOKUP(F5398,Countries!$A$1:$B$161,2,0)</f>
        <v>Australia</v>
      </c>
    </row>
    <row r="5399" spans="1:8" x14ac:dyDescent="0.3">
      <c r="A5399" s="3">
        <v>46241.81795138889</v>
      </c>
      <c r="B5399" s="1">
        <v>6.73</v>
      </c>
      <c r="C5399" s="1">
        <v>5.82</v>
      </c>
      <c r="D5399" s="1">
        <v>0.56000000000000005</v>
      </c>
      <c r="E5399" s="1" t="s">
        <v>130</v>
      </c>
      <c r="F5399" s="1" t="s">
        <v>130</v>
      </c>
      <c r="G5399" s="1" t="s">
        <v>130</v>
      </c>
      <c r="H5399" s="1" t="str">
        <f>VLOOKUP(F5399,Countries!$A$1:$B$161,2,0)</f>
        <v>Australia</v>
      </c>
    </row>
    <row r="5400" spans="1:8" x14ac:dyDescent="0.3">
      <c r="A5400" s="3">
        <v>46241.806400462963</v>
      </c>
      <c r="B5400" s="1">
        <v>7.67</v>
      </c>
      <c r="C5400" s="1">
        <v>6.63</v>
      </c>
      <c r="D5400" s="1">
        <v>0.48</v>
      </c>
      <c r="E5400" s="1" t="s">
        <v>203</v>
      </c>
      <c r="F5400" s="1" t="s">
        <v>203</v>
      </c>
      <c r="G5400" s="1" t="s">
        <v>203</v>
      </c>
      <c r="H5400" s="1" t="str">
        <f>VLOOKUP(F5400,Countries!$A$1:$B$161,2,0)</f>
        <v>Slovenia</v>
      </c>
    </row>
    <row r="5401" spans="1:8" x14ac:dyDescent="0.3">
      <c r="A5401" s="3">
        <v>46241.805694444447</v>
      </c>
      <c r="B5401" s="1">
        <v>12.64</v>
      </c>
      <c r="C5401" s="1">
        <v>10.93</v>
      </c>
      <c r="D5401" s="1">
        <v>0.63</v>
      </c>
      <c r="E5401" s="1" t="s">
        <v>116</v>
      </c>
      <c r="F5401" s="1" t="s">
        <v>116</v>
      </c>
      <c r="G5401" s="1" t="s">
        <v>116</v>
      </c>
      <c r="H5401" s="1" t="str">
        <f>VLOOKUP(F5401,Countries!$A$1:$B$161,2,0)</f>
        <v>Spain</v>
      </c>
    </row>
    <row r="5402" spans="1:8" x14ac:dyDescent="0.3">
      <c r="A5402" s="3">
        <v>46241.804664351846</v>
      </c>
      <c r="B5402" s="1">
        <v>6.37</v>
      </c>
      <c r="C5402" s="1">
        <v>5.51</v>
      </c>
      <c r="D5402" s="1">
        <v>0.54</v>
      </c>
      <c r="E5402" s="1" t="s">
        <v>113</v>
      </c>
      <c r="F5402" s="1" t="s">
        <v>113</v>
      </c>
      <c r="G5402" s="1" t="s">
        <v>113</v>
      </c>
      <c r="H5402" s="1" t="str">
        <f>VLOOKUP(F5402,Countries!$A$1:$B$161,2,0)</f>
        <v>United States of America</v>
      </c>
    </row>
    <row r="5403" spans="1:8" x14ac:dyDescent="0.3">
      <c r="A5403" s="3">
        <v>46241.804432870369</v>
      </c>
      <c r="B5403" s="1">
        <v>6.37</v>
      </c>
      <c r="C5403" s="1">
        <v>5.51</v>
      </c>
      <c r="D5403" s="1">
        <v>0.54</v>
      </c>
      <c r="E5403" s="1" t="s">
        <v>113</v>
      </c>
      <c r="F5403" s="1" t="s">
        <v>113</v>
      </c>
      <c r="G5403" s="1" t="s">
        <v>113</v>
      </c>
      <c r="H5403" s="1" t="str">
        <f>VLOOKUP(F5403,Countries!$A$1:$B$161,2,0)</f>
        <v>United States of America</v>
      </c>
    </row>
    <row r="5404" spans="1:8" x14ac:dyDescent="0.3">
      <c r="A5404" s="3">
        <v>46241.804212962961</v>
      </c>
      <c r="B5404" s="1">
        <v>14.77</v>
      </c>
      <c r="C5404" s="1">
        <v>12.77</v>
      </c>
      <c r="D5404" s="1">
        <v>0.93</v>
      </c>
      <c r="E5404" s="1" t="s">
        <v>113</v>
      </c>
      <c r="F5404" s="1" t="s">
        <v>113</v>
      </c>
      <c r="G5404" s="1" t="s">
        <v>113</v>
      </c>
      <c r="H5404" s="1" t="str">
        <f>VLOOKUP(F5404,Countries!$A$1:$B$161,2,0)</f>
        <v>United States of America</v>
      </c>
    </row>
    <row r="5405" spans="1:8" x14ac:dyDescent="0.3">
      <c r="A5405" s="3">
        <v>46241.79928240741</v>
      </c>
      <c r="B5405" s="1">
        <v>6.37</v>
      </c>
      <c r="C5405" s="1">
        <v>5.51</v>
      </c>
      <c r="D5405" s="1">
        <v>0.54</v>
      </c>
      <c r="E5405" s="1" t="s">
        <v>113</v>
      </c>
      <c r="F5405" s="1" t="s">
        <v>113</v>
      </c>
      <c r="G5405" s="1" t="s">
        <v>113</v>
      </c>
      <c r="H5405" s="1" t="str">
        <f>VLOOKUP(F5405,Countries!$A$1:$B$161,2,0)</f>
        <v>United States of America</v>
      </c>
    </row>
    <row r="5406" spans="1:8" x14ac:dyDescent="0.3">
      <c r="A5406" s="3">
        <v>46241.798310185193</v>
      </c>
      <c r="B5406" s="1">
        <v>6.37</v>
      </c>
      <c r="C5406" s="1">
        <v>5.51</v>
      </c>
      <c r="D5406" s="1">
        <v>0.54</v>
      </c>
      <c r="E5406" s="1" t="s">
        <v>113</v>
      </c>
      <c r="F5406" s="1" t="s">
        <v>113</v>
      </c>
      <c r="G5406" s="1" t="s">
        <v>113</v>
      </c>
      <c r="H5406" s="1" t="str">
        <f>VLOOKUP(F5406,Countries!$A$1:$B$161,2,0)</f>
        <v>United States of America</v>
      </c>
    </row>
    <row r="5407" spans="1:8" x14ac:dyDescent="0.3">
      <c r="A5407" s="3">
        <v>46241.796747685177</v>
      </c>
      <c r="B5407" s="1">
        <v>6.37</v>
      </c>
      <c r="C5407" s="1">
        <v>5.51</v>
      </c>
      <c r="D5407" s="1">
        <v>0.54</v>
      </c>
      <c r="E5407" s="1" t="s">
        <v>113</v>
      </c>
      <c r="F5407" s="1" t="s">
        <v>113</v>
      </c>
      <c r="G5407" s="1" t="s">
        <v>113</v>
      </c>
      <c r="H5407" s="1" t="str">
        <f>VLOOKUP(F5407,Countries!$A$1:$B$161,2,0)</f>
        <v>United States of America</v>
      </c>
    </row>
    <row r="5408" spans="1:8" x14ac:dyDescent="0.3">
      <c r="A5408" s="3">
        <v>46241.790486111109</v>
      </c>
      <c r="B5408" s="1">
        <v>10.51</v>
      </c>
      <c r="C5408" s="1">
        <v>9.09</v>
      </c>
      <c r="D5408" s="1">
        <v>0.73</v>
      </c>
      <c r="E5408" s="1" t="s">
        <v>132</v>
      </c>
      <c r="F5408" s="1" t="s">
        <v>132</v>
      </c>
      <c r="G5408" s="1" t="s">
        <v>132</v>
      </c>
      <c r="H5408" s="1" t="str">
        <f>VLOOKUP(F5408,Countries!$A$1:$B$161,2,0)</f>
        <v>Canada</v>
      </c>
    </row>
    <row r="5409" spans="1:8" x14ac:dyDescent="0.3">
      <c r="A5409" s="3">
        <v>46241.782268518517</v>
      </c>
      <c r="B5409" s="1">
        <v>6.3</v>
      </c>
      <c r="C5409" s="1">
        <v>5.45</v>
      </c>
      <c r="D5409" s="1">
        <v>0.54</v>
      </c>
      <c r="E5409" s="1" t="s">
        <v>132</v>
      </c>
      <c r="F5409" s="1" t="s">
        <v>132</v>
      </c>
      <c r="G5409" s="1" t="s">
        <v>132</v>
      </c>
      <c r="H5409" s="1" t="str">
        <f>VLOOKUP(F5409,Countries!$A$1:$B$161,2,0)</f>
        <v>Canada</v>
      </c>
    </row>
    <row r="5410" spans="1:8" x14ac:dyDescent="0.3">
      <c r="A5410" s="3">
        <v>46241.778553240743</v>
      </c>
      <c r="B5410" s="1">
        <v>1.99</v>
      </c>
      <c r="C5410" s="1">
        <v>1.72</v>
      </c>
      <c r="D5410" s="1">
        <v>0.34</v>
      </c>
      <c r="E5410" s="1" t="s">
        <v>204</v>
      </c>
      <c r="F5410" s="1" t="s">
        <v>204</v>
      </c>
      <c r="G5410" s="1" t="s">
        <v>204</v>
      </c>
      <c r="H5410" s="1" t="str">
        <f>VLOOKUP(F5410,Countries!$A$1:$B$161,2,0)</f>
        <v>Cameroon</v>
      </c>
    </row>
    <row r="5411" spans="1:8" x14ac:dyDescent="0.3">
      <c r="A5411" s="3">
        <v>46241.772939814808</v>
      </c>
      <c r="B5411" s="1">
        <v>1.99</v>
      </c>
      <c r="C5411" s="1">
        <v>1.72</v>
      </c>
      <c r="D5411" s="1">
        <v>0.34</v>
      </c>
      <c r="E5411" s="1" t="s">
        <v>126</v>
      </c>
      <c r="F5411" s="1" t="s">
        <v>126</v>
      </c>
      <c r="G5411" s="1" t="s">
        <v>126</v>
      </c>
      <c r="H5411" s="1" t="str">
        <f>VLOOKUP(F5411,Countries!$A$1:$B$161,2,0)</f>
        <v>Cambodia</v>
      </c>
    </row>
    <row r="5412" spans="1:8" x14ac:dyDescent="0.3">
      <c r="A5412" s="3">
        <v>46241.760972222219</v>
      </c>
      <c r="B5412" s="1">
        <v>2.11</v>
      </c>
      <c r="C5412" s="1">
        <v>1.82</v>
      </c>
      <c r="D5412" s="1">
        <v>0.35</v>
      </c>
      <c r="E5412" s="1" t="s">
        <v>113</v>
      </c>
      <c r="F5412" s="1" t="s">
        <v>113</v>
      </c>
      <c r="G5412" s="1" t="s">
        <v>113</v>
      </c>
      <c r="H5412" s="1" t="str">
        <f>VLOOKUP(F5412,Countries!$A$1:$B$161,2,0)</f>
        <v>United States of America</v>
      </c>
    </row>
    <row r="5413" spans="1:8" x14ac:dyDescent="0.3">
      <c r="A5413" s="3">
        <v>46241.758645833332</v>
      </c>
      <c r="B5413" s="1">
        <v>6.37</v>
      </c>
      <c r="C5413" s="1">
        <v>5.51</v>
      </c>
      <c r="D5413" s="1">
        <v>0.54</v>
      </c>
      <c r="E5413" s="1" t="s">
        <v>113</v>
      </c>
      <c r="F5413" s="1" t="s">
        <v>113</v>
      </c>
      <c r="G5413" s="1" t="s">
        <v>113</v>
      </c>
      <c r="H5413" s="1" t="str">
        <f>VLOOKUP(F5413,Countries!$A$1:$B$161,2,0)</f>
        <v>United States of America</v>
      </c>
    </row>
    <row r="5414" spans="1:8" x14ac:dyDescent="0.3">
      <c r="A5414" s="3">
        <v>46241.755706018521</v>
      </c>
      <c r="B5414" s="1">
        <v>17.010000000000002</v>
      </c>
      <c r="C5414" s="1">
        <v>14.71</v>
      </c>
      <c r="D5414" s="1">
        <v>1.02</v>
      </c>
      <c r="E5414" s="1" t="s">
        <v>113</v>
      </c>
      <c r="F5414" s="1" t="s">
        <v>113</v>
      </c>
      <c r="G5414" s="1" t="s">
        <v>113</v>
      </c>
      <c r="H5414" s="1" t="str">
        <f>VLOOKUP(F5414,Countries!$A$1:$B$161,2,0)</f>
        <v>United States of America</v>
      </c>
    </row>
    <row r="5415" spans="1:8" x14ac:dyDescent="0.3">
      <c r="A5415" s="3">
        <v>46241.752256944441</v>
      </c>
      <c r="B5415" s="1">
        <v>14.77</v>
      </c>
      <c r="C5415" s="1">
        <v>12.77</v>
      </c>
      <c r="D5415" s="1">
        <v>0.93</v>
      </c>
      <c r="E5415" s="1" t="s">
        <v>113</v>
      </c>
      <c r="F5415" s="1" t="s">
        <v>113</v>
      </c>
      <c r="G5415" s="1" t="s">
        <v>113</v>
      </c>
      <c r="H5415" s="1" t="str">
        <f>VLOOKUP(F5415,Countries!$A$1:$B$161,2,0)</f>
        <v>United States of America</v>
      </c>
    </row>
    <row r="5416" spans="1:8" x14ac:dyDescent="0.3">
      <c r="A5416" s="3">
        <v>46241.746562499997</v>
      </c>
      <c r="B5416" s="1">
        <v>3.18</v>
      </c>
      <c r="C5416" s="1">
        <v>2.75</v>
      </c>
      <c r="D5416" s="1">
        <v>0.4</v>
      </c>
      <c r="E5416" s="1" t="s">
        <v>113</v>
      </c>
      <c r="F5416" s="1" t="s">
        <v>113</v>
      </c>
      <c r="G5416" s="1" t="s">
        <v>113</v>
      </c>
      <c r="H5416" s="1" t="str">
        <f>VLOOKUP(F5416,Countries!$A$1:$B$161,2,0)</f>
        <v>United States of America</v>
      </c>
    </row>
    <row r="5417" spans="1:8" x14ac:dyDescent="0.3">
      <c r="A5417" s="3">
        <v>46241.741886574076</v>
      </c>
      <c r="B5417" s="1">
        <v>7.48</v>
      </c>
      <c r="C5417" s="1">
        <v>6.47</v>
      </c>
      <c r="D5417" s="1">
        <v>0.48</v>
      </c>
      <c r="E5417" s="1" t="s">
        <v>123</v>
      </c>
      <c r="F5417" s="1" t="s">
        <v>123</v>
      </c>
      <c r="G5417" s="1" t="s">
        <v>123</v>
      </c>
      <c r="H5417" s="1" t="str">
        <f>VLOOKUP(F5417,Countries!$A$1:$B$161,2,0)</f>
        <v>France</v>
      </c>
    </row>
    <row r="5418" spans="1:8" x14ac:dyDescent="0.3">
      <c r="A5418" s="3">
        <v>46241.736655092587</v>
      </c>
      <c r="B5418" s="1">
        <v>10.62</v>
      </c>
      <c r="C5418" s="1">
        <v>9.19</v>
      </c>
      <c r="D5418" s="1">
        <v>0.73</v>
      </c>
      <c r="E5418" s="1" t="s">
        <v>113</v>
      </c>
      <c r="F5418" s="1" t="s">
        <v>113</v>
      </c>
      <c r="G5418" s="1" t="s">
        <v>113</v>
      </c>
      <c r="H5418" s="1" t="str">
        <f>VLOOKUP(F5418,Countries!$A$1:$B$161,2,0)</f>
        <v>United States of America</v>
      </c>
    </row>
    <row r="5419" spans="1:8" x14ac:dyDescent="0.3">
      <c r="A5419" s="3">
        <v>46241.733310185176</v>
      </c>
      <c r="B5419" s="1">
        <v>3.18</v>
      </c>
      <c r="C5419" s="1">
        <v>2.75</v>
      </c>
      <c r="D5419" s="1">
        <v>0.4</v>
      </c>
      <c r="E5419" s="1" t="s">
        <v>113</v>
      </c>
      <c r="F5419" s="1" t="s">
        <v>113</v>
      </c>
      <c r="G5419" s="1" t="s">
        <v>113</v>
      </c>
      <c r="H5419" s="1" t="str">
        <f>VLOOKUP(F5419,Countries!$A$1:$B$161,2,0)</f>
        <v>United States of America</v>
      </c>
    </row>
    <row r="5420" spans="1:8" x14ac:dyDescent="0.3">
      <c r="A5420" s="3">
        <v>46241.732615740737</v>
      </c>
      <c r="B5420" s="1">
        <v>14.77</v>
      </c>
      <c r="C5420" s="1">
        <v>12.78</v>
      </c>
      <c r="D5420" s="1">
        <v>0.93</v>
      </c>
      <c r="E5420" s="1" t="s">
        <v>113</v>
      </c>
      <c r="F5420" s="1" t="s">
        <v>113</v>
      </c>
      <c r="G5420" s="1" t="s">
        <v>113</v>
      </c>
      <c r="H5420" s="1" t="str">
        <f>VLOOKUP(F5420,Countries!$A$1:$B$161,2,0)</f>
        <v>United States of America</v>
      </c>
    </row>
    <row r="5421" spans="1:8" x14ac:dyDescent="0.3">
      <c r="A5421" s="3">
        <v>46241.730081018519</v>
      </c>
      <c r="B5421" s="1">
        <v>6.37</v>
      </c>
      <c r="C5421" s="1">
        <v>5.51</v>
      </c>
      <c r="D5421" s="1">
        <v>0.54</v>
      </c>
      <c r="E5421" s="1" t="s">
        <v>113</v>
      </c>
      <c r="F5421" s="1" t="s">
        <v>113</v>
      </c>
      <c r="G5421" s="1" t="s">
        <v>113</v>
      </c>
      <c r="H5421" s="1" t="str">
        <f>VLOOKUP(F5421,Countries!$A$1:$B$161,2,0)</f>
        <v>United States of America</v>
      </c>
    </row>
    <row r="5422" spans="1:8" x14ac:dyDescent="0.3">
      <c r="A5422" s="3">
        <v>46241.729351851849</v>
      </c>
      <c r="B5422" s="1">
        <v>2.99</v>
      </c>
      <c r="C5422" s="1">
        <v>2.59</v>
      </c>
      <c r="D5422" s="1">
        <v>0.38</v>
      </c>
      <c r="E5422" s="1" t="s">
        <v>130</v>
      </c>
      <c r="F5422" s="1" t="s">
        <v>130</v>
      </c>
      <c r="G5422" s="1" t="s">
        <v>130</v>
      </c>
      <c r="H5422" s="1" t="str">
        <f>VLOOKUP(F5422,Countries!$A$1:$B$161,2,0)</f>
        <v>Australia</v>
      </c>
    </row>
    <row r="5423" spans="1:8" x14ac:dyDescent="0.3">
      <c r="A5423" s="3">
        <v>46241.718113425923</v>
      </c>
      <c r="B5423" s="1">
        <v>14.77</v>
      </c>
      <c r="C5423" s="1">
        <v>12.78</v>
      </c>
      <c r="D5423" s="1">
        <v>0.93</v>
      </c>
      <c r="E5423" s="1" t="s">
        <v>113</v>
      </c>
      <c r="F5423" s="1" t="s">
        <v>113</v>
      </c>
      <c r="G5423" s="1" t="s">
        <v>113</v>
      </c>
      <c r="H5423" s="1" t="str">
        <f>VLOOKUP(F5423,Countries!$A$1:$B$161,2,0)</f>
        <v>United States of America</v>
      </c>
    </row>
    <row r="5424" spans="1:8" x14ac:dyDescent="0.3">
      <c r="A5424" s="3">
        <v>46241.712361111109</v>
      </c>
      <c r="B5424" s="1">
        <v>7.04</v>
      </c>
      <c r="C5424" s="1">
        <v>6.09</v>
      </c>
      <c r="D5424" s="1">
        <v>0.56999999999999995</v>
      </c>
      <c r="E5424" s="1" t="s">
        <v>160</v>
      </c>
      <c r="F5424" s="1" t="s">
        <v>160</v>
      </c>
      <c r="G5424" s="1" t="s">
        <v>160</v>
      </c>
      <c r="H5424" s="1" t="str">
        <f>VLOOKUP(F5424,Countries!$A$1:$B$161,2,0)</f>
        <v>New Zealand</v>
      </c>
    </row>
    <row r="5425" spans="1:8" x14ac:dyDescent="0.3">
      <c r="A5425" s="3">
        <v>46241.708680555559</v>
      </c>
      <c r="B5425" s="1">
        <v>10.62</v>
      </c>
      <c r="C5425" s="1">
        <v>9.19</v>
      </c>
      <c r="D5425" s="1">
        <v>0.73</v>
      </c>
      <c r="E5425" s="1" t="s">
        <v>113</v>
      </c>
      <c r="F5425" s="1" t="s">
        <v>113</v>
      </c>
      <c r="G5425" s="1" t="s">
        <v>113</v>
      </c>
      <c r="H5425" s="1" t="str">
        <f>VLOOKUP(F5425,Countries!$A$1:$B$161,2,0)</f>
        <v>United States of America</v>
      </c>
    </row>
    <row r="5426" spans="1:8" x14ac:dyDescent="0.3">
      <c r="A5426" s="3">
        <v>46241.708564814813</v>
      </c>
      <c r="B5426" s="1">
        <v>6.58</v>
      </c>
      <c r="C5426" s="1">
        <v>5.69</v>
      </c>
      <c r="D5426" s="1">
        <v>0.54</v>
      </c>
      <c r="E5426" s="1" t="s">
        <v>183</v>
      </c>
      <c r="F5426" s="1" t="s">
        <v>183</v>
      </c>
      <c r="G5426" s="1" t="s">
        <v>183</v>
      </c>
      <c r="H5426" s="1" t="str">
        <f>VLOOKUP(F5426,Countries!$A$1:$B$161,2,0)</f>
        <v>Malaysia</v>
      </c>
    </row>
    <row r="5427" spans="1:8" x14ac:dyDescent="0.3">
      <c r="A5427" s="3">
        <v>46241.706238425933</v>
      </c>
      <c r="B5427" s="1">
        <v>6.37</v>
      </c>
      <c r="C5427" s="1">
        <v>5.51</v>
      </c>
      <c r="D5427" s="1">
        <v>0.54</v>
      </c>
      <c r="E5427" s="1" t="s">
        <v>113</v>
      </c>
      <c r="F5427" s="1" t="s">
        <v>113</v>
      </c>
      <c r="G5427" s="1" t="s">
        <v>113</v>
      </c>
      <c r="H5427" s="1" t="str">
        <f>VLOOKUP(F5427,Countries!$A$1:$B$161,2,0)</f>
        <v>United States of America</v>
      </c>
    </row>
    <row r="5428" spans="1:8" x14ac:dyDescent="0.3">
      <c r="A5428" s="3">
        <v>46241.68822916667</v>
      </c>
      <c r="B5428" s="1">
        <v>6.65</v>
      </c>
      <c r="C5428" s="1">
        <v>5.75</v>
      </c>
      <c r="D5428" s="1">
        <v>0.56000000000000005</v>
      </c>
      <c r="E5428" s="1" t="s">
        <v>130</v>
      </c>
      <c r="F5428" s="1" t="s">
        <v>130</v>
      </c>
      <c r="G5428" s="1" t="s">
        <v>130</v>
      </c>
      <c r="H5428" s="1" t="str">
        <f>VLOOKUP(F5428,Countries!$A$1:$B$161,2,0)</f>
        <v>Australia</v>
      </c>
    </row>
    <row r="5429" spans="1:8" x14ac:dyDescent="0.3">
      <c r="A5429" s="3">
        <v>46241.683715277781</v>
      </c>
      <c r="B5429" s="1">
        <v>35.18</v>
      </c>
      <c r="C5429" s="1">
        <v>30.44</v>
      </c>
      <c r="D5429" s="1">
        <v>1.32</v>
      </c>
      <c r="E5429" s="1" t="s">
        <v>116</v>
      </c>
      <c r="F5429" s="1" t="s">
        <v>116</v>
      </c>
      <c r="G5429" s="1" t="s">
        <v>116</v>
      </c>
      <c r="H5429" s="1" t="str">
        <f>VLOOKUP(F5429,Countries!$A$1:$B$161,2,0)</f>
        <v>Spain</v>
      </c>
    </row>
    <row r="5430" spans="1:8" x14ac:dyDescent="0.3">
      <c r="A5430" s="3">
        <v>46241.682453703703</v>
      </c>
      <c r="B5430" s="1">
        <v>14.77</v>
      </c>
      <c r="C5430" s="1">
        <v>12.78</v>
      </c>
      <c r="D5430" s="1">
        <v>0.93</v>
      </c>
      <c r="E5430" s="1" t="s">
        <v>113</v>
      </c>
      <c r="F5430" s="1" t="s">
        <v>113</v>
      </c>
      <c r="G5430" s="1" t="s">
        <v>113</v>
      </c>
      <c r="H5430" s="1" t="str">
        <f>VLOOKUP(F5430,Countries!$A$1:$B$161,2,0)</f>
        <v>United States of America</v>
      </c>
    </row>
    <row r="5431" spans="1:8" x14ac:dyDescent="0.3">
      <c r="A5431" s="3">
        <v>46241.682256944441</v>
      </c>
      <c r="B5431" s="1">
        <v>12.64</v>
      </c>
      <c r="C5431" s="1">
        <v>10.94</v>
      </c>
      <c r="D5431" s="1">
        <v>0.63</v>
      </c>
      <c r="E5431" s="1" t="s">
        <v>116</v>
      </c>
      <c r="F5431" s="1" t="s">
        <v>116</v>
      </c>
      <c r="G5431" s="1" t="s">
        <v>116</v>
      </c>
      <c r="H5431" s="1" t="str">
        <f>VLOOKUP(F5431,Countries!$A$1:$B$161,2,0)</f>
        <v>Spain</v>
      </c>
    </row>
    <row r="5432" spans="1:8" x14ac:dyDescent="0.3">
      <c r="A5432" s="3">
        <v>46241.681087962963</v>
      </c>
      <c r="B5432" s="1">
        <v>7.58</v>
      </c>
      <c r="C5432" s="1">
        <v>6.56</v>
      </c>
      <c r="D5432" s="1">
        <v>0.48</v>
      </c>
      <c r="E5432" s="1" t="s">
        <v>116</v>
      </c>
      <c r="F5432" s="1" t="s">
        <v>116</v>
      </c>
      <c r="G5432" s="1" t="s">
        <v>116</v>
      </c>
      <c r="H5432" s="1" t="str">
        <f>VLOOKUP(F5432,Countries!$A$1:$B$161,2,0)</f>
        <v>Spain</v>
      </c>
    </row>
    <row r="5433" spans="1:8" x14ac:dyDescent="0.3">
      <c r="A5433" s="3">
        <v>46241.678483796299</v>
      </c>
      <c r="B5433" s="1">
        <v>7.58</v>
      </c>
      <c r="C5433" s="1">
        <v>6.56</v>
      </c>
      <c r="D5433" s="1">
        <v>0.48</v>
      </c>
      <c r="E5433" s="1" t="s">
        <v>116</v>
      </c>
      <c r="F5433" s="1" t="s">
        <v>116</v>
      </c>
      <c r="G5433" s="1" t="s">
        <v>116</v>
      </c>
      <c r="H5433" s="1" t="str">
        <f>VLOOKUP(F5433,Countries!$A$1:$B$161,2,0)</f>
        <v>Spain</v>
      </c>
    </row>
    <row r="5434" spans="1:8" x14ac:dyDescent="0.3">
      <c r="A5434" s="3">
        <v>46241.676655092589</v>
      </c>
      <c r="B5434" s="1">
        <v>7.58</v>
      </c>
      <c r="C5434" s="1">
        <v>6.56</v>
      </c>
      <c r="D5434" s="1">
        <v>0.48</v>
      </c>
      <c r="E5434" s="1" t="s">
        <v>116</v>
      </c>
      <c r="F5434" s="1" t="s">
        <v>116</v>
      </c>
      <c r="G5434" s="1" t="s">
        <v>116</v>
      </c>
      <c r="H5434" s="1" t="str">
        <f>VLOOKUP(F5434,Countries!$A$1:$B$161,2,0)</f>
        <v>Spain</v>
      </c>
    </row>
    <row r="5435" spans="1:8" x14ac:dyDescent="0.3">
      <c r="A5435" s="3">
        <v>46241.676226851851</v>
      </c>
      <c r="B5435" s="1">
        <v>17.36</v>
      </c>
      <c r="C5435" s="1">
        <v>15.02</v>
      </c>
      <c r="D5435" s="1">
        <v>0.93</v>
      </c>
      <c r="E5435" s="1" t="s">
        <v>119</v>
      </c>
      <c r="F5435" s="1" t="s">
        <v>119</v>
      </c>
      <c r="G5435" s="1" t="s">
        <v>119</v>
      </c>
      <c r="H5435" s="1" t="str">
        <f>VLOOKUP(F5435,Countries!$A$1:$B$161,2,0)</f>
        <v>Great Britain (United Kingdom)</v>
      </c>
    </row>
    <row r="5436" spans="1:8" x14ac:dyDescent="0.3">
      <c r="A5436" s="3">
        <v>46241.670138888891</v>
      </c>
      <c r="B5436" s="1">
        <v>6.37</v>
      </c>
      <c r="C5436" s="1">
        <v>5.51</v>
      </c>
      <c r="D5436" s="1">
        <v>0.54</v>
      </c>
      <c r="E5436" s="1" t="s">
        <v>152</v>
      </c>
      <c r="F5436" s="1" t="s">
        <v>152</v>
      </c>
      <c r="G5436" s="1" t="s">
        <v>152</v>
      </c>
      <c r="H5436" s="1" t="str">
        <f>VLOOKUP(F5436,Countries!$A$1:$B$161,2,0)</f>
        <v>Singapore</v>
      </c>
    </row>
    <row r="5437" spans="1:8" x14ac:dyDescent="0.3">
      <c r="A5437" s="3">
        <v>46241.669733796298</v>
      </c>
      <c r="B5437" s="1">
        <v>12.64</v>
      </c>
      <c r="C5437" s="1">
        <v>10.94</v>
      </c>
      <c r="D5437" s="1">
        <v>0.63</v>
      </c>
      <c r="E5437" s="1" t="s">
        <v>154</v>
      </c>
      <c r="F5437" s="1" t="s">
        <v>154</v>
      </c>
      <c r="G5437" s="1" t="s">
        <v>154</v>
      </c>
      <c r="H5437" s="1" t="str">
        <f>VLOOKUP(F5437,Countries!$A$1:$B$161,2,0)</f>
        <v>Belgium</v>
      </c>
    </row>
    <row r="5438" spans="1:8" x14ac:dyDescent="0.3">
      <c r="A5438" s="3">
        <v>46241.66847222222</v>
      </c>
      <c r="B5438" s="1">
        <v>17.36</v>
      </c>
      <c r="C5438" s="1">
        <v>15.03</v>
      </c>
      <c r="D5438" s="1">
        <v>0.93</v>
      </c>
      <c r="E5438" s="1" t="s">
        <v>119</v>
      </c>
      <c r="F5438" s="1" t="s">
        <v>119</v>
      </c>
      <c r="G5438" s="1" t="s">
        <v>119</v>
      </c>
      <c r="H5438" s="1" t="str">
        <f>VLOOKUP(F5438,Countries!$A$1:$B$161,2,0)</f>
        <v>Great Britain (United Kingdom)</v>
      </c>
    </row>
    <row r="5439" spans="1:8" x14ac:dyDescent="0.3">
      <c r="A5439" s="3">
        <v>46241.667083333326</v>
      </c>
      <c r="B5439" s="1">
        <v>7.58</v>
      </c>
      <c r="C5439" s="1">
        <v>6.56</v>
      </c>
      <c r="D5439" s="1">
        <v>0.48</v>
      </c>
      <c r="E5439" s="1" t="s">
        <v>116</v>
      </c>
      <c r="F5439" s="1" t="s">
        <v>116</v>
      </c>
      <c r="G5439" s="1" t="s">
        <v>116</v>
      </c>
      <c r="H5439" s="1" t="str">
        <f>VLOOKUP(F5439,Countries!$A$1:$B$161,2,0)</f>
        <v>Spain</v>
      </c>
    </row>
    <row r="5440" spans="1:8" x14ac:dyDescent="0.3">
      <c r="A5440" s="3">
        <v>46241.64875</v>
      </c>
      <c r="B5440" s="1">
        <v>6.58</v>
      </c>
      <c r="C5440" s="1">
        <v>5.7</v>
      </c>
      <c r="D5440" s="1">
        <v>0.55000000000000004</v>
      </c>
      <c r="E5440" s="1" t="s">
        <v>152</v>
      </c>
      <c r="F5440" s="1" t="s">
        <v>152</v>
      </c>
      <c r="G5440" s="1" t="s">
        <v>152</v>
      </c>
      <c r="H5440" s="1" t="str">
        <f>VLOOKUP(F5440,Countries!$A$1:$B$161,2,0)</f>
        <v>Singapore</v>
      </c>
    </row>
    <row r="5441" spans="1:8" x14ac:dyDescent="0.3">
      <c r="A5441" s="3">
        <v>46241.648321759261</v>
      </c>
      <c r="B5441" s="1">
        <v>6.37</v>
      </c>
      <c r="C5441" s="1">
        <v>5.51</v>
      </c>
      <c r="D5441" s="1">
        <v>0.54</v>
      </c>
      <c r="E5441" s="1" t="s">
        <v>113</v>
      </c>
      <c r="F5441" s="1" t="s">
        <v>113</v>
      </c>
      <c r="G5441" s="1" t="s">
        <v>113</v>
      </c>
      <c r="H5441" s="1" t="str">
        <f>VLOOKUP(F5441,Countries!$A$1:$B$161,2,0)</f>
        <v>United States of America</v>
      </c>
    </row>
    <row r="5442" spans="1:8" x14ac:dyDescent="0.3">
      <c r="A5442" s="3">
        <v>46241.643101851849</v>
      </c>
      <c r="B5442" s="1">
        <v>3.78</v>
      </c>
      <c r="C5442" s="1">
        <v>3.27</v>
      </c>
      <c r="D5442" s="1">
        <v>0.37</v>
      </c>
      <c r="E5442" s="1" t="s">
        <v>116</v>
      </c>
      <c r="F5442" s="1" t="s">
        <v>116</v>
      </c>
      <c r="G5442" s="1" t="s">
        <v>116</v>
      </c>
      <c r="H5442" s="1" t="str">
        <f>VLOOKUP(F5442,Countries!$A$1:$B$161,2,0)</f>
        <v>Spain</v>
      </c>
    </row>
    <row r="5443" spans="1:8" x14ac:dyDescent="0.3">
      <c r="A5443" s="3">
        <v>46241.627974537027</v>
      </c>
      <c r="B5443" s="1">
        <v>7.77</v>
      </c>
      <c r="C5443" s="1">
        <v>6.73</v>
      </c>
      <c r="D5443" s="1">
        <v>0.48</v>
      </c>
      <c r="E5443" s="1" t="s">
        <v>137</v>
      </c>
      <c r="F5443" s="1" t="s">
        <v>137</v>
      </c>
      <c r="G5443" s="1" t="s">
        <v>137</v>
      </c>
      <c r="H5443" s="1" t="str">
        <f>VLOOKUP(F5443,Countries!$A$1:$B$161,2,0)</f>
        <v>Poland</v>
      </c>
    </row>
    <row r="5444" spans="1:8" x14ac:dyDescent="0.3">
      <c r="A5444" s="3">
        <v>46241.627685185187</v>
      </c>
      <c r="B5444" s="1">
        <v>6.37</v>
      </c>
      <c r="C5444" s="1">
        <v>5.51</v>
      </c>
      <c r="D5444" s="1">
        <v>0.54</v>
      </c>
      <c r="E5444" s="1" t="s">
        <v>113</v>
      </c>
      <c r="F5444" s="1" t="s">
        <v>113</v>
      </c>
      <c r="G5444" s="1" t="s">
        <v>113</v>
      </c>
      <c r="H5444" s="1" t="str">
        <f>VLOOKUP(F5444,Countries!$A$1:$B$161,2,0)</f>
        <v>United States of America</v>
      </c>
    </row>
    <row r="5445" spans="1:8" x14ac:dyDescent="0.3">
      <c r="A5445" s="3">
        <v>46241.627256944441</v>
      </c>
      <c r="B5445" s="1">
        <v>4.43</v>
      </c>
      <c r="C5445" s="1">
        <v>3.83</v>
      </c>
      <c r="D5445" s="1">
        <v>0.45</v>
      </c>
      <c r="E5445" s="1" t="s">
        <v>121</v>
      </c>
      <c r="F5445" s="1" t="s">
        <v>121</v>
      </c>
      <c r="G5445" s="1" t="s">
        <v>121</v>
      </c>
      <c r="H5445" s="1" t="str">
        <f>VLOOKUP(F5445,Countries!$A$1:$B$161,2,0)</f>
        <v>Japan</v>
      </c>
    </row>
    <row r="5446" spans="1:8" x14ac:dyDescent="0.3">
      <c r="A5446" s="3">
        <v>46241.627083333333</v>
      </c>
      <c r="B5446" s="1">
        <v>30.21</v>
      </c>
      <c r="C5446" s="1">
        <v>26.14</v>
      </c>
      <c r="D5446" s="1">
        <v>1.62</v>
      </c>
      <c r="E5446" s="1" t="s">
        <v>115</v>
      </c>
      <c r="F5446" s="1" t="s">
        <v>115</v>
      </c>
      <c r="G5446" s="1" t="s">
        <v>115</v>
      </c>
      <c r="H5446" s="1" t="str">
        <f>VLOOKUP(F5446,Countries!$A$1:$B$161,2,0)</f>
        <v>Switzerland</v>
      </c>
    </row>
    <row r="5447" spans="1:8" x14ac:dyDescent="0.3">
      <c r="A5447" s="3">
        <v>46241.625127314823</v>
      </c>
      <c r="B5447" s="1">
        <v>6.51</v>
      </c>
      <c r="C5447" s="1">
        <v>5.63</v>
      </c>
      <c r="D5447" s="1">
        <v>0.54</v>
      </c>
      <c r="E5447" s="1" t="s">
        <v>115</v>
      </c>
      <c r="F5447" s="1" t="s">
        <v>115</v>
      </c>
      <c r="G5447" s="1" t="s">
        <v>115</v>
      </c>
      <c r="H5447" s="1" t="str">
        <f>VLOOKUP(F5447,Countries!$A$1:$B$161,2,0)</f>
        <v>Switzerland</v>
      </c>
    </row>
    <row r="5448" spans="1:8" x14ac:dyDescent="0.3">
      <c r="A5448" s="3">
        <v>46241.623657407406</v>
      </c>
      <c r="B5448" s="1">
        <v>14.77</v>
      </c>
      <c r="C5448" s="1">
        <v>12.78</v>
      </c>
      <c r="D5448" s="1">
        <v>0.93</v>
      </c>
      <c r="E5448" s="1" t="s">
        <v>113</v>
      </c>
      <c r="F5448" s="1" t="s">
        <v>113</v>
      </c>
      <c r="G5448" s="1" t="s">
        <v>113</v>
      </c>
      <c r="H5448" s="1" t="str">
        <f>VLOOKUP(F5448,Countries!$A$1:$B$161,2,0)</f>
        <v>United States of America</v>
      </c>
    </row>
    <row r="5449" spans="1:8" x14ac:dyDescent="0.3">
      <c r="A5449" s="3">
        <v>46241.614594907413</v>
      </c>
      <c r="B5449" s="1">
        <v>3.39</v>
      </c>
      <c r="C5449" s="1">
        <v>2.93</v>
      </c>
      <c r="D5449" s="1">
        <v>0.41</v>
      </c>
      <c r="E5449" s="1" t="s">
        <v>114</v>
      </c>
      <c r="F5449" s="1" t="s">
        <v>114</v>
      </c>
      <c r="G5449" s="1" t="s">
        <v>114</v>
      </c>
      <c r="H5449" s="1" t="str">
        <f>VLOOKUP(F5449,Countries!$A$1:$B$161,2,0)</f>
        <v>Philippines</v>
      </c>
    </row>
    <row r="5450" spans="1:8" x14ac:dyDescent="0.3">
      <c r="A5450" s="3">
        <v>46241.609363425923</v>
      </c>
      <c r="B5450" s="1">
        <v>14.77</v>
      </c>
      <c r="C5450" s="1">
        <v>12.78</v>
      </c>
      <c r="D5450" s="1">
        <v>0.93</v>
      </c>
      <c r="E5450" s="1" t="s">
        <v>113</v>
      </c>
      <c r="F5450" s="1" t="s">
        <v>113</v>
      </c>
      <c r="G5450" s="1" t="s">
        <v>113</v>
      </c>
      <c r="H5450" s="1" t="str">
        <f>VLOOKUP(F5450,Countries!$A$1:$B$161,2,0)</f>
        <v>United States of America</v>
      </c>
    </row>
    <row r="5451" spans="1:8" x14ac:dyDescent="0.3">
      <c r="A5451" s="3">
        <v>46241.606249999997</v>
      </c>
      <c r="B5451" s="1">
        <v>6.37</v>
      </c>
      <c r="C5451" s="1">
        <v>5.51</v>
      </c>
      <c r="D5451" s="1">
        <v>0.54</v>
      </c>
      <c r="E5451" s="1" t="s">
        <v>113</v>
      </c>
      <c r="F5451" s="1" t="s">
        <v>113</v>
      </c>
      <c r="G5451" s="1" t="s">
        <v>113</v>
      </c>
      <c r="H5451" s="1" t="str">
        <f>VLOOKUP(F5451,Countries!$A$1:$B$161,2,0)</f>
        <v>United States of America</v>
      </c>
    </row>
    <row r="5452" spans="1:8" x14ac:dyDescent="0.3">
      <c r="A5452" s="3">
        <v>46241.606157407397</v>
      </c>
      <c r="B5452" s="1">
        <v>7.77</v>
      </c>
      <c r="C5452" s="1">
        <v>6.72</v>
      </c>
      <c r="D5452" s="1">
        <v>0.48</v>
      </c>
      <c r="E5452" s="1" t="s">
        <v>137</v>
      </c>
      <c r="F5452" s="1" t="s">
        <v>137</v>
      </c>
      <c r="G5452" s="1" t="s">
        <v>137</v>
      </c>
      <c r="H5452" s="1" t="str">
        <f>VLOOKUP(F5452,Countries!$A$1:$B$161,2,0)</f>
        <v>Poland</v>
      </c>
    </row>
    <row r="5453" spans="1:8" x14ac:dyDescent="0.3">
      <c r="A5453" s="3">
        <v>46241.601678240739</v>
      </c>
      <c r="B5453" s="1">
        <v>3.78</v>
      </c>
      <c r="C5453" s="1">
        <v>3.27</v>
      </c>
      <c r="D5453" s="1">
        <v>0.37</v>
      </c>
      <c r="E5453" s="1" t="s">
        <v>116</v>
      </c>
      <c r="F5453" s="1" t="s">
        <v>116</v>
      </c>
      <c r="G5453" s="1" t="s">
        <v>116</v>
      </c>
      <c r="H5453" s="1" t="str">
        <f>VLOOKUP(F5453,Countries!$A$1:$B$161,2,0)</f>
        <v>Spain</v>
      </c>
    </row>
    <row r="5454" spans="1:8" x14ac:dyDescent="0.3">
      <c r="A5454" s="3">
        <v>46241.598009259258</v>
      </c>
      <c r="B5454" s="1">
        <v>14.77</v>
      </c>
      <c r="C5454" s="1">
        <v>12.78</v>
      </c>
      <c r="D5454" s="1">
        <v>0.93</v>
      </c>
      <c r="E5454" s="1" t="s">
        <v>113</v>
      </c>
      <c r="F5454" s="1" t="s">
        <v>113</v>
      </c>
      <c r="G5454" s="1" t="s">
        <v>113</v>
      </c>
      <c r="H5454" s="1" t="str">
        <f>VLOOKUP(F5454,Countries!$A$1:$B$161,2,0)</f>
        <v>United States of America</v>
      </c>
    </row>
    <row r="5455" spans="1:8" x14ac:dyDescent="0.3">
      <c r="A5455" s="3">
        <v>46241.597569444442</v>
      </c>
      <c r="B5455" s="1">
        <v>3.88</v>
      </c>
      <c r="C5455" s="1">
        <v>3.36</v>
      </c>
      <c r="D5455" s="1">
        <v>0.37</v>
      </c>
      <c r="E5455" s="1" t="s">
        <v>137</v>
      </c>
      <c r="F5455" s="1" t="s">
        <v>137</v>
      </c>
      <c r="G5455" s="1" t="s">
        <v>137</v>
      </c>
      <c r="H5455" s="1" t="str">
        <f>VLOOKUP(F5455,Countries!$A$1:$B$161,2,0)</f>
        <v>Poland</v>
      </c>
    </row>
    <row r="5456" spans="1:8" x14ac:dyDescent="0.3">
      <c r="A5456" s="3">
        <v>46241.595706018517</v>
      </c>
      <c r="B5456" s="1">
        <v>7.58</v>
      </c>
      <c r="C5456" s="1">
        <v>6.56</v>
      </c>
      <c r="D5456" s="1">
        <v>0.48</v>
      </c>
      <c r="E5456" s="1" t="s">
        <v>116</v>
      </c>
      <c r="F5456" s="1" t="s">
        <v>116</v>
      </c>
      <c r="G5456" s="1" t="s">
        <v>116</v>
      </c>
      <c r="H5456" s="1" t="str">
        <f>VLOOKUP(F5456,Countries!$A$1:$B$161,2,0)</f>
        <v>Spain</v>
      </c>
    </row>
    <row r="5457" spans="1:8" x14ac:dyDescent="0.3">
      <c r="A5457" s="3">
        <v>46241.591006944444</v>
      </c>
      <c r="B5457" s="1">
        <v>7.99</v>
      </c>
      <c r="C5457" s="1">
        <v>6.91</v>
      </c>
      <c r="D5457" s="1">
        <v>0.61</v>
      </c>
      <c r="E5457" s="1" t="s">
        <v>222</v>
      </c>
      <c r="F5457" s="1" t="s">
        <v>222</v>
      </c>
      <c r="G5457" s="1" t="s">
        <v>222</v>
      </c>
      <c r="H5457" s="1" t="str">
        <f>VLOOKUP(F5457,Countries!$A$1:$B$161,2,0)</f>
        <v>Montenegro</v>
      </c>
    </row>
    <row r="5458" spans="1:8" x14ac:dyDescent="0.3">
      <c r="A5458" s="3">
        <v>46241.588217592587</v>
      </c>
      <c r="B5458" s="1">
        <v>7.58</v>
      </c>
      <c r="C5458" s="1">
        <v>6.56</v>
      </c>
      <c r="D5458" s="1">
        <v>0.48</v>
      </c>
      <c r="E5458" s="1" t="s">
        <v>116</v>
      </c>
      <c r="F5458" s="1" t="s">
        <v>116</v>
      </c>
      <c r="G5458" s="1" t="s">
        <v>116</v>
      </c>
      <c r="H5458" s="1" t="str">
        <f>VLOOKUP(F5458,Countries!$A$1:$B$161,2,0)</f>
        <v>Spain</v>
      </c>
    </row>
    <row r="5459" spans="1:8" x14ac:dyDescent="0.3">
      <c r="A5459" s="3">
        <v>46241.588020833333</v>
      </c>
      <c r="B5459" s="1">
        <v>10.62</v>
      </c>
      <c r="C5459" s="1">
        <v>9.19</v>
      </c>
      <c r="D5459" s="1">
        <v>0.73</v>
      </c>
      <c r="E5459" s="1" t="s">
        <v>113</v>
      </c>
      <c r="F5459" s="1" t="s">
        <v>113</v>
      </c>
      <c r="G5459" s="1" t="s">
        <v>113</v>
      </c>
      <c r="H5459" s="1" t="str">
        <f>VLOOKUP(F5459,Countries!$A$1:$B$161,2,0)</f>
        <v>United States of America</v>
      </c>
    </row>
    <row r="5460" spans="1:8" x14ac:dyDescent="0.3">
      <c r="A5460" s="3">
        <v>46241.587835648148</v>
      </c>
      <c r="B5460" s="1">
        <v>17.579999999999998</v>
      </c>
      <c r="C5460" s="1">
        <v>15.21</v>
      </c>
      <c r="D5460" s="1">
        <v>0.78</v>
      </c>
      <c r="E5460" s="1" t="s">
        <v>116</v>
      </c>
      <c r="F5460" s="1" t="s">
        <v>116</v>
      </c>
      <c r="G5460" s="1" t="s">
        <v>116</v>
      </c>
      <c r="H5460" s="1" t="str">
        <f>VLOOKUP(F5460,Countries!$A$1:$B$161,2,0)</f>
        <v>Spain</v>
      </c>
    </row>
    <row r="5461" spans="1:8" x14ac:dyDescent="0.3">
      <c r="A5461" s="3">
        <v>46241.581504629627</v>
      </c>
      <c r="B5461" s="1">
        <v>3.99</v>
      </c>
      <c r="C5461" s="1">
        <v>3.45</v>
      </c>
      <c r="D5461" s="1">
        <v>0.43</v>
      </c>
      <c r="E5461" s="1"/>
      <c r="F5461" s="1" t="s">
        <v>113</v>
      </c>
      <c r="G5461" s="1" t="s">
        <v>113</v>
      </c>
      <c r="H5461" s="1" t="str">
        <f>VLOOKUP(F5461,Countries!$A$1:$B$161,2,0)</f>
        <v>United States of America</v>
      </c>
    </row>
    <row r="5462" spans="1:8" x14ac:dyDescent="0.3">
      <c r="A5462" s="3">
        <v>46241.579456018517</v>
      </c>
      <c r="B5462" s="1">
        <v>6.37</v>
      </c>
      <c r="C5462" s="1">
        <v>5.5</v>
      </c>
      <c r="D5462" s="1">
        <v>0.54</v>
      </c>
      <c r="E5462" s="1" t="s">
        <v>113</v>
      </c>
      <c r="F5462" s="1" t="s">
        <v>113</v>
      </c>
      <c r="G5462" s="1" t="s">
        <v>113</v>
      </c>
      <c r="H5462" s="1" t="str">
        <f>VLOOKUP(F5462,Countries!$A$1:$B$161,2,0)</f>
        <v>United States of America</v>
      </c>
    </row>
    <row r="5463" spans="1:8" x14ac:dyDescent="0.3">
      <c r="A5463" s="3">
        <v>46241.577916666669</v>
      </c>
      <c r="B5463" s="1">
        <v>39.99</v>
      </c>
      <c r="C5463" s="1">
        <v>34.549999999999997</v>
      </c>
      <c r="D5463" s="1">
        <v>2.06</v>
      </c>
      <c r="E5463" s="1" t="s">
        <v>135</v>
      </c>
      <c r="F5463" s="1" t="s">
        <v>135</v>
      </c>
      <c r="G5463" s="1" t="s">
        <v>135</v>
      </c>
      <c r="H5463" s="1" t="str">
        <f>VLOOKUP(F5463,Countries!$A$1:$B$161,2,0)</f>
        <v>Kuwait</v>
      </c>
    </row>
    <row r="5464" spans="1:8" x14ac:dyDescent="0.3">
      <c r="A5464" s="3">
        <v>46241.571921296287</v>
      </c>
      <c r="B5464" s="1">
        <v>2.11</v>
      </c>
      <c r="C5464" s="1">
        <v>1.82</v>
      </c>
      <c r="D5464" s="1">
        <v>0.35</v>
      </c>
      <c r="E5464" s="1" t="s">
        <v>113</v>
      </c>
      <c r="F5464" s="1" t="s">
        <v>113</v>
      </c>
      <c r="G5464" s="1" t="s">
        <v>113</v>
      </c>
      <c r="H5464" s="1" t="str">
        <f>VLOOKUP(F5464,Countries!$A$1:$B$161,2,0)</f>
        <v>United States of America</v>
      </c>
    </row>
    <row r="5465" spans="1:8" x14ac:dyDescent="0.3">
      <c r="A5465" s="3">
        <v>46241.556122685193</v>
      </c>
      <c r="B5465" s="1">
        <v>17.579999999999998</v>
      </c>
      <c r="C5465" s="1">
        <v>15.19</v>
      </c>
      <c r="D5465" s="1">
        <v>0.78</v>
      </c>
      <c r="E5465" s="1" t="s">
        <v>116</v>
      </c>
      <c r="F5465" s="1" t="s">
        <v>116</v>
      </c>
      <c r="G5465" s="1" t="s">
        <v>116</v>
      </c>
      <c r="H5465" s="1" t="str">
        <f>VLOOKUP(F5465,Countries!$A$1:$B$161,2,0)</f>
        <v>Spain</v>
      </c>
    </row>
    <row r="5466" spans="1:8" x14ac:dyDescent="0.3">
      <c r="A5466" s="3">
        <v>46241.555335648147</v>
      </c>
      <c r="B5466" s="1">
        <v>7.58</v>
      </c>
      <c r="C5466" s="1">
        <v>6.55</v>
      </c>
      <c r="D5466" s="1">
        <v>0.48</v>
      </c>
      <c r="E5466" s="1" t="s">
        <v>116</v>
      </c>
      <c r="F5466" s="1" t="s">
        <v>116</v>
      </c>
      <c r="G5466" s="1" t="s">
        <v>116</v>
      </c>
      <c r="H5466" s="1" t="str">
        <f>VLOOKUP(F5466,Countries!$A$1:$B$161,2,0)</f>
        <v>Spain</v>
      </c>
    </row>
    <row r="5467" spans="1:8" x14ac:dyDescent="0.3">
      <c r="A5467" s="3">
        <v>46241.55300925926</v>
      </c>
      <c r="B5467" s="1">
        <v>6.37</v>
      </c>
      <c r="C5467" s="1">
        <v>5.5</v>
      </c>
      <c r="D5467" s="1">
        <v>0.54</v>
      </c>
      <c r="E5467" s="1" t="s">
        <v>113</v>
      </c>
      <c r="F5467" s="1" t="s">
        <v>113</v>
      </c>
      <c r="G5467" s="1" t="s">
        <v>113</v>
      </c>
      <c r="H5467" s="1" t="str">
        <f>VLOOKUP(F5467,Countries!$A$1:$B$161,2,0)</f>
        <v>United States of America</v>
      </c>
    </row>
    <row r="5468" spans="1:8" x14ac:dyDescent="0.3">
      <c r="A5468" s="3">
        <v>46241.539618055547</v>
      </c>
      <c r="B5468" s="1">
        <v>42.9</v>
      </c>
      <c r="C5468" s="1">
        <v>37.200000000000003</v>
      </c>
      <c r="D5468" s="1">
        <v>1.55</v>
      </c>
      <c r="E5468" s="1" t="s">
        <v>147</v>
      </c>
      <c r="F5468" s="1" t="s">
        <v>147</v>
      </c>
      <c r="G5468" s="1" t="s">
        <v>147</v>
      </c>
      <c r="H5468" s="1" t="str">
        <f>VLOOKUP(F5468,Countries!$A$1:$B$161,2,0)</f>
        <v>Germany</v>
      </c>
    </row>
    <row r="5469" spans="1:8" x14ac:dyDescent="0.3">
      <c r="A5469" s="3">
        <v>46241.530451388891</v>
      </c>
      <c r="B5469" s="1">
        <v>6.37</v>
      </c>
      <c r="C5469" s="1">
        <v>5.52</v>
      </c>
      <c r="D5469" s="1">
        <v>0.54</v>
      </c>
      <c r="E5469" s="1" t="s">
        <v>113</v>
      </c>
      <c r="F5469" s="1" t="s">
        <v>113</v>
      </c>
      <c r="G5469" s="1" t="s">
        <v>113</v>
      </c>
      <c r="H5469" s="1" t="str">
        <f>VLOOKUP(F5469,Countries!$A$1:$B$161,2,0)</f>
        <v>United States of America</v>
      </c>
    </row>
    <row r="5470" spans="1:8" x14ac:dyDescent="0.3">
      <c r="A5470" s="3">
        <v>46241.530115740738</v>
      </c>
      <c r="B5470" s="1">
        <v>6.37</v>
      </c>
      <c r="C5470" s="1">
        <v>5.52</v>
      </c>
      <c r="D5470" s="1">
        <v>0.54</v>
      </c>
      <c r="E5470" s="1" t="s">
        <v>113</v>
      </c>
      <c r="F5470" s="1" t="s">
        <v>113</v>
      </c>
      <c r="G5470" s="1" t="s">
        <v>113</v>
      </c>
      <c r="H5470" s="1" t="str">
        <f>VLOOKUP(F5470,Countries!$A$1:$B$161,2,0)</f>
        <v>United States of America</v>
      </c>
    </row>
    <row r="5471" spans="1:8" x14ac:dyDescent="0.3">
      <c r="A5471" s="3">
        <v>46241.517476851863</v>
      </c>
      <c r="B5471" s="1">
        <v>6.37</v>
      </c>
      <c r="C5471" s="1">
        <v>5.52</v>
      </c>
      <c r="D5471" s="1">
        <v>0.54</v>
      </c>
      <c r="E5471" s="1" t="s">
        <v>113</v>
      </c>
      <c r="F5471" s="1" t="s">
        <v>113</v>
      </c>
      <c r="G5471" s="1" t="s">
        <v>113</v>
      </c>
      <c r="H5471" s="1" t="str">
        <f>VLOOKUP(F5471,Countries!$A$1:$B$161,2,0)</f>
        <v>United States of America</v>
      </c>
    </row>
    <row r="5472" spans="1:8" x14ac:dyDescent="0.3">
      <c r="A5472" s="3">
        <v>46241.515752314823</v>
      </c>
      <c r="B5472" s="1">
        <v>6.37</v>
      </c>
      <c r="C5472" s="1">
        <v>5.52</v>
      </c>
      <c r="D5472" s="1">
        <v>0.54</v>
      </c>
      <c r="E5472" s="1" t="s">
        <v>113</v>
      </c>
      <c r="F5472" s="1" t="s">
        <v>113</v>
      </c>
      <c r="G5472" s="1" t="s">
        <v>113</v>
      </c>
      <c r="H5472" s="1" t="str">
        <f>VLOOKUP(F5472,Countries!$A$1:$B$161,2,0)</f>
        <v>United States of America</v>
      </c>
    </row>
    <row r="5473" spans="1:8" x14ac:dyDescent="0.3">
      <c r="A5473" s="3">
        <v>46241.515057870369</v>
      </c>
      <c r="B5473" s="1">
        <v>15.95</v>
      </c>
      <c r="C5473" s="1">
        <v>13.83</v>
      </c>
      <c r="D5473" s="1">
        <v>0.98</v>
      </c>
      <c r="E5473" s="1" t="s">
        <v>113</v>
      </c>
      <c r="F5473" s="1" t="s">
        <v>113</v>
      </c>
      <c r="G5473" s="1" t="s">
        <v>113</v>
      </c>
      <c r="H5473" s="1" t="str">
        <f>VLOOKUP(F5473,Countries!$A$1:$B$161,2,0)</f>
        <v>United States of America</v>
      </c>
    </row>
    <row r="5474" spans="1:8" x14ac:dyDescent="0.3">
      <c r="A5474" s="3">
        <v>46241.498310185183</v>
      </c>
      <c r="B5474" s="1">
        <v>6.37</v>
      </c>
      <c r="C5474" s="1">
        <v>5.53</v>
      </c>
      <c r="D5474" s="1">
        <v>0.54</v>
      </c>
      <c r="E5474" s="1" t="s">
        <v>113</v>
      </c>
      <c r="F5474" s="1" t="s">
        <v>113</v>
      </c>
      <c r="G5474" s="1" t="s">
        <v>113</v>
      </c>
      <c r="H5474" s="1" t="str">
        <f>VLOOKUP(F5474,Countries!$A$1:$B$161,2,0)</f>
        <v>United States of America</v>
      </c>
    </row>
    <row r="5475" spans="1:8" x14ac:dyDescent="0.3">
      <c r="A5475" s="3">
        <v>46241.497349537043</v>
      </c>
      <c r="B5475" s="1">
        <v>6.37</v>
      </c>
      <c r="C5475" s="1">
        <v>5.53</v>
      </c>
      <c r="D5475" s="1">
        <v>0.54</v>
      </c>
      <c r="E5475" s="1" t="s">
        <v>113</v>
      </c>
      <c r="F5475" s="1" t="s">
        <v>113</v>
      </c>
      <c r="G5475" s="1" t="s">
        <v>113</v>
      </c>
      <c r="H5475" s="1" t="str">
        <f>VLOOKUP(F5475,Countries!$A$1:$B$161,2,0)</f>
        <v>United States of America</v>
      </c>
    </row>
    <row r="5476" spans="1:8" x14ac:dyDescent="0.3">
      <c r="A5476" s="3">
        <v>46241.490289351852</v>
      </c>
      <c r="B5476" s="1">
        <v>6.37</v>
      </c>
      <c r="C5476" s="1">
        <v>5.53</v>
      </c>
      <c r="D5476" s="1">
        <v>0.54</v>
      </c>
      <c r="E5476" s="1" t="s">
        <v>113</v>
      </c>
      <c r="F5476" s="1" t="s">
        <v>113</v>
      </c>
      <c r="G5476" s="1" t="s">
        <v>113</v>
      </c>
      <c r="H5476" s="1" t="str">
        <f>VLOOKUP(F5476,Countries!$A$1:$B$161,2,0)</f>
        <v>United States of America</v>
      </c>
    </row>
    <row r="5477" spans="1:8" x14ac:dyDescent="0.3">
      <c r="A5477" s="3">
        <v>46241.489328703698</v>
      </c>
      <c r="B5477" s="1">
        <v>18.079999999999998</v>
      </c>
      <c r="C5477" s="1">
        <v>15.68</v>
      </c>
      <c r="D5477" s="1">
        <v>1.07</v>
      </c>
      <c r="E5477" s="1" t="s">
        <v>113</v>
      </c>
      <c r="F5477" s="1" t="s">
        <v>113</v>
      </c>
      <c r="G5477" s="1" t="s">
        <v>113</v>
      </c>
      <c r="H5477" s="1" t="str">
        <f>VLOOKUP(F5477,Countries!$A$1:$B$161,2,0)</f>
        <v>United States of America</v>
      </c>
    </row>
    <row r="5478" spans="1:8" x14ac:dyDescent="0.3">
      <c r="A5478" s="3">
        <v>46241.489074074067</v>
      </c>
      <c r="B5478" s="1">
        <v>10.62</v>
      </c>
      <c r="C5478" s="1">
        <v>9.2100000000000009</v>
      </c>
      <c r="D5478" s="1">
        <v>0.73</v>
      </c>
      <c r="E5478" s="1" t="s">
        <v>113</v>
      </c>
      <c r="F5478" s="1" t="s">
        <v>113</v>
      </c>
      <c r="G5478" s="1" t="s">
        <v>113</v>
      </c>
      <c r="H5478" s="1" t="str">
        <f>VLOOKUP(F5478,Countries!$A$1:$B$161,2,0)</f>
        <v>United States of America</v>
      </c>
    </row>
    <row r="5479" spans="1:8" x14ac:dyDescent="0.3">
      <c r="A5479" s="3">
        <v>46241.4840625</v>
      </c>
      <c r="B5479" s="1">
        <v>6.37</v>
      </c>
      <c r="C5479" s="1">
        <v>5.53</v>
      </c>
      <c r="D5479" s="1">
        <v>0.54</v>
      </c>
      <c r="E5479" s="1" t="s">
        <v>113</v>
      </c>
      <c r="F5479" s="1" t="s">
        <v>113</v>
      </c>
      <c r="G5479" s="1" t="s">
        <v>113</v>
      </c>
      <c r="H5479" s="1" t="str">
        <f>VLOOKUP(F5479,Countries!$A$1:$B$161,2,0)</f>
        <v>United States of America</v>
      </c>
    </row>
    <row r="5480" spans="1:8" x14ac:dyDescent="0.3">
      <c r="A5480" s="3">
        <v>46241.477418981478</v>
      </c>
      <c r="B5480" s="1">
        <v>19.14</v>
      </c>
      <c r="C5480" s="1">
        <v>16.600000000000001</v>
      </c>
      <c r="D5480" s="1">
        <v>1.1200000000000001</v>
      </c>
      <c r="E5480" s="1" t="s">
        <v>113</v>
      </c>
      <c r="F5480" s="1" t="s">
        <v>113</v>
      </c>
      <c r="G5480" s="1" t="s">
        <v>113</v>
      </c>
      <c r="H5480" s="1" t="str">
        <f>VLOOKUP(F5480,Countries!$A$1:$B$161,2,0)</f>
        <v>United States of America</v>
      </c>
    </row>
    <row r="5481" spans="1:8" x14ac:dyDescent="0.3">
      <c r="A5481" s="3">
        <v>46241.46402777778</v>
      </c>
      <c r="B5481" s="1">
        <v>2.99</v>
      </c>
      <c r="C5481" s="1">
        <v>2.59</v>
      </c>
      <c r="D5481" s="1">
        <v>0.38</v>
      </c>
      <c r="E5481" s="1" t="s">
        <v>135</v>
      </c>
      <c r="F5481" s="1" t="s">
        <v>135</v>
      </c>
      <c r="G5481" s="1" t="s">
        <v>135</v>
      </c>
      <c r="H5481" s="1" t="str">
        <f>VLOOKUP(F5481,Countries!$A$1:$B$161,2,0)</f>
        <v>Kuwait</v>
      </c>
    </row>
    <row r="5482" spans="1:8" x14ac:dyDescent="0.3">
      <c r="A5482" s="3">
        <v>46241.452824074076</v>
      </c>
      <c r="B5482" s="1">
        <v>6.37</v>
      </c>
      <c r="C5482" s="1">
        <v>5.53</v>
      </c>
      <c r="D5482" s="1">
        <v>0.54</v>
      </c>
      <c r="E5482" s="1" t="s">
        <v>113</v>
      </c>
      <c r="F5482" s="1" t="s">
        <v>113</v>
      </c>
      <c r="G5482" s="1" t="s">
        <v>113</v>
      </c>
      <c r="H5482" s="1" t="str">
        <f>VLOOKUP(F5482,Countries!$A$1:$B$161,2,0)</f>
        <v>United States of America</v>
      </c>
    </row>
    <row r="5483" spans="1:8" x14ac:dyDescent="0.3">
      <c r="A5483" s="3">
        <v>46241.447141203702</v>
      </c>
      <c r="B5483" s="1">
        <v>2.11</v>
      </c>
      <c r="C5483" s="1">
        <v>1.83</v>
      </c>
      <c r="D5483" s="1">
        <v>0.35</v>
      </c>
      <c r="E5483" s="1" t="s">
        <v>113</v>
      </c>
      <c r="F5483" s="1" t="s">
        <v>113</v>
      </c>
      <c r="G5483" s="1" t="s">
        <v>113</v>
      </c>
      <c r="H5483" s="1" t="str">
        <f>VLOOKUP(F5483,Countries!$A$1:$B$161,2,0)</f>
        <v>United States of America</v>
      </c>
    </row>
    <row r="5484" spans="1:8" x14ac:dyDescent="0.3">
      <c r="A5484" s="3">
        <v>46241.443437499998</v>
      </c>
      <c r="B5484" s="1">
        <v>36.96</v>
      </c>
      <c r="C5484" s="1">
        <v>32.06</v>
      </c>
      <c r="D5484" s="1">
        <v>1.93</v>
      </c>
      <c r="E5484" s="1" t="s">
        <v>113</v>
      </c>
      <c r="F5484" s="1" t="s">
        <v>113</v>
      </c>
      <c r="G5484" s="1" t="s">
        <v>113</v>
      </c>
      <c r="H5484" s="1" t="str">
        <f>VLOOKUP(F5484,Countries!$A$1:$B$161,2,0)</f>
        <v>United States of America</v>
      </c>
    </row>
    <row r="5485" spans="1:8" x14ac:dyDescent="0.3">
      <c r="A5485" s="3">
        <v>46241.440555555557</v>
      </c>
      <c r="B5485" s="1">
        <v>4.24</v>
      </c>
      <c r="C5485" s="1">
        <v>3.68</v>
      </c>
      <c r="D5485" s="1">
        <v>0.44</v>
      </c>
      <c r="E5485" s="1" t="s">
        <v>113</v>
      </c>
      <c r="F5485" s="1" t="s">
        <v>113</v>
      </c>
      <c r="G5485" s="1" t="s">
        <v>113</v>
      </c>
      <c r="H5485" s="1" t="str">
        <f>VLOOKUP(F5485,Countries!$A$1:$B$161,2,0)</f>
        <v>United States of America</v>
      </c>
    </row>
    <row r="5486" spans="1:8" x14ac:dyDescent="0.3">
      <c r="A5486" s="3">
        <v>46241.437164351853</v>
      </c>
      <c r="B5486" s="1">
        <v>6.37</v>
      </c>
      <c r="C5486" s="1">
        <v>5.53</v>
      </c>
      <c r="D5486" s="1">
        <v>0.54</v>
      </c>
      <c r="E5486" s="1" t="s">
        <v>113</v>
      </c>
      <c r="F5486" s="1" t="s">
        <v>113</v>
      </c>
      <c r="G5486" s="1" t="s">
        <v>113</v>
      </c>
      <c r="H5486" s="1" t="str">
        <f>VLOOKUP(F5486,Countries!$A$1:$B$161,2,0)</f>
        <v>United States of America</v>
      </c>
    </row>
    <row r="5487" spans="1:8" x14ac:dyDescent="0.3">
      <c r="A5487" s="3">
        <v>46241.435532407413</v>
      </c>
      <c r="B5487" s="1">
        <v>15.99</v>
      </c>
      <c r="C5487" s="1">
        <v>13.87</v>
      </c>
      <c r="D5487" s="1">
        <v>0.98</v>
      </c>
      <c r="E5487" s="1" t="s">
        <v>113</v>
      </c>
      <c r="F5487" s="1" t="s">
        <v>113</v>
      </c>
      <c r="G5487" s="1" t="s">
        <v>113</v>
      </c>
      <c r="H5487" s="1" t="str">
        <f>VLOOKUP(F5487,Countries!$A$1:$B$161,2,0)</f>
        <v>United States of America</v>
      </c>
    </row>
    <row r="5488" spans="1:8" x14ac:dyDescent="0.3">
      <c r="A5488" s="3">
        <v>46241.433645833327</v>
      </c>
      <c r="B5488" s="1">
        <v>7.58</v>
      </c>
      <c r="C5488" s="1">
        <v>6.57</v>
      </c>
      <c r="D5488" s="1">
        <v>0.48</v>
      </c>
      <c r="E5488" s="1" t="s">
        <v>116</v>
      </c>
      <c r="F5488" s="1" t="s">
        <v>116</v>
      </c>
      <c r="G5488" s="1" t="s">
        <v>116</v>
      </c>
      <c r="H5488" s="1" t="str">
        <f>VLOOKUP(F5488,Countries!$A$1:$B$161,2,0)</f>
        <v>Spain</v>
      </c>
    </row>
    <row r="5489" spans="1:8" x14ac:dyDescent="0.3">
      <c r="A5489" s="3">
        <v>46241.43273148148</v>
      </c>
      <c r="B5489" s="1">
        <v>17.010000000000002</v>
      </c>
      <c r="C5489" s="1">
        <v>14.75</v>
      </c>
      <c r="D5489" s="1">
        <v>1.03</v>
      </c>
      <c r="E5489" s="1" t="s">
        <v>113</v>
      </c>
      <c r="F5489" s="1" t="s">
        <v>113</v>
      </c>
      <c r="G5489" s="1" t="s">
        <v>113</v>
      </c>
      <c r="H5489" s="1" t="str">
        <f>VLOOKUP(F5489,Countries!$A$1:$B$161,2,0)</f>
        <v>United States of America</v>
      </c>
    </row>
    <row r="5490" spans="1:8" x14ac:dyDescent="0.3">
      <c r="A5490" s="3">
        <v>46241.432500000003</v>
      </c>
      <c r="B5490" s="1">
        <v>17.010000000000002</v>
      </c>
      <c r="C5490" s="1">
        <v>14.75</v>
      </c>
      <c r="D5490" s="1">
        <v>1.03</v>
      </c>
      <c r="E5490" s="1" t="s">
        <v>113</v>
      </c>
      <c r="F5490" s="1" t="s">
        <v>113</v>
      </c>
      <c r="G5490" s="1" t="s">
        <v>113</v>
      </c>
      <c r="H5490" s="1" t="str">
        <f>VLOOKUP(F5490,Countries!$A$1:$B$161,2,0)</f>
        <v>United States of America</v>
      </c>
    </row>
    <row r="5491" spans="1:8" x14ac:dyDescent="0.3">
      <c r="A5491" s="3">
        <v>46241.426215277781</v>
      </c>
      <c r="B5491" s="1">
        <v>36.96</v>
      </c>
      <c r="C5491" s="1">
        <v>32.06</v>
      </c>
      <c r="D5491" s="1">
        <v>1.93</v>
      </c>
      <c r="E5491" s="1" t="s">
        <v>113</v>
      </c>
      <c r="F5491" s="1" t="s">
        <v>113</v>
      </c>
      <c r="G5491" s="1" t="s">
        <v>113</v>
      </c>
      <c r="H5491" s="1" t="str">
        <f>VLOOKUP(F5491,Countries!$A$1:$B$161,2,0)</f>
        <v>United States of America</v>
      </c>
    </row>
    <row r="5492" spans="1:8" x14ac:dyDescent="0.3">
      <c r="A5492" s="3">
        <v>46241.423668981479</v>
      </c>
      <c r="B5492" s="1">
        <v>2.99</v>
      </c>
      <c r="C5492" s="1">
        <v>2.59</v>
      </c>
      <c r="D5492" s="1">
        <v>0.38</v>
      </c>
      <c r="E5492" s="1" t="s">
        <v>113</v>
      </c>
      <c r="F5492" s="1" t="s">
        <v>113</v>
      </c>
      <c r="G5492" s="1" t="s">
        <v>113</v>
      </c>
      <c r="H5492" s="1" t="str">
        <f>VLOOKUP(F5492,Countries!$A$1:$B$161,2,0)</f>
        <v>United States of America</v>
      </c>
    </row>
    <row r="5493" spans="1:8" x14ac:dyDescent="0.3">
      <c r="A5493" s="3">
        <v>46241.42114583333</v>
      </c>
      <c r="B5493" s="1">
        <v>6.37</v>
      </c>
      <c r="C5493" s="1">
        <v>5.53</v>
      </c>
      <c r="D5493" s="1">
        <v>0.54</v>
      </c>
      <c r="E5493" s="1" t="s">
        <v>113</v>
      </c>
      <c r="F5493" s="1" t="s">
        <v>113</v>
      </c>
      <c r="G5493" s="1" t="s">
        <v>113</v>
      </c>
      <c r="H5493" s="1" t="str">
        <f>VLOOKUP(F5493,Countries!$A$1:$B$161,2,0)</f>
        <v>United States of America</v>
      </c>
    </row>
    <row r="5494" spans="1:8" x14ac:dyDescent="0.3">
      <c r="A5494" s="3">
        <v>46241.412465277783</v>
      </c>
      <c r="B5494" s="1">
        <v>6.37</v>
      </c>
      <c r="C5494" s="1">
        <v>5.53</v>
      </c>
      <c r="D5494" s="1">
        <v>0.54</v>
      </c>
      <c r="E5494" s="1" t="s">
        <v>113</v>
      </c>
      <c r="F5494" s="1" t="s">
        <v>113</v>
      </c>
      <c r="G5494" s="1" t="s">
        <v>113</v>
      </c>
      <c r="H5494" s="1" t="str">
        <f>VLOOKUP(F5494,Countries!$A$1:$B$161,2,0)</f>
        <v>United States of America</v>
      </c>
    </row>
    <row r="5495" spans="1:8" x14ac:dyDescent="0.3">
      <c r="A5495" s="3">
        <v>46241.410162037027</v>
      </c>
      <c r="B5495" s="1">
        <v>6.37</v>
      </c>
      <c r="C5495" s="1">
        <v>5.53</v>
      </c>
      <c r="D5495" s="1">
        <v>0.54</v>
      </c>
      <c r="E5495" s="1" t="s">
        <v>113</v>
      </c>
      <c r="F5495" s="1" t="s">
        <v>113</v>
      </c>
      <c r="G5495" s="1" t="s">
        <v>113</v>
      </c>
      <c r="H5495" s="1" t="str">
        <f>VLOOKUP(F5495,Countries!$A$1:$B$161,2,0)</f>
        <v>United States of America</v>
      </c>
    </row>
    <row r="5496" spans="1:8" x14ac:dyDescent="0.3">
      <c r="A5496" s="3">
        <v>46241.409421296303</v>
      </c>
      <c r="B5496" s="1">
        <v>6.37</v>
      </c>
      <c r="C5496" s="1">
        <v>5.53</v>
      </c>
      <c r="D5496" s="1">
        <v>0.54</v>
      </c>
      <c r="E5496" s="1" t="s">
        <v>113</v>
      </c>
      <c r="F5496" s="1" t="s">
        <v>113</v>
      </c>
      <c r="G5496" s="1" t="s">
        <v>113</v>
      </c>
      <c r="H5496" s="1" t="str">
        <f>VLOOKUP(F5496,Countries!$A$1:$B$161,2,0)</f>
        <v>United States of America</v>
      </c>
    </row>
    <row r="5497" spans="1:8" x14ac:dyDescent="0.3">
      <c r="A5497" s="3">
        <v>46241.408900462957</v>
      </c>
      <c r="B5497" s="1">
        <v>2.99</v>
      </c>
      <c r="C5497" s="1">
        <v>2.59</v>
      </c>
      <c r="D5497" s="1">
        <v>0.38</v>
      </c>
      <c r="E5497" s="1" t="s">
        <v>132</v>
      </c>
      <c r="F5497" s="1" t="s">
        <v>132</v>
      </c>
      <c r="G5497" s="1" t="s">
        <v>132</v>
      </c>
      <c r="H5497" s="1" t="str">
        <f>VLOOKUP(F5497,Countries!$A$1:$B$161,2,0)</f>
        <v>Canada</v>
      </c>
    </row>
    <row r="5498" spans="1:8" x14ac:dyDescent="0.3">
      <c r="A5498" s="3">
        <v>46241.405405092592</v>
      </c>
      <c r="B5498" s="1">
        <v>14.77</v>
      </c>
      <c r="C5498" s="1">
        <v>12.82</v>
      </c>
      <c r="D5498" s="1">
        <v>0.93</v>
      </c>
      <c r="E5498" s="1" t="s">
        <v>113</v>
      </c>
      <c r="F5498" s="1" t="s">
        <v>113</v>
      </c>
      <c r="G5498" s="1" t="s">
        <v>113</v>
      </c>
      <c r="H5498" s="1" t="str">
        <f>VLOOKUP(F5498,Countries!$A$1:$B$161,2,0)</f>
        <v>United States of America</v>
      </c>
    </row>
    <row r="5499" spans="1:8" x14ac:dyDescent="0.3">
      <c r="A5499" s="3">
        <v>46241.401574074072</v>
      </c>
      <c r="B5499" s="1">
        <v>29.57</v>
      </c>
      <c r="C5499" s="1">
        <v>25.66</v>
      </c>
      <c r="D5499" s="1">
        <v>1.59</v>
      </c>
      <c r="E5499" s="1" t="s">
        <v>113</v>
      </c>
      <c r="F5499" s="1" t="s">
        <v>113</v>
      </c>
      <c r="G5499" s="1" t="s">
        <v>113</v>
      </c>
      <c r="H5499" s="1" t="str">
        <f>VLOOKUP(F5499,Countries!$A$1:$B$161,2,0)</f>
        <v>United States of America</v>
      </c>
    </row>
    <row r="5500" spans="1:8" x14ac:dyDescent="0.3">
      <c r="A5500" s="3">
        <v>46241.382384259261</v>
      </c>
      <c r="B5500" s="1">
        <v>7.48</v>
      </c>
      <c r="C5500" s="1">
        <v>6.49</v>
      </c>
      <c r="D5500" s="1">
        <v>0.48</v>
      </c>
      <c r="E5500" s="1" t="s">
        <v>123</v>
      </c>
      <c r="F5500" s="1" t="s">
        <v>123</v>
      </c>
      <c r="G5500" s="1" t="s">
        <v>123</v>
      </c>
      <c r="H5500" s="1" t="str">
        <f>VLOOKUP(F5500,Countries!$A$1:$B$161,2,0)</f>
        <v>France</v>
      </c>
    </row>
    <row r="5501" spans="1:8" x14ac:dyDescent="0.3">
      <c r="A5501" s="3">
        <v>46241.381793981483</v>
      </c>
      <c r="B5501" s="1">
        <v>20</v>
      </c>
      <c r="C5501" s="1">
        <v>17.36</v>
      </c>
      <c r="D5501" s="1">
        <v>0.86</v>
      </c>
      <c r="E5501" s="1" t="s">
        <v>123</v>
      </c>
      <c r="F5501" s="1" t="s">
        <v>123</v>
      </c>
      <c r="G5501" s="1" t="s">
        <v>123</v>
      </c>
      <c r="H5501" s="1" t="str">
        <f>VLOOKUP(F5501,Countries!$A$1:$B$161,2,0)</f>
        <v>France</v>
      </c>
    </row>
    <row r="5502" spans="1:8" x14ac:dyDescent="0.3">
      <c r="A5502" s="3">
        <v>46241.381168981483</v>
      </c>
      <c r="B5502" s="1">
        <v>15</v>
      </c>
      <c r="C5502" s="1">
        <v>13.02</v>
      </c>
      <c r="D5502" s="1">
        <v>0.71</v>
      </c>
      <c r="E5502" s="1" t="s">
        <v>123</v>
      </c>
      <c r="F5502" s="1" t="s">
        <v>123</v>
      </c>
      <c r="G5502" s="1" t="s">
        <v>123</v>
      </c>
      <c r="H5502" s="1" t="str">
        <f>VLOOKUP(F5502,Countries!$A$1:$B$161,2,0)</f>
        <v>France</v>
      </c>
    </row>
    <row r="5503" spans="1:8" x14ac:dyDescent="0.3">
      <c r="A5503" s="3">
        <v>46241.380127314813</v>
      </c>
      <c r="B5503" s="1">
        <v>15</v>
      </c>
      <c r="C5503" s="1">
        <v>13.02</v>
      </c>
      <c r="D5503" s="1">
        <v>0.71</v>
      </c>
      <c r="E5503" s="1" t="s">
        <v>123</v>
      </c>
      <c r="F5503" s="1" t="s">
        <v>123</v>
      </c>
      <c r="G5503" s="1" t="s">
        <v>123</v>
      </c>
      <c r="H5503" s="1" t="str">
        <f>VLOOKUP(F5503,Countries!$A$1:$B$161,2,0)</f>
        <v>France</v>
      </c>
    </row>
    <row r="5504" spans="1:8" x14ac:dyDescent="0.3">
      <c r="A5504" s="3">
        <v>46241.376377314817</v>
      </c>
      <c r="B5504" s="1">
        <v>2.99</v>
      </c>
      <c r="C5504" s="1">
        <v>2.59</v>
      </c>
      <c r="D5504" s="1">
        <v>0.38</v>
      </c>
      <c r="E5504" s="1" t="s">
        <v>135</v>
      </c>
      <c r="F5504" s="1" t="s">
        <v>135</v>
      </c>
      <c r="G5504" s="1" t="s">
        <v>135</v>
      </c>
      <c r="H5504" s="1" t="str">
        <f>VLOOKUP(F5504,Countries!$A$1:$B$161,2,0)</f>
        <v>Kuwait</v>
      </c>
    </row>
    <row r="5505" spans="1:8" x14ac:dyDescent="0.3">
      <c r="A5505" s="3">
        <v>46241.374826388892</v>
      </c>
      <c r="B5505" s="1">
        <v>7.77</v>
      </c>
      <c r="C5505" s="1">
        <v>6.74</v>
      </c>
      <c r="D5505" s="1">
        <v>0.48</v>
      </c>
      <c r="E5505" s="1" t="s">
        <v>137</v>
      </c>
      <c r="F5505" s="1" t="s">
        <v>137</v>
      </c>
      <c r="G5505" s="1" t="s">
        <v>137</v>
      </c>
      <c r="H5505" s="1" t="str">
        <f>VLOOKUP(F5505,Countries!$A$1:$B$161,2,0)</f>
        <v>Poland</v>
      </c>
    </row>
    <row r="5506" spans="1:8" x14ac:dyDescent="0.3">
      <c r="A5506" s="3">
        <v>46241.372291666667</v>
      </c>
      <c r="B5506" s="1">
        <v>17.36</v>
      </c>
      <c r="C5506" s="1">
        <v>15.07</v>
      </c>
      <c r="D5506" s="1">
        <v>0.78</v>
      </c>
      <c r="E5506" s="1" t="s">
        <v>123</v>
      </c>
      <c r="F5506" s="1" t="s">
        <v>123</v>
      </c>
      <c r="G5506" s="1" t="s">
        <v>123</v>
      </c>
      <c r="H5506" s="1" t="str">
        <f>VLOOKUP(F5506,Countries!$A$1:$B$161,2,0)</f>
        <v>France</v>
      </c>
    </row>
    <row r="5507" spans="1:8" x14ac:dyDescent="0.3">
      <c r="A5507" s="3">
        <v>46241.371886574067</v>
      </c>
      <c r="B5507" s="1">
        <v>5.99</v>
      </c>
      <c r="C5507" s="1">
        <v>5.2</v>
      </c>
      <c r="D5507" s="1">
        <v>0.43</v>
      </c>
      <c r="E5507" s="1" t="s">
        <v>123</v>
      </c>
      <c r="F5507" s="1" t="s">
        <v>123</v>
      </c>
      <c r="G5507" s="1" t="s">
        <v>123</v>
      </c>
      <c r="H5507" s="1" t="str">
        <f>VLOOKUP(F5507,Countries!$A$1:$B$161,2,0)</f>
        <v>France</v>
      </c>
    </row>
    <row r="5508" spans="1:8" x14ac:dyDescent="0.3">
      <c r="A5508" s="3">
        <v>46241.366307870368</v>
      </c>
      <c r="B5508" s="1">
        <v>17.010000000000002</v>
      </c>
      <c r="C5508" s="1">
        <v>14.76</v>
      </c>
      <c r="D5508" s="1">
        <v>1.03</v>
      </c>
      <c r="E5508" s="1" t="s">
        <v>113</v>
      </c>
      <c r="F5508" s="1" t="s">
        <v>113</v>
      </c>
      <c r="G5508" s="1" t="s">
        <v>113</v>
      </c>
      <c r="H5508" s="1" t="str">
        <f>VLOOKUP(F5508,Countries!$A$1:$B$161,2,0)</f>
        <v>United States of America</v>
      </c>
    </row>
    <row r="5509" spans="1:8" x14ac:dyDescent="0.3">
      <c r="A5509" s="3">
        <v>46241.358865740738</v>
      </c>
      <c r="B5509" s="1">
        <v>2.99</v>
      </c>
      <c r="C5509" s="1">
        <v>2.59</v>
      </c>
      <c r="D5509" s="1">
        <v>0.38</v>
      </c>
      <c r="E5509" s="1" t="s">
        <v>113</v>
      </c>
      <c r="F5509" s="1" t="s">
        <v>113</v>
      </c>
      <c r="G5509" s="1" t="s">
        <v>113</v>
      </c>
      <c r="H5509" s="1" t="str">
        <f>VLOOKUP(F5509,Countries!$A$1:$B$161,2,0)</f>
        <v>United States of America</v>
      </c>
    </row>
    <row r="5510" spans="1:8" x14ac:dyDescent="0.3">
      <c r="A5510" s="3">
        <v>46241.357268518521</v>
      </c>
      <c r="B5510" s="1">
        <v>1.99</v>
      </c>
      <c r="C5510" s="1">
        <v>1.73</v>
      </c>
      <c r="D5510" s="1">
        <v>0.34</v>
      </c>
      <c r="E5510" s="1" t="s">
        <v>126</v>
      </c>
      <c r="F5510" s="1" t="s">
        <v>126</v>
      </c>
      <c r="G5510" s="1" t="s">
        <v>126</v>
      </c>
      <c r="H5510" s="1" t="str">
        <f>VLOOKUP(F5510,Countries!$A$1:$B$161,2,0)</f>
        <v>Cambodia</v>
      </c>
    </row>
    <row r="5511" spans="1:8" x14ac:dyDescent="0.3">
      <c r="A5511" s="3">
        <v>46241.324699074074</v>
      </c>
      <c r="B5511" s="1">
        <v>7.98</v>
      </c>
      <c r="C5511" s="1">
        <v>6.93</v>
      </c>
      <c r="D5511" s="1">
        <v>0.49</v>
      </c>
      <c r="E5511" s="1" t="s">
        <v>178</v>
      </c>
      <c r="F5511" s="1" t="s">
        <v>178</v>
      </c>
      <c r="G5511" s="1" t="s">
        <v>178</v>
      </c>
      <c r="H5511" s="1" t="str">
        <f>VLOOKUP(F5511,Countries!$A$1:$B$161,2,0)</f>
        <v>Sweden</v>
      </c>
    </row>
    <row r="5512" spans="1:8" x14ac:dyDescent="0.3">
      <c r="A5512" s="3">
        <v>46241.322418981479</v>
      </c>
      <c r="B5512" s="1">
        <v>12.48</v>
      </c>
      <c r="C5512" s="1">
        <v>10.83</v>
      </c>
      <c r="D5512" s="1">
        <v>0.74</v>
      </c>
      <c r="E5512" s="1" t="s">
        <v>119</v>
      </c>
      <c r="F5512" s="1" t="s">
        <v>119</v>
      </c>
      <c r="G5512" s="1" t="s">
        <v>119</v>
      </c>
      <c r="H5512" s="1" t="str">
        <f>VLOOKUP(F5512,Countries!$A$1:$B$161,2,0)</f>
        <v>Great Britain (United Kingdom)</v>
      </c>
    </row>
    <row r="5513" spans="1:8" x14ac:dyDescent="0.3">
      <c r="A5513" s="3">
        <v>46241.314849537041</v>
      </c>
      <c r="B5513" s="1">
        <v>12.48</v>
      </c>
      <c r="C5513" s="1">
        <v>10.83</v>
      </c>
      <c r="D5513" s="1">
        <v>0.74</v>
      </c>
      <c r="E5513" s="1" t="s">
        <v>119</v>
      </c>
      <c r="F5513" s="1" t="s">
        <v>119</v>
      </c>
      <c r="G5513" s="1" t="s">
        <v>119</v>
      </c>
      <c r="H5513" s="1" t="str">
        <f>VLOOKUP(F5513,Countries!$A$1:$B$161,2,0)</f>
        <v>Great Britain (United Kingdom)</v>
      </c>
    </row>
    <row r="5514" spans="1:8" x14ac:dyDescent="0.3">
      <c r="A5514" s="3">
        <v>46241.306666666656</v>
      </c>
      <c r="B5514" s="1">
        <v>6.37</v>
      </c>
      <c r="C5514" s="1">
        <v>5.53</v>
      </c>
      <c r="D5514" s="1">
        <v>0.54</v>
      </c>
      <c r="E5514" s="1" t="s">
        <v>113</v>
      </c>
      <c r="F5514" s="1" t="s">
        <v>113</v>
      </c>
      <c r="G5514" s="1" t="s">
        <v>113</v>
      </c>
      <c r="H5514" s="1" t="str">
        <f>VLOOKUP(F5514,Countries!$A$1:$B$161,2,0)</f>
        <v>United States of America</v>
      </c>
    </row>
    <row r="5515" spans="1:8" x14ac:dyDescent="0.3">
      <c r="A5515" s="3">
        <v>46241.304027777784</v>
      </c>
      <c r="B5515" s="1">
        <v>2.99</v>
      </c>
      <c r="C5515" s="1">
        <v>2.59</v>
      </c>
      <c r="D5515" s="1">
        <v>0.38</v>
      </c>
      <c r="E5515" s="1" t="s">
        <v>113</v>
      </c>
      <c r="F5515" s="1" t="s">
        <v>113</v>
      </c>
      <c r="G5515" s="1" t="s">
        <v>113</v>
      </c>
      <c r="H5515" s="1" t="str">
        <f>VLOOKUP(F5515,Countries!$A$1:$B$161,2,0)</f>
        <v>United States of America</v>
      </c>
    </row>
    <row r="5516" spans="1:8" x14ac:dyDescent="0.3">
      <c r="A5516" s="3">
        <v>46241.301504629628</v>
      </c>
      <c r="B5516" s="1">
        <v>6.65</v>
      </c>
      <c r="C5516" s="1">
        <v>5.77</v>
      </c>
      <c r="D5516" s="1">
        <v>0.56000000000000005</v>
      </c>
      <c r="E5516" s="1" t="s">
        <v>130</v>
      </c>
      <c r="F5516" s="1" t="s">
        <v>130</v>
      </c>
      <c r="G5516" s="1" t="s">
        <v>130</v>
      </c>
      <c r="H5516" s="1" t="str">
        <f>VLOOKUP(F5516,Countries!$A$1:$B$161,2,0)</f>
        <v>Australia</v>
      </c>
    </row>
    <row r="5517" spans="1:8" x14ac:dyDescent="0.3">
      <c r="A5517" s="3">
        <v>46241.293437499997</v>
      </c>
      <c r="B5517" s="1">
        <v>17.37</v>
      </c>
      <c r="C5517" s="1">
        <v>15.07</v>
      </c>
      <c r="D5517" s="1">
        <v>0.93</v>
      </c>
      <c r="E5517" s="1" t="s">
        <v>119</v>
      </c>
      <c r="F5517" s="1" t="s">
        <v>119</v>
      </c>
      <c r="G5517" s="1" t="s">
        <v>119</v>
      </c>
      <c r="H5517" s="1" t="str">
        <f>VLOOKUP(F5517,Countries!$A$1:$B$161,2,0)</f>
        <v>Great Britain (United Kingdom)</v>
      </c>
    </row>
    <row r="5518" spans="1:8" x14ac:dyDescent="0.3">
      <c r="A5518" s="3">
        <v>46241.292719907397</v>
      </c>
      <c r="B5518" s="1">
        <v>17.36</v>
      </c>
      <c r="C5518" s="1">
        <v>15.07</v>
      </c>
      <c r="D5518" s="1">
        <v>0.78</v>
      </c>
      <c r="E5518" s="1" t="s">
        <v>123</v>
      </c>
      <c r="F5518" s="1" t="s">
        <v>123</v>
      </c>
      <c r="G5518" s="1" t="s">
        <v>123</v>
      </c>
      <c r="H5518" s="1" t="str">
        <f>VLOOKUP(F5518,Countries!$A$1:$B$161,2,0)</f>
        <v>France</v>
      </c>
    </row>
    <row r="5519" spans="1:8" x14ac:dyDescent="0.3">
      <c r="A5519" s="3">
        <v>46241.28875</v>
      </c>
      <c r="B5519" s="1">
        <v>6.37</v>
      </c>
      <c r="C5519" s="1">
        <v>5.53</v>
      </c>
      <c r="D5519" s="1">
        <v>0.54</v>
      </c>
      <c r="E5519" s="1" t="s">
        <v>113</v>
      </c>
      <c r="F5519" s="1" t="s">
        <v>113</v>
      </c>
      <c r="G5519" s="1" t="s">
        <v>113</v>
      </c>
      <c r="H5519" s="1" t="str">
        <f>VLOOKUP(F5519,Countries!$A$1:$B$161,2,0)</f>
        <v>United States of America</v>
      </c>
    </row>
    <row r="5520" spans="1:8" x14ac:dyDescent="0.3">
      <c r="A5520" s="3">
        <v>46241.288460648153</v>
      </c>
      <c r="B5520" s="1">
        <v>14.77</v>
      </c>
      <c r="C5520" s="1">
        <v>12.82</v>
      </c>
      <c r="D5520" s="1">
        <v>0.93</v>
      </c>
      <c r="E5520" s="1" t="s">
        <v>113</v>
      </c>
      <c r="F5520" s="1" t="s">
        <v>113</v>
      </c>
      <c r="G5520" s="1" t="s">
        <v>113</v>
      </c>
      <c r="H5520" s="1" t="str">
        <f>VLOOKUP(F5520,Countries!$A$1:$B$161,2,0)</f>
        <v>United States of America</v>
      </c>
    </row>
    <row r="5521" spans="1:8" x14ac:dyDescent="0.3">
      <c r="A5521" s="3">
        <v>46241.28597222222</v>
      </c>
      <c r="B5521" s="1">
        <v>18.03</v>
      </c>
      <c r="C5521" s="1">
        <v>15.65</v>
      </c>
      <c r="D5521" s="1">
        <v>0.79</v>
      </c>
      <c r="E5521" s="1" t="s">
        <v>137</v>
      </c>
      <c r="F5521" s="1" t="s">
        <v>137</v>
      </c>
      <c r="G5521" s="1" t="s">
        <v>137</v>
      </c>
      <c r="H5521" s="1" t="str">
        <f>VLOOKUP(F5521,Countries!$A$1:$B$161,2,0)</f>
        <v>Poland</v>
      </c>
    </row>
    <row r="5522" spans="1:8" x14ac:dyDescent="0.3">
      <c r="A5522" s="3">
        <v>46241.284247685187</v>
      </c>
      <c r="B5522" s="1">
        <v>54.15</v>
      </c>
      <c r="C5522" s="1">
        <v>46.99</v>
      </c>
      <c r="D5522" s="1">
        <v>1.89</v>
      </c>
      <c r="E5522" s="1" t="s">
        <v>137</v>
      </c>
      <c r="F5522" s="1" t="s">
        <v>137</v>
      </c>
      <c r="G5522" s="1" t="s">
        <v>137</v>
      </c>
      <c r="H5522" s="1" t="str">
        <f>VLOOKUP(F5522,Countries!$A$1:$B$161,2,0)</f>
        <v>Poland</v>
      </c>
    </row>
    <row r="5523" spans="1:8" x14ac:dyDescent="0.3">
      <c r="A5523" s="3">
        <v>46241.28052083333</v>
      </c>
      <c r="B5523" s="1">
        <v>2.99</v>
      </c>
      <c r="C5523" s="1">
        <v>2.59</v>
      </c>
      <c r="D5523" s="1">
        <v>0.38</v>
      </c>
      <c r="E5523" s="1" t="s">
        <v>113</v>
      </c>
      <c r="F5523" s="1" t="s">
        <v>129</v>
      </c>
      <c r="G5523" s="1" t="s">
        <v>129</v>
      </c>
      <c r="H5523" s="1" t="str">
        <f>VLOOKUP(F5523,Countries!$A$1:$B$161,2,0)</f>
        <v>Qatar</v>
      </c>
    </row>
    <row r="5524" spans="1:8" x14ac:dyDescent="0.3">
      <c r="A5524" s="3">
        <v>46241.28020833333</v>
      </c>
      <c r="B5524" s="1">
        <v>2.99</v>
      </c>
      <c r="C5524" s="1">
        <v>2.59</v>
      </c>
      <c r="D5524" s="1">
        <v>0.38</v>
      </c>
      <c r="E5524" s="1" t="s">
        <v>209</v>
      </c>
      <c r="F5524" s="1" t="s">
        <v>209</v>
      </c>
      <c r="G5524" s="1" t="s">
        <v>209</v>
      </c>
      <c r="H5524" s="1" t="str">
        <f>VLOOKUP(F5524,Countries!$A$1:$B$161,2,0)</f>
        <v>Bolivia</v>
      </c>
    </row>
    <row r="5525" spans="1:8" x14ac:dyDescent="0.3">
      <c r="A5525" s="3">
        <v>46241.279502314806</v>
      </c>
      <c r="B5525" s="1">
        <v>34.75</v>
      </c>
      <c r="C5525" s="1">
        <v>30.16</v>
      </c>
      <c r="D5525" s="1">
        <v>1.6</v>
      </c>
      <c r="E5525" s="1" t="s">
        <v>119</v>
      </c>
      <c r="F5525" s="1" t="s">
        <v>119</v>
      </c>
      <c r="G5525" s="1" t="s">
        <v>119</v>
      </c>
      <c r="H5525" s="1" t="str">
        <f>VLOOKUP(F5525,Countries!$A$1:$B$161,2,0)</f>
        <v>Great Britain (United Kingdom)</v>
      </c>
    </row>
    <row r="5526" spans="1:8" x14ac:dyDescent="0.3">
      <c r="A5526" s="3">
        <v>46241.279340277782</v>
      </c>
      <c r="B5526" s="1">
        <v>18.03</v>
      </c>
      <c r="C5526" s="1">
        <v>15.65</v>
      </c>
      <c r="D5526" s="1">
        <v>0.79</v>
      </c>
      <c r="E5526" s="1" t="s">
        <v>137</v>
      </c>
      <c r="F5526" s="1" t="s">
        <v>137</v>
      </c>
      <c r="G5526" s="1" t="s">
        <v>137</v>
      </c>
      <c r="H5526" s="1" t="str">
        <f>VLOOKUP(F5526,Countries!$A$1:$B$161,2,0)</f>
        <v>Poland</v>
      </c>
    </row>
    <row r="5527" spans="1:8" x14ac:dyDescent="0.3">
      <c r="A5527" s="3">
        <v>46241.277025462958</v>
      </c>
      <c r="B5527" s="1">
        <v>14.77</v>
      </c>
      <c r="C5527" s="1">
        <v>12.82</v>
      </c>
      <c r="D5527" s="1">
        <v>0.93</v>
      </c>
      <c r="E5527" s="1" t="s">
        <v>113</v>
      </c>
      <c r="F5527" s="1" t="s">
        <v>113</v>
      </c>
      <c r="G5527" s="1" t="s">
        <v>113</v>
      </c>
      <c r="H5527" s="1" t="str">
        <f>VLOOKUP(F5527,Countries!$A$1:$B$161,2,0)</f>
        <v>United States of America</v>
      </c>
    </row>
    <row r="5528" spans="1:8" x14ac:dyDescent="0.3">
      <c r="A5528" s="3">
        <v>46241.276655092603</v>
      </c>
      <c r="B5528" s="1">
        <v>43.43</v>
      </c>
      <c r="C5528" s="1">
        <v>37.69</v>
      </c>
      <c r="D5528" s="1">
        <v>1.57</v>
      </c>
      <c r="E5528" s="1" t="s">
        <v>146</v>
      </c>
      <c r="F5528" s="1" t="s">
        <v>123</v>
      </c>
      <c r="G5528" s="1" t="s">
        <v>123</v>
      </c>
      <c r="H5528" s="1" t="str">
        <f>VLOOKUP(F5528,Countries!$A$1:$B$161,2,0)</f>
        <v>France</v>
      </c>
    </row>
    <row r="5529" spans="1:8" x14ac:dyDescent="0.3">
      <c r="A5529" s="3">
        <v>46241.272951388892</v>
      </c>
      <c r="B5529" s="1">
        <v>6.3</v>
      </c>
      <c r="C5529" s="1">
        <v>5.47</v>
      </c>
      <c r="D5529" s="1">
        <v>0.54</v>
      </c>
      <c r="E5529" s="1" t="s">
        <v>132</v>
      </c>
      <c r="F5529" s="1" t="s">
        <v>132</v>
      </c>
      <c r="G5529" s="1" t="s">
        <v>132</v>
      </c>
      <c r="H5529" s="1" t="str">
        <f>VLOOKUP(F5529,Countries!$A$1:$B$161,2,0)</f>
        <v>Canada</v>
      </c>
    </row>
    <row r="5530" spans="1:8" x14ac:dyDescent="0.3">
      <c r="A5530" s="3">
        <v>46241.272638888891</v>
      </c>
      <c r="B5530" s="1">
        <v>17.739999999999998</v>
      </c>
      <c r="C5530" s="1">
        <v>15.4</v>
      </c>
      <c r="D5530" s="1">
        <v>1.06</v>
      </c>
      <c r="E5530" s="1" t="s">
        <v>113</v>
      </c>
      <c r="F5530" s="1" t="s">
        <v>113</v>
      </c>
      <c r="G5530" s="1" t="s">
        <v>113</v>
      </c>
      <c r="H5530" s="1" t="str">
        <f>VLOOKUP(F5530,Countries!$A$1:$B$161,2,0)</f>
        <v>United States of America</v>
      </c>
    </row>
    <row r="5531" spans="1:8" x14ac:dyDescent="0.3">
      <c r="A5531" s="3">
        <v>46241.270046296297</v>
      </c>
      <c r="B5531" s="1">
        <v>18.03</v>
      </c>
      <c r="C5531" s="1">
        <v>15.65</v>
      </c>
      <c r="D5531" s="1">
        <v>0.79</v>
      </c>
      <c r="E5531" s="1" t="s">
        <v>137</v>
      </c>
      <c r="F5531" s="1" t="s">
        <v>137</v>
      </c>
      <c r="G5531" s="1" t="s">
        <v>137</v>
      </c>
      <c r="H5531" s="1" t="str">
        <f>VLOOKUP(F5531,Countries!$A$1:$B$161,2,0)</f>
        <v>Poland</v>
      </c>
    </row>
    <row r="5532" spans="1:8" x14ac:dyDescent="0.3">
      <c r="A5532" s="3">
        <v>46241.268703703703</v>
      </c>
      <c r="B5532" s="1">
        <v>14.77</v>
      </c>
      <c r="C5532" s="1">
        <v>12.82</v>
      </c>
      <c r="D5532" s="1">
        <v>0.93</v>
      </c>
      <c r="E5532" s="1" t="s">
        <v>113</v>
      </c>
      <c r="F5532" s="1" t="s">
        <v>113</v>
      </c>
      <c r="G5532" s="1" t="s">
        <v>113</v>
      </c>
      <c r="H5532" s="1" t="str">
        <f>VLOOKUP(F5532,Countries!$A$1:$B$161,2,0)</f>
        <v>United States of America</v>
      </c>
    </row>
    <row r="5533" spans="1:8" x14ac:dyDescent="0.3">
      <c r="A5533" s="3">
        <v>46241.267766203702</v>
      </c>
      <c r="B5533" s="1">
        <v>17.36</v>
      </c>
      <c r="C5533" s="1">
        <v>15.07</v>
      </c>
      <c r="D5533" s="1">
        <v>0.78</v>
      </c>
      <c r="E5533" s="1" t="s">
        <v>146</v>
      </c>
      <c r="F5533" s="1" t="s">
        <v>123</v>
      </c>
      <c r="G5533" s="1" t="s">
        <v>123</v>
      </c>
      <c r="H5533" s="1" t="str">
        <f>VLOOKUP(F5533,Countries!$A$1:$B$161,2,0)</f>
        <v>France</v>
      </c>
    </row>
    <row r="5534" spans="1:8" x14ac:dyDescent="0.3">
      <c r="A5534" s="3">
        <v>46241.265856481477</v>
      </c>
      <c r="B5534" s="1">
        <v>10.62</v>
      </c>
      <c r="C5534" s="1">
        <v>9.2200000000000006</v>
      </c>
      <c r="D5534" s="1">
        <v>0.73</v>
      </c>
      <c r="E5534" s="1" t="s">
        <v>113</v>
      </c>
      <c r="F5534" s="1" t="s">
        <v>113</v>
      </c>
      <c r="G5534" s="1" t="s">
        <v>113</v>
      </c>
      <c r="H5534" s="1" t="str">
        <f>VLOOKUP(F5534,Countries!$A$1:$B$161,2,0)</f>
        <v>United States of America</v>
      </c>
    </row>
    <row r="5535" spans="1:8" x14ac:dyDescent="0.3">
      <c r="A5535" s="3">
        <v>46241.265659722223</v>
      </c>
      <c r="B5535" s="1">
        <v>14.78</v>
      </c>
      <c r="C5535" s="1">
        <v>12.83</v>
      </c>
      <c r="D5535" s="1">
        <v>0.93</v>
      </c>
      <c r="E5535" s="1" t="s">
        <v>113</v>
      </c>
      <c r="F5535" s="1" t="s">
        <v>113</v>
      </c>
      <c r="G5535" s="1" t="s">
        <v>113</v>
      </c>
      <c r="H5535" s="1" t="str">
        <f>VLOOKUP(F5535,Countries!$A$1:$B$161,2,0)</f>
        <v>United States of America</v>
      </c>
    </row>
    <row r="5536" spans="1:8" x14ac:dyDescent="0.3">
      <c r="A5536" s="3">
        <v>46241.263356481482</v>
      </c>
      <c r="B5536" s="1">
        <v>18.03</v>
      </c>
      <c r="C5536" s="1">
        <v>15.65</v>
      </c>
      <c r="D5536" s="1">
        <v>0.79</v>
      </c>
      <c r="E5536" s="1" t="s">
        <v>137</v>
      </c>
      <c r="F5536" s="1" t="s">
        <v>137</v>
      </c>
      <c r="G5536" s="1" t="s">
        <v>137</v>
      </c>
      <c r="H5536" s="1" t="str">
        <f>VLOOKUP(F5536,Countries!$A$1:$B$161,2,0)</f>
        <v>Poland</v>
      </c>
    </row>
    <row r="5537" spans="1:8" x14ac:dyDescent="0.3">
      <c r="A5537" s="3">
        <v>46241.263136574067</v>
      </c>
      <c r="B5537" s="1">
        <v>14.77</v>
      </c>
      <c r="C5537" s="1">
        <v>12.82</v>
      </c>
      <c r="D5537" s="1">
        <v>0.93</v>
      </c>
      <c r="E5537" s="1" t="s">
        <v>113</v>
      </c>
      <c r="F5537" s="1" t="s">
        <v>113</v>
      </c>
      <c r="G5537" s="1" t="s">
        <v>113</v>
      </c>
      <c r="H5537" s="1" t="str">
        <f>VLOOKUP(F5537,Countries!$A$1:$B$161,2,0)</f>
        <v>United States of America</v>
      </c>
    </row>
    <row r="5538" spans="1:8" x14ac:dyDescent="0.3">
      <c r="A5538" s="3">
        <v>46241.262662037043</v>
      </c>
      <c r="B5538" s="1">
        <v>6.37</v>
      </c>
      <c r="C5538" s="1">
        <v>5.53</v>
      </c>
      <c r="D5538" s="1">
        <v>0.54</v>
      </c>
      <c r="E5538" s="1" t="s">
        <v>113</v>
      </c>
      <c r="F5538" s="1" t="s">
        <v>113</v>
      </c>
      <c r="G5538" s="1" t="s">
        <v>113</v>
      </c>
      <c r="H5538" s="1" t="str">
        <f>VLOOKUP(F5538,Countries!$A$1:$B$161,2,0)</f>
        <v>United States of America</v>
      </c>
    </row>
    <row r="5539" spans="1:8" x14ac:dyDescent="0.3">
      <c r="A5539" s="3">
        <v>46241.261782407397</v>
      </c>
      <c r="B5539" s="1">
        <v>14.77</v>
      </c>
      <c r="C5539" s="1">
        <v>12.82</v>
      </c>
      <c r="D5539" s="1">
        <v>0.93</v>
      </c>
      <c r="E5539" s="1" t="s">
        <v>113</v>
      </c>
      <c r="F5539" s="1" t="s">
        <v>113</v>
      </c>
      <c r="G5539" s="1" t="s">
        <v>113</v>
      </c>
      <c r="H5539" s="1" t="str">
        <f>VLOOKUP(F5539,Countries!$A$1:$B$161,2,0)</f>
        <v>United States of America</v>
      </c>
    </row>
    <row r="5540" spans="1:8" x14ac:dyDescent="0.3">
      <c r="A5540" s="3">
        <v>46241.260682870372</v>
      </c>
      <c r="B5540" s="1">
        <v>43.43</v>
      </c>
      <c r="C5540" s="1">
        <v>37.69</v>
      </c>
      <c r="D5540" s="1">
        <v>1.57</v>
      </c>
      <c r="E5540" s="1" t="s">
        <v>146</v>
      </c>
      <c r="F5540" s="1" t="s">
        <v>123</v>
      </c>
      <c r="G5540" s="1" t="s">
        <v>123</v>
      </c>
      <c r="H5540" s="1" t="str">
        <f>VLOOKUP(F5540,Countries!$A$1:$B$161,2,0)</f>
        <v>France</v>
      </c>
    </row>
    <row r="5541" spans="1:8" x14ac:dyDescent="0.3">
      <c r="A5541" s="3">
        <v>46241.260231481479</v>
      </c>
      <c r="B5541" s="1">
        <v>1.99</v>
      </c>
      <c r="C5541" s="1">
        <v>1.73</v>
      </c>
      <c r="D5541" s="1">
        <v>0.34</v>
      </c>
      <c r="E5541" s="1" t="s">
        <v>127</v>
      </c>
      <c r="F5541" s="1" t="s">
        <v>127</v>
      </c>
      <c r="G5541" s="1" t="s">
        <v>127</v>
      </c>
      <c r="H5541" s="1" t="str">
        <f>VLOOKUP(F5541,Countries!$A$1:$B$161,2,0)</f>
        <v>Puerto Rico</v>
      </c>
    </row>
    <row r="5542" spans="1:8" x14ac:dyDescent="0.3">
      <c r="A5542" s="3">
        <v>46241.257557870369</v>
      </c>
      <c r="B5542" s="1">
        <v>1.99</v>
      </c>
      <c r="C5542" s="1">
        <v>1.73</v>
      </c>
      <c r="D5542" s="1">
        <v>0.31</v>
      </c>
      <c r="E5542" s="1" t="s">
        <v>146</v>
      </c>
      <c r="F5542" s="1" t="s">
        <v>123</v>
      </c>
      <c r="G5542" s="1" t="s">
        <v>123</v>
      </c>
      <c r="H5542" s="1" t="str">
        <f>VLOOKUP(F5542,Countries!$A$1:$B$161,2,0)</f>
        <v>France</v>
      </c>
    </row>
    <row r="5543" spans="1:8" x14ac:dyDescent="0.3">
      <c r="A5543" s="3">
        <v>46241.255219907413</v>
      </c>
      <c r="B5543" s="1">
        <v>14.77</v>
      </c>
      <c r="C5543" s="1">
        <v>12.82</v>
      </c>
      <c r="D5543" s="1">
        <v>0.93</v>
      </c>
      <c r="E5543" s="1" t="s">
        <v>113</v>
      </c>
      <c r="F5543" s="1" t="s">
        <v>113</v>
      </c>
      <c r="G5543" s="1" t="s">
        <v>113</v>
      </c>
      <c r="H5543" s="1" t="str">
        <f>VLOOKUP(F5543,Countries!$A$1:$B$161,2,0)</f>
        <v>United States of America</v>
      </c>
    </row>
    <row r="5544" spans="1:8" x14ac:dyDescent="0.3">
      <c r="A5544" s="3">
        <v>46241.25513888889</v>
      </c>
      <c r="B5544" s="1">
        <v>10.62</v>
      </c>
      <c r="C5544" s="1">
        <v>9.2200000000000006</v>
      </c>
      <c r="D5544" s="1">
        <v>0.73</v>
      </c>
      <c r="E5544" s="1" t="s">
        <v>113</v>
      </c>
      <c r="F5544" s="1" t="s">
        <v>113</v>
      </c>
      <c r="G5544" s="1" t="s">
        <v>113</v>
      </c>
      <c r="H5544" s="1" t="str">
        <f>VLOOKUP(F5544,Countries!$A$1:$B$161,2,0)</f>
        <v>United States of America</v>
      </c>
    </row>
    <row r="5545" spans="1:8" x14ac:dyDescent="0.3">
      <c r="A5545" s="3">
        <v>46241.254560185182</v>
      </c>
      <c r="B5545" s="1">
        <v>6.37</v>
      </c>
      <c r="C5545" s="1">
        <v>5.53</v>
      </c>
      <c r="D5545" s="1">
        <v>0.54</v>
      </c>
      <c r="E5545" s="1" t="s">
        <v>113</v>
      </c>
      <c r="F5545" s="1" t="s">
        <v>113</v>
      </c>
      <c r="G5545" s="1" t="s">
        <v>113</v>
      </c>
      <c r="H5545" s="1" t="str">
        <f>VLOOKUP(F5545,Countries!$A$1:$B$161,2,0)</f>
        <v>United States of America</v>
      </c>
    </row>
    <row r="5546" spans="1:8" x14ac:dyDescent="0.3">
      <c r="A5546" s="3">
        <v>46241.254317129627</v>
      </c>
      <c r="B5546" s="1">
        <v>6.37</v>
      </c>
      <c r="C5546" s="1">
        <v>5.53</v>
      </c>
      <c r="D5546" s="1">
        <v>0.54</v>
      </c>
      <c r="E5546" s="1" t="s">
        <v>113</v>
      </c>
      <c r="F5546" s="1" t="s">
        <v>113</v>
      </c>
      <c r="G5546" s="1" t="s">
        <v>113</v>
      </c>
      <c r="H5546" s="1" t="str">
        <f>VLOOKUP(F5546,Countries!$A$1:$B$161,2,0)</f>
        <v>United States of America</v>
      </c>
    </row>
    <row r="5547" spans="1:8" x14ac:dyDescent="0.3">
      <c r="A5547" s="3">
        <v>46241.249131944453</v>
      </c>
      <c r="B5547" s="1">
        <v>14.77</v>
      </c>
      <c r="C5547" s="1">
        <v>12.82</v>
      </c>
      <c r="D5547" s="1">
        <v>0.93</v>
      </c>
      <c r="E5547" s="1" t="s">
        <v>113</v>
      </c>
      <c r="F5547" s="1" t="s">
        <v>113</v>
      </c>
      <c r="G5547" s="1" t="s">
        <v>113</v>
      </c>
      <c r="H5547" s="1" t="str">
        <f>VLOOKUP(F5547,Countries!$A$1:$B$161,2,0)</f>
        <v>United States of America</v>
      </c>
    </row>
    <row r="5548" spans="1:8" x14ac:dyDescent="0.3">
      <c r="A5548" s="3">
        <v>46241.24832175926</v>
      </c>
      <c r="B5548" s="1">
        <v>14.77</v>
      </c>
      <c r="C5548" s="1">
        <v>12.82</v>
      </c>
      <c r="D5548" s="1">
        <v>0.93</v>
      </c>
      <c r="E5548" s="1" t="s">
        <v>113</v>
      </c>
      <c r="F5548" s="1" t="s">
        <v>113</v>
      </c>
      <c r="G5548" s="1" t="s">
        <v>113</v>
      </c>
      <c r="H5548" s="1" t="str">
        <f>VLOOKUP(F5548,Countries!$A$1:$B$161,2,0)</f>
        <v>United States of America</v>
      </c>
    </row>
    <row r="5549" spans="1:8" x14ac:dyDescent="0.3">
      <c r="A5549" s="3">
        <v>46241.238611111112</v>
      </c>
      <c r="B5549" s="1">
        <v>6.37</v>
      </c>
      <c r="C5549" s="1">
        <v>5.53</v>
      </c>
      <c r="D5549" s="1">
        <v>0.54</v>
      </c>
      <c r="E5549" s="1" t="s">
        <v>113</v>
      </c>
      <c r="F5549" s="1" t="s">
        <v>113</v>
      </c>
      <c r="G5549" s="1" t="s">
        <v>113</v>
      </c>
      <c r="H5549" s="1" t="str">
        <f>VLOOKUP(F5549,Countries!$A$1:$B$161,2,0)</f>
        <v>United States of America</v>
      </c>
    </row>
    <row r="5550" spans="1:8" x14ac:dyDescent="0.3">
      <c r="A5550" s="3">
        <v>46241.237824074073</v>
      </c>
      <c r="B5550" s="1">
        <v>6.37</v>
      </c>
      <c r="C5550" s="1">
        <v>5.53</v>
      </c>
      <c r="D5550" s="1">
        <v>0.54</v>
      </c>
      <c r="E5550" s="1" t="s">
        <v>113</v>
      </c>
      <c r="F5550" s="1" t="s">
        <v>113</v>
      </c>
      <c r="G5550" s="1" t="s">
        <v>113</v>
      </c>
      <c r="H5550" s="1" t="str">
        <f>VLOOKUP(F5550,Countries!$A$1:$B$161,2,0)</f>
        <v>United States of America</v>
      </c>
    </row>
    <row r="5551" spans="1:8" x14ac:dyDescent="0.3">
      <c r="A5551" s="3">
        <v>46241.236064814817</v>
      </c>
      <c r="B5551" s="1">
        <v>6.65</v>
      </c>
      <c r="C5551" s="1">
        <v>5.77</v>
      </c>
      <c r="D5551" s="1">
        <v>0.56000000000000005</v>
      </c>
      <c r="E5551" s="1" t="s">
        <v>121</v>
      </c>
      <c r="F5551" s="1" t="s">
        <v>121</v>
      </c>
      <c r="G5551" s="1" t="s">
        <v>121</v>
      </c>
      <c r="H5551" s="1" t="str">
        <f>VLOOKUP(F5551,Countries!$A$1:$B$161,2,0)</f>
        <v>Japan</v>
      </c>
    </row>
    <row r="5552" spans="1:8" x14ac:dyDescent="0.3">
      <c r="A5552" s="3">
        <v>46241.234432870369</v>
      </c>
      <c r="B5552" s="1">
        <v>10.62</v>
      </c>
      <c r="C5552" s="1">
        <v>9.2200000000000006</v>
      </c>
      <c r="D5552" s="1">
        <v>0.73</v>
      </c>
      <c r="E5552" s="1" t="s">
        <v>113</v>
      </c>
      <c r="F5552" s="1" t="s">
        <v>113</v>
      </c>
      <c r="G5552" s="1" t="s">
        <v>113</v>
      </c>
      <c r="H5552" s="1" t="str">
        <f>VLOOKUP(F5552,Countries!$A$1:$B$161,2,0)</f>
        <v>United States of America</v>
      </c>
    </row>
    <row r="5553" spans="1:8" x14ac:dyDescent="0.3">
      <c r="A5553" s="3">
        <v>46241.227106481478</v>
      </c>
      <c r="B5553" s="1">
        <v>6.3</v>
      </c>
      <c r="C5553" s="1">
        <v>5.47</v>
      </c>
      <c r="D5553" s="1">
        <v>0.54</v>
      </c>
      <c r="E5553" s="1" t="s">
        <v>132</v>
      </c>
      <c r="F5553" s="1" t="s">
        <v>132</v>
      </c>
      <c r="G5553" s="1" t="s">
        <v>132</v>
      </c>
      <c r="H5553" s="1" t="str">
        <f>VLOOKUP(F5553,Countries!$A$1:$B$161,2,0)</f>
        <v>Canada</v>
      </c>
    </row>
    <row r="5554" spans="1:8" x14ac:dyDescent="0.3">
      <c r="A5554" s="3">
        <v>46241.217974537038</v>
      </c>
      <c r="B5554" s="1">
        <v>5.99</v>
      </c>
      <c r="C5554" s="1">
        <v>5.2</v>
      </c>
      <c r="D5554" s="1">
        <v>0.52</v>
      </c>
      <c r="E5554" s="1" t="s">
        <v>134</v>
      </c>
      <c r="F5554" s="1" t="s">
        <v>134</v>
      </c>
      <c r="G5554" s="1" t="s">
        <v>134</v>
      </c>
      <c r="H5554" s="1" t="str">
        <f>VLOOKUP(F5554,Countries!$A$1:$B$161,2,0)</f>
        <v>Hong Kong</v>
      </c>
    </row>
    <row r="5555" spans="1:8" x14ac:dyDescent="0.3">
      <c r="A5555" s="3">
        <v>46241.215949074067</v>
      </c>
      <c r="B5555" s="1">
        <v>2.99</v>
      </c>
      <c r="C5555" s="1">
        <v>2.59</v>
      </c>
      <c r="D5555" s="1">
        <v>0.38</v>
      </c>
      <c r="E5555" s="1" t="s">
        <v>113</v>
      </c>
      <c r="F5555" s="1" t="s">
        <v>113</v>
      </c>
      <c r="G5555" s="1" t="s">
        <v>113</v>
      </c>
      <c r="H5555" s="1" t="str">
        <f>VLOOKUP(F5555,Countries!$A$1:$B$161,2,0)</f>
        <v>United States of America</v>
      </c>
    </row>
    <row r="5556" spans="1:8" x14ac:dyDescent="0.3">
      <c r="A5556" s="3">
        <v>46241.207650462973</v>
      </c>
      <c r="B5556" s="1">
        <v>6.37</v>
      </c>
      <c r="C5556" s="1">
        <v>5.53</v>
      </c>
      <c r="D5556" s="1">
        <v>0.54</v>
      </c>
      <c r="E5556" s="1" t="s">
        <v>113</v>
      </c>
      <c r="F5556" s="1" t="s">
        <v>113</v>
      </c>
      <c r="G5556" s="1" t="s">
        <v>113</v>
      </c>
      <c r="H5556" s="1" t="str">
        <f>VLOOKUP(F5556,Countries!$A$1:$B$161,2,0)</f>
        <v>United States of America</v>
      </c>
    </row>
    <row r="5557" spans="1:8" x14ac:dyDescent="0.3">
      <c r="A5557" s="3">
        <v>46241.200069444443</v>
      </c>
      <c r="B5557" s="1">
        <v>2.11</v>
      </c>
      <c r="C5557" s="1">
        <v>1.83</v>
      </c>
      <c r="D5557" s="1">
        <v>0.35</v>
      </c>
      <c r="E5557" s="1" t="s">
        <v>113</v>
      </c>
      <c r="F5557" s="1" t="s">
        <v>113</v>
      </c>
      <c r="G5557" s="1" t="s">
        <v>113</v>
      </c>
      <c r="H5557" s="1" t="str">
        <f>VLOOKUP(F5557,Countries!$A$1:$B$161,2,0)</f>
        <v>United States of America</v>
      </c>
    </row>
    <row r="5558" spans="1:8" x14ac:dyDescent="0.3">
      <c r="A5558" s="3">
        <v>46241.18209490741</v>
      </c>
      <c r="B5558" s="1">
        <v>1.99</v>
      </c>
      <c r="C5558" s="1">
        <v>1.73</v>
      </c>
      <c r="D5558" s="1">
        <v>0.34</v>
      </c>
      <c r="E5558" s="1" t="s">
        <v>148</v>
      </c>
      <c r="F5558" s="1" t="s">
        <v>148</v>
      </c>
      <c r="G5558" s="1" t="s">
        <v>148</v>
      </c>
      <c r="H5558" s="1" t="str">
        <f>VLOOKUP(F5558,Countries!$A$1:$B$161,2,0)</f>
        <v>Honduras</v>
      </c>
    </row>
    <row r="5559" spans="1:8" x14ac:dyDescent="0.3">
      <c r="A5559" s="3">
        <v>46241.176805555559</v>
      </c>
      <c r="B5559" s="1">
        <v>6.37</v>
      </c>
      <c r="C5559" s="1">
        <v>5.53</v>
      </c>
      <c r="D5559" s="1">
        <v>0.54</v>
      </c>
      <c r="E5559" s="1" t="s">
        <v>113</v>
      </c>
      <c r="F5559" s="1" t="s">
        <v>113</v>
      </c>
      <c r="G5559" s="1" t="s">
        <v>113</v>
      </c>
      <c r="H5559" s="1" t="str">
        <f>VLOOKUP(F5559,Countries!$A$1:$B$161,2,0)</f>
        <v>United States of America</v>
      </c>
    </row>
    <row r="5560" spans="1:8" x14ac:dyDescent="0.3">
      <c r="A5560" s="3">
        <v>46241.173020833332</v>
      </c>
      <c r="B5560" s="1">
        <v>19.98</v>
      </c>
      <c r="C5560" s="1">
        <v>17.34</v>
      </c>
      <c r="D5560" s="1">
        <v>1.03</v>
      </c>
      <c r="E5560" s="1" t="s">
        <v>119</v>
      </c>
      <c r="F5560" s="1" t="s">
        <v>119</v>
      </c>
      <c r="G5560" s="1" t="s">
        <v>119</v>
      </c>
      <c r="H5560" s="1" t="str">
        <f>VLOOKUP(F5560,Countries!$A$1:$B$161,2,0)</f>
        <v>Great Britain (United Kingdom)</v>
      </c>
    </row>
    <row r="5561" spans="1:8" x14ac:dyDescent="0.3">
      <c r="A5561" s="3">
        <v>46241.159317129634</v>
      </c>
      <c r="B5561" s="1">
        <v>7.04</v>
      </c>
      <c r="C5561" s="1">
        <v>6.11</v>
      </c>
      <c r="D5561" s="1">
        <v>0.56999999999999995</v>
      </c>
      <c r="E5561" s="1" t="s">
        <v>163</v>
      </c>
      <c r="F5561" s="1" t="s">
        <v>163</v>
      </c>
      <c r="G5561" s="1" t="s">
        <v>163</v>
      </c>
      <c r="H5561" s="1" t="str">
        <f>VLOOKUP(F5561,Countries!$A$1:$B$161,2,0)</f>
        <v>Saudi Arabia</v>
      </c>
    </row>
    <row r="5562" spans="1:8" x14ac:dyDescent="0.3">
      <c r="A5562" s="3">
        <v>46241.158599537041</v>
      </c>
      <c r="B5562" s="1">
        <v>10.63</v>
      </c>
      <c r="C5562" s="1">
        <v>9.23</v>
      </c>
      <c r="D5562" s="1">
        <v>0.73</v>
      </c>
      <c r="E5562" s="1" t="s">
        <v>113</v>
      </c>
      <c r="F5562" s="1" t="s">
        <v>113</v>
      </c>
      <c r="G5562" s="1" t="s">
        <v>113</v>
      </c>
      <c r="H5562" s="1" t="str">
        <f>VLOOKUP(F5562,Countries!$A$1:$B$161,2,0)</f>
        <v>United States of America</v>
      </c>
    </row>
    <row r="5563" spans="1:8" x14ac:dyDescent="0.3">
      <c r="A5563" s="3">
        <v>46241.158495370371</v>
      </c>
      <c r="B5563" s="1">
        <v>14.77</v>
      </c>
      <c r="C5563" s="1">
        <v>12.82</v>
      </c>
      <c r="D5563" s="1">
        <v>0.93</v>
      </c>
      <c r="E5563" s="1" t="s">
        <v>113</v>
      </c>
      <c r="F5563" s="1" t="s">
        <v>113</v>
      </c>
      <c r="G5563" s="1" t="s">
        <v>113</v>
      </c>
      <c r="H5563" s="1" t="str">
        <f>VLOOKUP(F5563,Countries!$A$1:$B$161,2,0)</f>
        <v>United States of America</v>
      </c>
    </row>
    <row r="5564" spans="1:8" x14ac:dyDescent="0.3">
      <c r="A5564" s="3">
        <v>46241.156284722223</v>
      </c>
      <c r="B5564" s="1">
        <v>14.78</v>
      </c>
      <c r="C5564" s="1">
        <v>12.83</v>
      </c>
      <c r="D5564" s="1">
        <v>0.93</v>
      </c>
      <c r="E5564" s="1" t="s">
        <v>113</v>
      </c>
      <c r="F5564" s="1" t="s">
        <v>113</v>
      </c>
      <c r="G5564" s="1" t="s">
        <v>113</v>
      </c>
      <c r="H5564" s="1" t="str">
        <f>VLOOKUP(F5564,Countries!$A$1:$B$161,2,0)</f>
        <v>United States of America</v>
      </c>
    </row>
    <row r="5565" spans="1:8" x14ac:dyDescent="0.3">
      <c r="A5565" s="3">
        <v>46241.154780092591</v>
      </c>
      <c r="B5565" s="1">
        <v>96.11</v>
      </c>
      <c r="C5565" s="1">
        <v>83.41</v>
      </c>
      <c r="D5565" s="1">
        <v>4.63</v>
      </c>
      <c r="E5565" s="1" t="s">
        <v>113</v>
      </c>
      <c r="F5565" s="1" t="s">
        <v>113</v>
      </c>
      <c r="G5565" s="1" t="s">
        <v>113</v>
      </c>
      <c r="H5565" s="1" t="str">
        <f>VLOOKUP(F5565,Countries!$A$1:$B$161,2,0)</f>
        <v>United States of America</v>
      </c>
    </row>
    <row r="5566" spans="1:8" x14ac:dyDescent="0.3">
      <c r="A5566" s="3">
        <v>46241.151504629634</v>
      </c>
      <c r="B5566" s="1">
        <v>10.63</v>
      </c>
      <c r="C5566" s="1">
        <v>9.23</v>
      </c>
      <c r="D5566" s="1">
        <v>0.73</v>
      </c>
      <c r="E5566" s="1" t="s">
        <v>113</v>
      </c>
      <c r="F5566" s="1" t="s">
        <v>113</v>
      </c>
      <c r="G5566" s="1" t="s">
        <v>113</v>
      </c>
      <c r="H5566" s="1" t="str">
        <f>VLOOKUP(F5566,Countries!$A$1:$B$161,2,0)</f>
        <v>United States of America</v>
      </c>
    </row>
    <row r="5567" spans="1:8" x14ac:dyDescent="0.3">
      <c r="A5567" s="3">
        <v>46241.147812499999</v>
      </c>
      <c r="B5567" s="1">
        <v>10.63</v>
      </c>
      <c r="C5567" s="1">
        <v>9.23</v>
      </c>
      <c r="D5567" s="1">
        <v>0.73</v>
      </c>
      <c r="E5567" s="1" t="s">
        <v>113</v>
      </c>
      <c r="F5567" s="1" t="s">
        <v>113</v>
      </c>
      <c r="G5567" s="1" t="s">
        <v>113</v>
      </c>
      <c r="H5567" s="1" t="str">
        <f>VLOOKUP(F5567,Countries!$A$1:$B$161,2,0)</f>
        <v>United States of America</v>
      </c>
    </row>
    <row r="5568" spans="1:8" x14ac:dyDescent="0.3">
      <c r="A5568" s="3">
        <v>46241.147175925929</v>
      </c>
      <c r="B5568" s="1">
        <v>4.24</v>
      </c>
      <c r="C5568" s="1">
        <v>3.68</v>
      </c>
      <c r="D5568" s="1">
        <v>0.44</v>
      </c>
      <c r="E5568" s="1" t="s">
        <v>113</v>
      </c>
      <c r="F5568" s="1" t="s">
        <v>113</v>
      </c>
      <c r="G5568" s="1" t="s">
        <v>113</v>
      </c>
      <c r="H5568" s="1" t="str">
        <f>VLOOKUP(F5568,Countries!$A$1:$B$161,2,0)</f>
        <v>United States of America</v>
      </c>
    </row>
    <row r="5569" spans="1:8" x14ac:dyDescent="0.3">
      <c r="A5569" s="3">
        <v>46241.144085648149</v>
      </c>
      <c r="B5569" s="1">
        <v>14.77</v>
      </c>
      <c r="C5569" s="1">
        <v>12.82</v>
      </c>
      <c r="D5569" s="1">
        <v>0.93</v>
      </c>
      <c r="E5569" s="1" t="s">
        <v>113</v>
      </c>
      <c r="F5569" s="1" t="s">
        <v>113</v>
      </c>
      <c r="G5569" s="1" t="s">
        <v>113</v>
      </c>
      <c r="H5569" s="1" t="str">
        <f>VLOOKUP(F5569,Countries!$A$1:$B$161,2,0)</f>
        <v>United States of America</v>
      </c>
    </row>
    <row r="5570" spans="1:8" x14ac:dyDescent="0.3">
      <c r="A5570" s="3">
        <v>46241.144016203703</v>
      </c>
      <c r="B5570" s="1">
        <v>6.65</v>
      </c>
      <c r="C5570" s="1">
        <v>5.77</v>
      </c>
      <c r="D5570" s="1">
        <v>0.56000000000000005</v>
      </c>
      <c r="E5570" s="1" t="s">
        <v>130</v>
      </c>
      <c r="F5570" s="1" t="s">
        <v>130</v>
      </c>
      <c r="G5570" s="1" t="s">
        <v>130</v>
      </c>
      <c r="H5570" s="1" t="str">
        <f>VLOOKUP(F5570,Countries!$A$1:$B$161,2,0)</f>
        <v>Australia</v>
      </c>
    </row>
    <row r="5571" spans="1:8" x14ac:dyDescent="0.3">
      <c r="A5571" s="3">
        <v>46241.134606481479</v>
      </c>
      <c r="B5571" s="1">
        <v>66.540000000000006</v>
      </c>
      <c r="C5571" s="1">
        <v>57.75</v>
      </c>
      <c r="D5571" s="1">
        <v>3.29</v>
      </c>
      <c r="E5571" s="1" t="s">
        <v>113</v>
      </c>
      <c r="F5571" s="1" t="s">
        <v>113</v>
      </c>
      <c r="G5571" s="1" t="s">
        <v>113</v>
      </c>
      <c r="H5571" s="1" t="str">
        <f>VLOOKUP(F5571,Countries!$A$1:$B$161,2,0)</f>
        <v>United States of America</v>
      </c>
    </row>
    <row r="5572" spans="1:8" x14ac:dyDescent="0.3">
      <c r="A5572" s="3">
        <v>46241.134606481479</v>
      </c>
      <c r="B5572" s="1">
        <v>2.48</v>
      </c>
      <c r="C5572" s="1">
        <v>2.15</v>
      </c>
      <c r="D5572" s="1">
        <v>0.34</v>
      </c>
      <c r="E5572" s="1" t="s">
        <v>176</v>
      </c>
      <c r="F5572" s="1" t="s">
        <v>119</v>
      </c>
      <c r="G5572" s="1" t="s">
        <v>119</v>
      </c>
      <c r="H5572" s="1" t="str">
        <f>VLOOKUP(F5572,Countries!$A$1:$B$161,2,0)</f>
        <v>Great Britain (United Kingdom)</v>
      </c>
    </row>
    <row r="5573" spans="1:8" x14ac:dyDescent="0.3">
      <c r="A5573" s="3">
        <v>46241.120150462957</v>
      </c>
      <c r="B5573" s="1">
        <v>7.48</v>
      </c>
      <c r="C5573" s="1">
        <v>6.49</v>
      </c>
      <c r="D5573" s="1">
        <v>0.48</v>
      </c>
      <c r="E5573" s="1" t="s">
        <v>123</v>
      </c>
      <c r="F5573" s="1" t="s">
        <v>123</v>
      </c>
      <c r="G5573" s="1" t="s">
        <v>123</v>
      </c>
      <c r="H5573" s="1" t="str">
        <f>VLOOKUP(F5573,Countries!$A$1:$B$161,2,0)</f>
        <v>France</v>
      </c>
    </row>
    <row r="5574" spans="1:8" x14ac:dyDescent="0.3">
      <c r="A5574" s="3">
        <v>46241.116307870368</v>
      </c>
      <c r="B5574" s="1">
        <v>6.37</v>
      </c>
      <c r="C5574" s="1">
        <v>5.53</v>
      </c>
      <c r="D5574" s="1">
        <v>0.54</v>
      </c>
      <c r="E5574" s="1" t="s">
        <v>113</v>
      </c>
      <c r="F5574" s="1" t="s">
        <v>113</v>
      </c>
      <c r="G5574" s="1" t="s">
        <v>113</v>
      </c>
      <c r="H5574" s="1" t="str">
        <f>VLOOKUP(F5574,Countries!$A$1:$B$161,2,0)</f>
        <v>United States of America</v>
      </c>
    </row>
    <row r="5575" spans="1:8" x14ac:dyDescent="0.3">
      <c r="A5575" s="3">
        <v>46241.103472222218</v>
      </c>
      <c r="B5575" s="1">
        <v>14.77</v>
      </c>
      <c r="C5575" s="1">
        <v>12.82</v>
      </c>
      <c r="D5575" s="1">
        <v>0.93</v>
      </c>
      <c r="E5575" s="1" t="s">
        <v>113</v>
      </c>
      <c r="F5575" s="1" t="s">
        <v>113</v>
      </c>
      <c r="G5575" s="1" t="s">
        <v>113</v>
      </c>
      <c r="H5575" s="1" t="str">
        <f>VLOOKUP(F5575,Countries!$A$1:$B$161,2,0)</f>
        <v>United States of America</v>
      </c>
    </row>
    <row r="5576" spans="1:8" x14ac:dyDescent="0.3">
      <c r="A5576" s="3">
        <v>46241.102037037039</v>
      </c>
      <c r="B5576" s="1">
        <v>14.78</v>
      </c>
      <c r="C5576" s="1">
        <v>12.83</v>
      </c>
      <c r="D5576" s="1">
        <v>0.93</v>
      </c>
      <c r="E5576" s="1" t="s">
        <v>113</v>
      </c>
      <c r="F5576" s="1" t="s">
        <v>113</v>
      </c>
      <c r="G5576" s="1" t="s">
        <v>113</v>
      </c>
      <c r="H5576" s="1" t="str">
        <f>VLOOKUP(F5576,Countries!$A$1:$B$161,2,0)</f>
        <v>United States of America</v>
      </c>
    </row>
    <row r="5577" spans="1:8" x14ac:dyDescent="0.3">
      <c r="A5577" s="3">
        <v>46241.101435185177</v>
      </c>
      <c r="B5577" s="1">
        <v>14.78</v>
      </c>
      <c r="C5577" s="1">
        <v>12.83</v>
      </c>
      <c r="D5577" s="1">
        <v>0.93</v>
      </c>
      <c r="E5577" s="1" t="s">
        <v>113</v>
      </c>
      <c r="F5577" s="1" t="s">
        <v>113</v>
      </c>
      <c r="G5577" s="1" t="s">
        <v>113</v>
      </c>
      <c r="H5577" s="1" t="str">
        <f>VLOOKUP(F5577,Countries!$A$1:$B$161,2,0)</f>
        <v>United States of America</v>
      </c>
    </row>
    <row r="5578" spans="1:8" x14ac:dyDescent="0.3">
      <c r="A5578" s="3">
        <v>46241.10083333333</v>
      </c>
      <c r="B5578" s="1">
        <v>81.319999999999993</v>
      </c>
      <c r="C5578" s="1">
        <v>70.58</v>
      </c>
      <c r="D5578" s="1">
        <v>3.95</v>
      </c>
      <c r="E5578" s="1" t="s">
        <v>113</v>
      </c>
      <c r="F5578" s="1" t="s">
        <v>113</v>
      </c>
      <c r="G5578" s="1" t="s">
        <v>113</v>
      </c>
      <c r="H5578" s="1" t="str">
        <f>VLOOKUP(F5578,Countries!$A$1:$B$161,2,0)</f>
        <v>United States of America</v>
      </c>
    </row>
    <row r="5579" spans="1:8" x14ac:dyDescent="0.3">
      <c r="A5579" s="3">
        <v>46241.100624999999</v>
      </c>
      <c r="B5579" s="1">
        <v>29.57</v>
      </c>
      <c r="C5579" s="1">
        <v>25.66</v>
      </c>
      <c r="D5579" s="1">
        <v>1.59</v>
      </c>
      <c r="E5579" s="1" t="s">
        <v>113</v>
      </c>
      <c r="F5579" s="1" t="s">
        <v>113</v>
      </c>
      <c r="G5579" s="1" t="s">
        <v>113</v>
      </c>
      <c r="H5579" s="1" t="str">
        <f>VLOOKUP(F5579,Countries!$A$1:$B$161,2,0)</f>
        <v>United States of America</v>
      </c>
    </row>
    <row r="5580" spans="1:8" x14ac:dyDescent="0.3">
      <c r="A5580" s="3">
        <v>46241.096909722219</v>
      </c>
      <c r="B5580" s="1">
        <v>7.48</v>
      </c>
      <c r="C5580" s="1">
        <v>6.49</v>
      </c>
      <c r="D5580" s="1">
        <v>0.54</v>
      </c>
      <c r="E5580" s="1" t="s">
        <v>119</v>
      </c>
      <c r="F5580" s="1" t="s">
        <v>119</v>
      </c>
      <c r="G5580" s="1" t="s">
        <v>119</v>
      </c>
      <c r="H5580" s="1" t="str">
        <f>VLOOKUP(F5580,Countries!$A$1:$B$161,2,0)</f>
        <v>Great Britain (United Kingdom)</v>
      </c>
    </row>
    <row r="5581" spans="1:8" x14ac:dyDescent="0.3">
      <c r="A5581" s="3">
        <v>46241.093993055547</v>
      </c>
      <c r="B5581" s="1">
        <v>3.99</v>
      </c>
      <c r="C5581" s="1">
        <v>3.46</v>
      </c>
      <c r="D5581" s="1">
        <v>0.43</v>
      </c>
      <c r="E5581" s="1" t="s">
        <v>113</v>
      </c>
      <c r="F5581" s="1" t="s">
        <v>113</v>
      </c>
      <c r="G5581" s="1" t="s">
        <v>113</v>
      </c>
      <c r="H5581" s="1" t="str">
        <f>VLOOKUP(F5581,Countries!$A$1:$B$161,2,0)</f>
        <v>United States of America</v>
      </c>
    </row>
    <row r="5582" spans="1:8" x14ac:dyDescent="0.3">
      <c r="A5582" s="3">
        <v>46241.093680555547</v>
      </c>
      <c r="B5582" s="1">
        <v>6.37</v>
      </c>
      <c r="C5582" s="1">
        <v>5.53</v>
      </c>
      <c r="D5582" s="1">
        <v>0.54</v>
      </c>
      <c r="E5582" s="1" t="s">
        <v>113</v>
      </c>
      <c r="F5582" s="1" t="s">
        <v>113</v>
      </c>
      <c r="G5582" s="1" t="s">
        <v>113</v>
      </c>
      <c r="H5582" s="1" t="str">
        <f>VLOOKUP(F5582,Countries!$A$1:$B$161,2,0)</f>
        <v>United States of America</v>
      </c>
    </row>
    <row r="5583" spans="1:8" x14ac:dyDescent="0.3">
      <c r="A5583" s="3">
        <v>46241.093518518523</v>
      </c>
      <c r="B5583" s="1">
        <v>7.99</v>
      </c>
      <c r="C5583" s="1">
        <v>6.93</v>
      </c>
      <c r="D5583" s="1">
        <v>0.62</v>
      </c>
      <c r="E5583" s="1" t="s">
        <v>113</v>
      </c>
      <c r="F5583" s="1" t="s">
        <v>113</v>
      </c>
      <c r="G5583" s="1" t="s">
        <v>113</v>
      </c>
      <c r="H5583" s="1" t="str">
        <f>VLOOKUP(F5583,Countries!$A$1:$B$161,2,0)</f>
        <v>United States of America</v>
      </c>
    </row>
    <row r="5584" spans="1:8" x14ac:dyDescent="0.3">
      <c r="A5584" s="3">
        <v>46241.084699074083</v>
      </c>
      <c r="B5584" s="1">
        <v>2.5099999999999998</v>
      </c>
      <c r="C5584" s="1">
        <v>2.1800000000000002</v>
      </c>
      <c r="D5584" s="1">
        <v>0.32</v>
      </c>
      <c r="E5584" s="1" t="s">
        <v>151</v>
      </c>
      <c r="F5584" s="1" t="s">
        <v>151</v>
      </c>
      <c r="G5584" s="1" t="s">
        <v>151</v>
      </c>
      <c r="H5584" s="1" t="str">
        <f>VLOOKUP(F5584,Countries!$A$1:$B$161,2,0)</f>
        <v>Netherlands (Holland)</v>
      </c>
    </row>
    <row r="5585" spans="1:8" x14ac:dyDescent="0.3">
      <c r="A5585" s="3">
        <v>46241.077881944453</v>
      </c>
      <c r="B5585" s="1">
        <v>7.04</v>
      </c>
      <c r="C5585" s="1">
        <v>6.11</v>
      </c>
      <c r="D5585" s="1">
        <v>0.56999999999999995</v>
      </c>
      <c r="E5585" s="1" t="s">
        <v>163</v>
      </c>
      <c r="F5585" s="1" t="s">
        <v>163</v>
      </c>
      <c r="G5585" s="1" t="s">
        <v>163</v>
      </c>
      <c r="H5585" s="1" t="str">
        <f>VLOOKUP(F5585,Countries!$A$1:$B$161,2,0)</f>
        <v>Saudi Arabia</v>
      </c>
    </row>
    <row r="5586" spans="1:8" x14ac:dyDescent="0.3">
      <c r="A5586" s="3">
        <v>46241.076423611114</v>
      </c>
      <c r="B5586" s="1">
        <v>8.8699999999999992</v>
      </c>
      <c r="C5586" s="1">
        <v>7.7</v>
      </c>
      <c r="D5586" s="1">
        <v>0.65</v>
      </c>
      <c r="E5586" s="1" t="s">
        <v>121</v>
      </c>
      <c r="F5586" s="1" t="s">
        <v>121</v>
      </c>
      <c r="G5586" s="1" t="s">
        <v>121</v>
      </c>
      <c r="H5586" s="1" t="str">
        <f>VLOOKUP(F5586,Countries!$A$1:$B$161,2,0)</f>
        <v>Japan</v>
      </c>
    </row>
    <row r="5587" spans="1:8" x14ac:dyDescent="0.3">
      <c r="A5587" s="3">
        <v>46241.070532407408</v>
      </c>
      <c r="B5587" s="1">
        <v>2.11</v>
      </c>
      <c r="C5587" s="1">
        <v>1.83</v>
      </c>
      <c r="D5587" s="1">
        <v>0.35</v>
      </c>
      <c r="E5587" s="1" t="s">
        <v>113</v>
      </c>
      <c r="F5587" s="1" t="s">
        <v>113</v>
      </c>
      <c r="G5587" s="1" t="s">
        <v>113</v>
      </c>
      <c r="H5587" s="1" t="str">
        <f>VLOOKUP(F5587,Countries!$A$1:$B$161,2,0)</f>
        <v>United States of America</v>
      </c>
    </row>
    <row r="5588" spans="1:8" x14ac:dyDescent="0.3">
      <c r="A5588" s="3">
        <v>46241.065682870372</v>
      </c>
      <c r="B5588" s="1">
        <v>6.37</v>
      </c>
      <c r="C5588" s="1">
        <v>5.53</v>
      </c>
      <c r="D5588" s="1">
        <v>0.54</v>
      </c>
      <c r="E5588" s="1" t="s">
        <v>113</v>
      </c>
      <c r="F5588" s="1" t="s">
        <v>113</v>
      </c>
      <c r="G5588" s="1" t="s">
        <v>113</v>
      </c>
      <c r="H5588" s="1" t="str">
        <f>VLOOKUP(F5588,Countries!$A$1:$B$161,2,0)</f>
        <v>United States of America</v>
      </c>
    </row>
    <row r="5589" spans="1:8" x14ac:dyDescent="0.3">
      <c r="A5589" s="3">
        <v>46241.058506944442</v>
      </c>
      <c r="B5589" s="1">
        <v>5.99</v>
      </c>
      <c r="C5589" s="1">
        <v>5.2</v>
      </c>
      <c r="D5589" s="1">
        <v>0.52</v>
      </c>
      <c r="E5589" s="1" t="s">
        <v>143</v>
      </c>
      <c r="F5589" s="1" t="s">
        <v>143</v>
      </c>
      <c r="G5589" s="1" t="s">
        <v>143</v>
      </c>
      <c r="H5589" s="1" t="str">
        <f>VLOOKUP(F5589,Countries!$A$1:$B$161,2,0)</f>
        <v>United Arab Emirates</v>
      </c>
    </row>
    <row r="5590" spans="1:8" x14ac:dyDescent="0.3">
      <c r="A5590" s="3">
        <v>46241.055833333332</v>
      </c>
      <c r="B5590" s="1">
        <v>3.14</v>
      </c>
      <c r="C5590" s="1">
        <v>2.73</v>
      </c>
      <c r="D5590" s="1">
        <v>0.39</v>
      </c>
      <c r="E5590" s="1" t="s">
        <v>132</v>
      </c>
      <c r="F5590" s="1" t="s">
        <v>132</v>
      </c>
      <c r="G5590" s="1" t="s">
        <v>132</v>
      </c>
      <c r="H5590" s="1" t="str">
        <f>VLOOKUP(F5590,Countries!$A$1:$B$161,2,0)</f>
        <v>Canada</v>
      </c>
    </row>
    <row r="5591" spans="1:8" x14ac:dyDescent="0.3">
      <c r="A5591" s="3">
        <v>46241.04619212963</v>
      </c>
      <c r="B5591" s="1">
        <v>7.48</v>
      </c>
      <c r="C5591" s="1">
        <v>6.49</v>
      </c>
      <c r="D5591" s="1">
        <v>0.54</v>
      </c>
      <c r="E5591" s="1" t="s">
        <v>119</v>
      </c>
      <c r="F5591" s="1" t="s">
        <v>119</v>
      </c>
      <c r="G5591" s="1" t="s">
        <v>119</v>
      </c>
      <c r="H5591" s="1" t="str">
        <f>VLOOKUP(F5591,Countries!$A$1:$B$161,2,0)</f>
        <v>Great Britain (United Kingdom)</v>
      </c>
    </row>
    <row r="5592" spans="1:8" x14ac:dyDescent="0.3">
      <c r="A5592" s="3">
        <v>46241.029062499998</v>
      </c>
      <c r="B5592" s="1">
        <v>6.37</v>
      </c>
      <c r="C5592" s="1">
        <v>5.53</v>
      </c>
      <c r="D5592" s="1">
        <v>0.54</v>
      </c>
      <c r="E5592" s="1" t="s">
        <v>113</v>
      </c>
      <c r="F5592" s="1" t="s">
        <v>113</v>
      </c>
      <c r="G5592" s="1" t="s">
        <v>113</v>
      </c>
      <c r="H5592" s="1" t="str">
        <f>VLOOKUP(F5592,Countries!$A$1:$B$161,2,0)</f>
        <v>United States of America</v>
      </c>
    </row>
    <row r="5593" spans="1:8" x14ac:dyDescent="0.3">
      <c r="A5593" s="3">
        <v>46241.019699074073</v>
      </c>
      <c r="B5593" s="1">
        <v>6.37</v>
      </c>
      <c r="C5593" s="1">
        <v>5.53</v>
      </c>
      <c r="D5593" s="1">
        <v>0.54</v>
      </c>
      <c r="E5593" s="1" t="s">
        <v>113</v>
      </c>
      <c r="F5593" s="1" t="s">
        <v>113</v>
      </c>
      <c r="G5593" s="1" t="s">
        <v>113</v>
      </c>
      <c r="H5593" s="1" t="str">
        <f>VLOOKUP(F5593,Countries!$A$1:$B$161,2,0)</f>
        <v>United States of America</v>
      </c>
    </row>
    <row r="5594" spans="1:8" x14ac:dyDescent="0.3">
      <c r="A5594" s="3">
        <v>46241.018958333327</v>
      </c>
      <c r="B5594" s="1">
        <v>10.51</v>
      </c>
      <c r="C5594" s="1">
        <v>9.1199999999999992</v>
      </c>
      <c r="D5594" s="1">
        <v>0.73</v>
      </c>
      <c r="E5594" s="1" t="s">
        <v>143</v>
      </c>
      <c r="F5594" s="1" t="s">
        <v>143</v>
      </c>
      <c r="G5594" s="1" t="s">
        <v>143</v>
      </c>
      <c r="H5594" s="1" t="str">
        <f>VLOOKUP(F5594,Countries!$A$1:$B$161,2,0)</f>
        <v>United Arab Emirates</v>
      </c>
    </row>
    <row r="5595" spans="1:8" x14ac:dyDescent="0.3">
      <c r="A5595" s="3">
        <v>46241.017395833333</v>
      </c>
      <c r="B5595" s="1">
        <v>68.42</v>
      </c>
      <c r="C5595" s="1">
        <v>59.37</v>
      </c>
      <c r="D5595" s="1">
        <v>3.37</v>
      </c>
      <c r="E5595" s="1" t="s">
        <v>143</v>
      </c>
      <c r="F5595" s="1" t="s">
        <v>143</v>
      </c>
      <c r="G5595" s="1" t="s">
        <v>143</v>
      </c>
      <c r="H5595" s="1" t="str">
        <f>VLOOKUP(F5595,Countries!$A$1:$B$161,2,0)</f>
        <v>United Arab Emirates</v>
      </c>
    </row>
    <row r="5596" spans="1:8" x14ac:dyDescent="0.3">
      <c r="A5596" s="3">
        <v>46241.011458333327</v>
      </c>
      <c r="B5596" s="1">
        <v>7.58</v>
      </c>
      <c r="C5596" s="1">
        <v>6.58</v>
      </c>
      <c r="D5596" s="1">
        <v>0.48</v>
      </c>
      <c r="E5596" s="1" t="s">
        <v>116</v>
      </c>
      <c r="F5596" s="1" t="s">
        <v>116</v>
      </c>
      <c r="G5596" s="1" t="s">
        <v>116</v>
      </c>
      <c r="H5596" s="1" t="str">
        <f>VLOOKUP(F5596,Countries!$A$1:$B$161,2,0)</f>
        <v>Spain</v>
      </c>
    </row>
    <row r="5597" spans="1:8" x14ac:dyDescent="0.3">
      <c r="A5597" s="3">
        <v>46240.998668981483</v>
      </c>
      <c r="B5597" s="1">
        <v>7.77</v>
      </c>
      <c r="C5597" s="1">
        <v>6.74</v>
      </c>
      <c r="D5597" s="1">
        <v>0.48</v>
      </c>
      <c r="E5597" s="1" t="s">
        <v>137</v>
      </c>
      <c r="F5597" s="1" t="s">
        <v>137</v>
      </c>
      <c r="G5597" s="1" t="s">
        <v>137</v>
      </c>
      <c r="H5597" s="1" t="str">
        <f>VLOOKUP(F5597,Countries!$A$1:$B$161,2,0)</f>
        <v>Poland</v>
      </c>
    </row>
    <row r="5598" spans="1:8" x14ac:dyDescent="0.3">
      <c r="A5598" s="3">
        <v>46240.995787037027</v>
      </c>
      <c r="B5598" s="1">
        <v>114.36</v>
      </c>
      <c r="C5598" s="1">
        <v>99.25</v>
      </c>
      <c r="D5598" s="1">
        <v>3.73</v>
      </c>
      <c r="E5598" s="1" t="s">
        <v>113</v>
      </c>
      <c r="F5598" s="1" t="s">
        <v>113</v>
      </c>
      <c r="G5598" s="1" t="s">
        <v>113</v>
      </c>
      <c r="H5598" s="1" t="str">
        <f>VLOOKUP(F5598,Countries!$A$1:$B$161,2,0)</f>
        <v>United States of America</v>
      </c>
    </row>
    <row r="5599" spans="1:8" x14ac:dyDescent="0.3">
      <c r="A5599" s="3">
        <v>46240.991736111107</v>
      </c>
      <c r="B5599" s="1">
        <v>17.579999999999998</v>
      </c>
      <c r="C5599" s="1">
        <v>15.26</v>
      </c>
      <c r="D5599" s="1">
        <v>0.79</v>
      </c>
      <c r="E5599" s="1" t="s">
        <v>113</v>
      </c>
      <c r="F5599" s="1" t="s">
        <v>113</v>
      </c>
      <c r="G5599" s="1" t="s">
        <v>113</v>
      </c>
      <c r="H5599" s="1" t="str">
        <f>VLOOKUP(F5599,Countries!$A$1:$B$161,2,0)</f>
        <v>United States of America</v>
      </c>
    </row>
    <row r="5600" spans="1:8" x14ac:dyDescent="0.3">
      <c r="A5600" s="3">
        <v>46240.990370370368</v>
      </c>
      <c r="B5600" s="1">
        <v>10.51</v>
      </c>
      <c r="C5600" s="1">
        <v>9.1199999999999992</v>
      </c>
      <c r="D5600" s="1">
        <v>0.73</v>
      </c>
      <c r="E5600" s="1" t="s">
        <v>143</v>
      </c>
      <c r="F5600" s="1" t="s">
        <v>143</v>
      </c>
      <c r="G5600" s="1" t="s">
        <v>143</v>
      </c>
      <c r="H5600" s="1" t="str">
        <f>VLOOKUP(F5600,Countries!$A$1:$B$161,2,0)</f>
        <v>United Arab Emirates</v>
      </c>
    </row>
    <row r="5601" spans="1:8" x14ac:dyDescent="0.3">
      <c r="A5601" s="3">
        <v>46240.987222222233</v>
      </c>
      <c r="B5601" s="1">
        <v>14.77</v>
      </c>
      <c r="C5601" s="1">
        <v>12.82</v>
      </c>
      <c r="D5601" s="1">
        <v>0.93</v>
      </c>
      <c r="E5601" s="1" t="s">
        <v>113</v>
      </c>
      <c r="F5601" s="1" t="s">
        <v>113</v>
      </c>
      <c r="G5601" s="1" t="s">
        <v>113</v>
      </c>
      <c r="H5601" s="1" t="str">
        <f>VLOOKUP(F5601,Countries!$A$1:$B$161,2,0)</f>
        <v>United States of America</v>
      </c>
    </row>
    <row r="5602" spans="1:8" x14ac:dyDescent="0.3">
      <c r="A5602" s="3">
        <v>46240.985694444447</v>
      </c>
      <c r="B5602" s="1">
        <v>70.239999999999995</v>
      </c>
      <c r="C5602" s="1">
        <v>60.96</v>
      </c>
      <c r="D5602" s="1">
        <v>2.38</v>
      </c>
      <c r="E5602" s="1" t="s">
        <v>113</v>
      </c>
      <c r="F5602" s="1" t="s">
        <v>113</v>
      </c>
      <c r="G5602" s="1" t="s">
        <v>113</v>
      </c>
      <c r="H5602" s="1" t="str">
        <f>VLOOKUP(F5602,Countries!$A$1:$B$161,2,0)</f>
        <v>United States of America</v>
      </c>
    </row>
    <row r="5603" spans="1:8" x14ac:dyDescent="0.3">
      <c r="A5603" s="3">
        <v>46240.984201388892</v>
      </c>
      <c r="B5603" s="1">
        <v>26.39</v>
      </c>
      <c r="C5603" s="1">
        <v>22.9</v>
      </c>
      <c r="D5603" s="1">
        <v>1.05</v>
      </c>
      <c r="E5603" s="1" t="s">
        <v>113</v>
      </c>
      <c r="F5603" s="1" t="s">
        <v>113</v>
      </c>
      <c r="G5603" s="1" t="s">
        <v>113</v>
      </c>
      <c r="H5603" s="1" t="str">
        <f>VLOOKUP(F5603,Countries!$A$1:$B$161,2,0)</f>
        <v>United States of America</v>
      </c>
    </row>
    <row r="5604" spans="1:8" x14ac:dyDescent="0.3">
      <c r="A5604" s="3">
        <v>46240.978194444448</v>
      </c>
      <c r="B5604" s="1">
        <v>3.99</v>
      </c>
      <c r="C5604" s="1">
        <v>3.46</v>
      </c>
      <c r="D5604" s="1">
        <v>0.43</v>
      </c>
      <c r="E5604" s="1" t="s">
        <v>113</v>
      </c>
      <c r="F5604" s="1" t="s">
        <v>113</v>
      </c>
      <c r="G5604" s="1" t="s">
        <v>113</v>
      </c>
      <c r="H5604" s="1" t="str">
        <f>VLOOKUP(F5604,Countries!$A$1:$B$161,2,0)</f>
        <v>United States of America</v>
      </c>
    </row>
    <row r="5605" spans="1:8" x14ac:dyDescent="0.3">
      <c r="A5605" s="3">
        <v>46240.977303240739</v>
      </c>
      <c r="B5605" s="1">
        <v>7.58</v>
      </c>
      <c r="C5605" s="1">
        <v>6.58</v>
      </c>
      <c r="D5605" s="1">
        <v>0.48</v>
      </c>
      <c r="E5605" s="1" t="s">
        <v>113</v>
      </c>
      <c r="F5605" s="1" t="s">
        <v>113</v>
      </c>
      <c r="G5605" s="1" t="s">
        <v>113</v>
      </c>
      <c r="H5605" s="1" t="str">
        <f>VLOOKUP(F5605,Countries!$A$1:$B$161,2,0)</f>
        <v>United States of America</v>
      </c>
    </row>
    <row r="5606" spans="1:8" x14ac:dyDescent="0.3">
      <c r="A5606" s="3">
        <v>46240.965729166674</v>
      </c>
      <c r="B5606" s="1">
        <v>6.37</v>
      </c>
      <c r="C5606" s="1">
        <v>5.53</v>
      </c>
      <c r="D5606" s="1">
        <v>0.54</v>
      </c>
      <c r="E5606" s="1" t="s">
        <v>113</v>
      </c>
      <c r="F5606" s="1" t="s">
        <v>113</v>
      </c>
      <c r="G5606" s="1" t="s">
        <v>113</v>
      </c>
      <c r="H5606" s="1" t="str">
        <f>VLOOKUP(F5606,Countries!$A$1:$B$161,2,0)</f>
        <v>United States of America</v>
      </c>
    </row>
    <row r="5607" spans="1:8" x14ac:dyDescent="0.3">
      <c r="A5607" s="3">
        <v>46240.964490740742</v>
      </c>
      <c r="B5607" s="1">
        <v>7.58</v>
      </c>
      <c r="C5607" s="1">
        <v>6.58</v>
      </c>
      <c r="D5607" s="1">
        <v>0.48</v>
      </c>
      <c r="E5607" s="1" t="s">
        <v>113</v>
      </c>
      <c r="F5607" s="1" t="s">
        <v>113</v>
      </c>
      <c r="G5607" s="1" t="s">
        <v>113</v>
      </c>
      <c r="H5607" s="1" t="str">
        <f>VLOOKUP(F5607,Countries!$A$1:$B$161,2,0)</f>
        <v>United States of America</v>
      </c>
    </row>
    <row r="5608" spans="1:8" x14ac:dyDescent="0.3">
      <c r="A5608" s="3">
        <v>46240.963784722233</v>
      </c>
      <c r="B5608" s="1">
        <v>6.37</v>
      </c>
      <c r="C5608" s="1">
        <v>5.53</v>
      </c>
      <c r="D5608" s="1">
        <v>0.54</v>
      </c>
      <c r="E5608" s="1" t="s">
        <v>113</v>
      </c>
      <c r="F5608" s="1" t="s">
        <v>113</v>
      </c>
      <c r="G5608" s="1" t="s">
        <v>113</v>
      </c>
      <c r="H5608" s="1" t="str">
        <f>VLOOKUP(F5608,Countries!$A$1:$B$161,2,0)</f>
        <v>United States of America</v>
      </c>
    </row>
    <row r="5609" spans="1:8" x14ac:dyDescent="0.3">
      <c r="A5609" s="3">
        <v>46240.957118055558</v>
      </c>
      <c r="B5609" s="1">
        <v>10.62</v>
      </c>
      <c r="C5609" s="1">
        <v>9.2200000000000006</v>
      </c>
      <c r="D5609" s="1">
        <v>0.73</v>
      </c>
      <c r="E5609" s="1" t="s">
        <v>113</v>
      </c>
      <c r="F5609" s="1" t="s">
        <v>197</v>
      </c>
      <c r="G5609" s="1" t="s">
        <v>197</v>
      </c>
      <c r="H5609" s="1" t="str">
        <f>VLOOKUP(F5609,Countries!$A$1:$B$161,2,0)</f>
        <v>China</v>
      </c>
    </row>
    <row r="5610" spans="1:8" x14ac:dyDescent="0.3">
      <c r="A5610" s="3">
        <v>46240.955729166657</v>
      </c>
      <c r="B5610" s="1">
        <v>1.99</v>
      </c>
      <c r="C5610" s="1">
        <v>1.73</v>
      </c>
      <c r="D5610" s="1">
        <v>0.31</v>
      </c>
      <c r="E5610" s="1" t="s">
        <v>125</v>
      </c>
      <c r="F5610" s="1" t="s">
        <v>125</v>
      </c>
      <c r="G5610" s="1" t="s">
        <v>125</v>
      </c>
      <c r="H5610" s="1" t="str">
        <f>VLOOKUP(F5610,Countries!$A$1:$B$161,2,0)</f>
        <v>Norway</v>
      </c>
    </row>
    <row r="5611" spans="1:8" x14ac:dyDescent="0.3">
      <c r="A5611" s="3">
        <v>46240.941250000003</v>
      </c>
      <c r="B5611" s="1">
        <v>14.77</v>
      </c>
      <c r="C5611" s="1">
        <v>12.82</v>
      </c>
      <c r="D5611" s="1">
        <v>0.93</v>
      </c>
      <c r="E5611" s="1" t="s">
        <v>113</v>
      </c>
      <c r="F5611" s="1" t="s">
        <v>113</v>
      </c>
      <c r="G5611" s="1" t="s">
        <v>113</v>
      </c>
      <c r="H5611" s="1" t="str">
        <f>VLOOKUP(F5611,Countries!$A$1:$B$161,2,0)</f>
        <v>United States of America</v>
      </c>
    </row>
    <row r="5612" spans="1:8" x14ac:dyDescent="0.3">
      <c r="A5612" s="3">
        <v>46240.931759259263</v>
      </c>
      <c r="B5612" s="1">
        <v>8.5</v>
      </c>
      <c r="C5612" s="1">
        <v>7.38</v>
      </c>
      <c r="D5612" s="1">
        <v>0.64</v>
      </c>
      <c r="E5612" s="1" t="s">
        <v>113</v>
      </c>
      <c r="F5612" s="1" t="s">
        <v>113</v>
      </c>
      <c r="G5612" s="1" t="s">
        <v>113</v>
      </c>
      <c r="H5612" s="1" t="str">
        <f>VLOOKUP(F5612,Countries!$A$1:$B$161,2,0)</f>
        <v>United States of America</v>
      </c>
    </row>
    <row r="5613" spans="1:8" x14ac:dyDescent="0.3">
      <c r="A5613" s="3">
        <v>46240.927534722221</v>
      </c>
      <c r="B5613" s="1">
        <v>6.37</v>
      </c>
      <c r="C5613" s="1">
        <v>5.53</v>
      </c>
      <c r="D5613" s="1">
        <v>0.54</v>
      </c>
      <c r="E5613" s="1" t="s">
        <v>113</v>
      </c>
      <c r="F5613" s="1" t="s">
        <v>113</v>
      </c>
      <c r="G5613" s="1" t="s">
        <v>113</v>
      </c>
      <c r="H5613" s="1" t="str">
        <f>VLOOKUP(F5613,Countries!$A$1:$B$161,2,0)</f>
        <v>United States of America</v>
      </c>
    </row>
    <row r="5614" spans="1:8" x14ac:dyDescent="0.3">
      <c r="A5614" s="3">
        <v>46240.925474537027</v>
      </c>
      <c r="B5614" s="1">
        <v>6.65</v>
      </c>
      <c r="C5614" s="1">
        <v>5.77</v>
      </c>
      <c r="D5614" s="1">
        <v>0.56000000000000005</v>
      </c>
      <c r="E5614" s="1" t="s">
        <v>121</v>
      </c>
      <c r="F5614" s="1" t="s">
        <v>121</v>
      </c>
      <c r="G5614" s="1" t="s">
        <v>121</v>
      </c>
      <c r="H5614" s="1" t="str">
        <f>VLOOKUP(F5614,Countries!$A$1:$B$161,2,0)</f>
        <v>Japan</v>
      </c>
    </row>
    <row r="5615" spans="1:8" x14ac:dyDescent="0.3">
      <c r="A5615" s="3">
        <v>46240.92386574074</v>
      </c>
      <c r="B5615" s="1">
        <v>2.99</v>
      </c>
      <c r="C5615" s="1">
        <v>2.6</v>
      </c>
      <c r="D5615" s="1">
        <v>0.38</v>
      </c>
      <c r="E5615" s="1" t="s">
        <v>113</v>
      </c>
      <c r="F5615" s="1" t="s">
        <v>113</v>
      </c>
      <c r="G5615" s="1" t="s">
        <v>113</v>
      </c>
      <c r="H5615" s="1" t="str">
        <f>VLOOKUP(F5615,Countries!$A$1:$B$161,2,0)</f>
        <v>United States of America</v>
      </c>
    </row>
    <row r="5616" spans="1:8" x14ac:dyDescent="0.3">
      <c r="A5616" s="3">
        <v>46240.917245370372</v>
      </c>
      <c r="B5616" s="1">
        <v>43.98</v>
      </c>
      <c r="C5616" s="1">
        <v>38.159999999999997</v>
      </c>
      <c r="D5616" s="1">
        <v>1.58</v>
      </c>
      <c r="E5616" s="1" t="s">
        <v>113</v>
      </c>
      <c r="F5616" s="1" t="s">
        <v>113</v>
      </c>
      <c r="G5616" s="1" t="s">
        <v>113</v>
      </c>
      <c r="H5616" s="1" t="str">
        <f>VLOOKUP(F5616,Countries!$A$1:$B$161,2,0)</f>
        <v>United States of America</v>
      </c>
    </row>
    <row r="5617" spans="1:8" x14ac:dyDescent="0.3">
      <c r="A5617" s="3">
        <v>46240.911168981482</v>
      </c>
      <c r="B5617" s="1">
        <v>7.58</v>
      </c>
      <c r="C5617" s="1">
        <v>6.58</v>
      </c>
      <c r="D5617" s="1">
        <v>0.48</v>
      </c>
      <c r="E5617" s="1" t="s">
        <v>113</v>
      </c>
      <c r="F5617" s="1" t="s">
        <v>113</v>
      </c>
      <c r="G5617" s="1" t="s">
        <v>113</v>
      </c>
      <c r="H5617" s="1" t="str">
        <f>VLOOKUP(F5617,Countries!$A$1:$B$161,2,0)</f>
        <v>United States of America</v>
      </c>
    </row>
    <row r="5618" spans="1:8" x14ac:dyDescent="0.3">
      <c r="A5618" s="3">
        <v>46240.900763888887</v>
      </c>
      <c r="B5618" s="1">
        <v>6.37</v>
      </c>
      <c r="C5618" s="1">
        <v>5.53</v>
      </c>
      <c r="D5618" s="1">
        <v>0.54</v>
      </c>
      <c r="E5618" s="1" t="s">
        <v>113</v>
      </c>
      <c r="F5618" s="1" t="s">
        <v>113</v>
      </c>
      <c r="G5618" s="1" t="s">
        <v>113</v>
      </c>
      <c r="H5618" s="1" t="str">
        <f>VLOOKUP(F5618,Countries!$A$1:$B$161,2,0)</f>
        <v>United States of America</v>
      </c>
    </row>
    <row r="5619" spans="1:8" x14ac:dyDescent="0.3">
      <c r="A5619" s="3">
        <v>46240.90016203704</v>
      </c>
      <c r="B5619" s="1">
        <v>6.3</v>
      </c>
      <c r="C5619" s="1">
        <v>5.47</v>
      </c>
      <c r="D5619" s="1">
        <v>0.54</v>
      </c>
      <c r="E5619" s="1" t="s">
        <v>132</v>
      </c>
      <c r="F5619" s="1" t="s">
        <v>132</v>
      </c>
      <c r="G5619" s="1" t="s">
        <v>132</v>
      </c>
      <c r="H5619" s="1" t="str">
        <f>VLOOKUP(F5619,Countries!$A$1:$B$161,2,0)</f>
        <v>Canada</v>
      </c>
    </row>
    <row r="5620" spans="1:8" x14ac:dyDescent="0.3">
      <c r="A5620" s="3">
        <v>46240.899027777778</v>
      </c>
      <c r="B5620" s="1">
        <v>7.58</v>
      </c>
      <c r="C5620" s="1">
        <v>6.58</v>
      </c>
      <c r="D5620" s="1">
        <v>0.48</v>
      </c>
      <c r="E5620" s="1" t="s">
        <v>154</v>
      </c>
      <c r="F5620" s="1" t="s">
        <v>154</v>
      </c>
      <c r="G5620" s="1" t="s">
        <v>154</v>
      </c>
      <c r="H5620" s="1" t="str">
        <f>VLOOKUP(F5620,Countries!$A$1:$B$161,2,0)</f>
        <v>Belgium</v>
      </c>
    </row>
    <row r="5621" spans="1:8" x14ac:dyDescent="0.3">
      <c r="A5621" s="3">
        <v>46240.898263888892</v>
      </c>
      <c r="B5621" s="1">
        <v>55.49</v>
      </c>
      <c r="C5621" s="1">
        <v>48.15</v>
      </c>
      <c r="D5621" s="1">
        <v>2.77</v>
      </c>
      <c r="E5621" s="1" t="s">
        <v>200</v>
      </c>
      <c r="F5621" s="1" t="s">
        <v>200</v>
      </c>
      <c r="G5621" s="1" t="s">
        <v>200</v>
      </c>
      <c r="H5621" s="1" t="str">
        <f>VLOOKUP(F5621,Countries!$A$1:$B$161,2,0)</f>
        <v>Iraq</v>
      </c>
    </row>
    <row r="5622" spans="1:8" x14ac:dyDescent="0.3">
      <c r="A5622" s="3">
        <v>46240.896736111114</v>
      </c>
      <c r="B5622" s="1">
        <v>3.78</v>
      </c>
      <c r="C5622" s="1">
        <v>3.28</v>
      </c>
      <c r="D5622" s="1">
        <v>0.37</v>
      </c>
      <c r="E5622" s="1" t="s">
        <v>113</v>
      </c>
      <c r="F5622" s="1" t="s">
        <v>113</v>
      </c>
      <c r="G5622" s="1" t="s">
        <v>113</v>
      </c>
      <c r="H5622" s="1" t="str">
        <f>VLOOKUP(F5622,Countries!$A$1:$B$161,2,0)</f>
        <v>United States of America</v>
      </c>
    </row>
    <row r="5623" spans="1:8" x14ac:dyDescent="0.3">
      <c r="A5623" s="3">
        <v>46240.888078703712</v>
      </c>
      <c r="B5623" s="1">
        <v>2.5099999999999998</v>
      </c>
      <c r="C5623" s="1">
        <v>2.1800000000000002</v>
      </c>
      <c r="D5623" s="1">
        <v>0.32</v>
      </c>
      <c r="E5623" s="1" t="s">
        <v>151</v>
      </c>
      <c r="F5623" s="1" t="s">
        <v>151</v>
      </c>
      <c r="G5623" s="1" t="s">
        <v>151</v>
      </c>
      <c r="H5623" s="1" t="str">
        <f>VLOOKUP(F5623,Countries!$A$1:$B$161,2,0)</f>
        <v>Netherlands (Holland)</v>
      </c>
    </row>
    <row r="5624" spans="1:8" x14ac:dyDescent="0.3">
      <c r="A5624" s="3">
        <v>46240.886331018519</v>
      </c>
      <c r="B5624" s="1">
        <v>7.58</v>
      </c>
      <c r="C5624" s="1">
        <v>6.58</v>
      </c>
      <c r="D5624" s="1">
        <v>0.48</v>
      </c>
      <c r="E5624" s="1" t="s">
        <v>113</v>
      </c>
      <c r="F5624" s="1" t="s">
        <v>113</v>
      </c>
      <c r="G5624" s="1" t="s">
        <v>113</v>
      </c>
      <c r="H5624" s="1" t="str">
        <f>VLOOKUP(F5624,Countries!$A$1:$B$161,2,0)</f>
        <v>United States of America</v>
      </c>
    </row>
    <row r="5625" spans="1:8" x14ac:dyDescent="0.3">
      <c r="A5625" s="3">
        <v>46240.885567129633</v>
      </c>
      <c r="B5625" s="1">
        <v>2.5099999999999998</v>
      </c>
      <c r="C5625" s="1">
        <v>2.1800000000000002</v>
      </c>
      <c r="D5625" s="1">
        <v>0.32</v>
      </c>
      <c r="E5625" s="1" t="s">
        <v>151</v>
      </c>
      <c r="F5625" s="1" t="s">
        <v>151</v>
      </c>
      <c r="G5625" s="1" t="s">
        <v>151</v>
      </c>
      <c r="H5625" s="1" t="str">
        <f>VLOOKUP(F5625,Countries!$A$1:$B$161,2,0)</f>
        <v>Netherlands (Holland)</v>
      </c>
    </row>
    <row r="5626" spans="1:8" x14ac:dyDescent="0.3">
      <c r="A5626" s="3">
        <v>46240.885370370372</v>
      </c>
      <c r="B5626" s="1">
        <v>6.37</v>
      </c>
      <c r="C5626" s="1">
        <v>5.53</v>
      </c>
      <c r="D5626" s="1">
        <v>0.54</v>
      </c>
      <c r="E5626" s="1" t="s">
        <v>113</v>
      </c>
      <c r="F5626" s="1" t="s">
        <v>113</v>
      </c>
      <c r="G5626" s="1" t="s">
        <v>113</v>
      </c>
      <c r="H5626" s="1" t="str">
        <f>VLOOKUP(F5626,Countries!$A$1:$B$161,2,0)</f>
        <v>United States of America</v>
      </c>
    </row>
    <row r="5627" spans="1:8" x14ac:dyDescent="0.3">
      <c r="A5627" s="3">
        <v>46240.885127314818</v>
      </c>
      <c r="B5627" s="1">
        <v>7.48</v>
      </c>
      <c r="C5627" s="1">
        <v>6.49</v>
      </c>
      <c r="D5627" s="1">
        <v>0.54</v>
      </c>
      <c r="E5627" s="1" t="s">
        <v>119</v>
      </c>
      <c r="F5627" s="1" t="s">
        <v>119</v>
      </c>
      <c r="G5627" s="1" t="s">
        <v>119</v>
      </c>
      <c r="H5627" s="1" t="str">
        <f>VLOOKUP(F5627,Countries!$A$1:$B$161,2,0)</f>
        <v>Great Britain (United Kingdom)</v>
      </c>
    </row>
    <row r="5628" spans="1:8" x14ac:dyDescent="0.3">
      <c r="A5628" s="3">
        <v>46240.884328703702</v>
      </c>
      <c r="B5628" s="1">
        <v>13.89</v>
      </c>
      <c r="C5628" s="1">
        <v>12.05</v>
      </c>
      <c r="D5628" s="1">
        <v>0.88</v>
      </c>
      <c r="E5628" s="1" t="s">
        <v>200</v>
      </c>
      <c r="F5628" s="1" t="s">
        <v>200</v>
      </c>
      <c r="G5628" s="1" t="s">
        <v>200</v>
      </c>
      <c r="H5628" s="1" t="str">
        <f>VLOOKUP(F5628,Countries!$A$1:$B$161,2,0)</f>
        <v>Iraq</v>
      </c>
    </row>
    <row r="5629" spans="1:8" x14ac:dyDescent="0.3">
      <c r="A5629" s="3">
        <v>46240.880266203712</v>
      </c>
      <c r="B5629" s="1">
        <v>3.18</v>
      </c>
      <c r="C5629" s="1">
        <v>2.76</v>
      </c>
      <c r="D5629" s="1">
        <v>0.4</v>
      </c>
      <c r="E5629" s="1" t="s">
        <v>113</v>
      </c>
      <c r="F5629" s="1" t="s">
        <v>113</v>
      </c>
      <c r="G5629" s="1" t="s">
        <v>113</v>
      </c>
      <c r="H5629" s="1" t="str">
        <f>VLOOKUP(F5629,Countries!$A$1:$B$161,2,0)</f>
        <v>United States of America</v>
      </c>
    </row>
    <row r="5630" spans="1:8" x14ac:dyDescent="0.3">
      <c r="A5630" s="3">
        <v>46240.868622685193</v>
      </c>
      <c r="B5630" s="1">
        <v>3.18</v>
      </c>
      <c r="C5630" s="1">
        <v>2.76</v>
      </c>
      <c r="D5630" s="1">
        <v>0.4</v>
      </c>
      <c r="E5630" s="1" t="s">
        <v>113</v>
      </c>
      <c r="F5630" s="1" t="s">
        <v>113</v>
      </c>
      <c r="G5630" s="1" t="s">
        <v>113</v>
      </c>
      <c r="H5630" s="1" t="str">
        <f>VLOOKUP(F5630,Countries!$A$1:$B$161,2,0)</f>
        <v>United States of America</v>
      </c>
    </row>
    <row r="5631" spans="1:8" x14ac:dyDescent="0.3">
      <c r="A5631" s="3">
        <v>46240.862141203703</v>
      </c>
      <c r="B5631" s="1">
        <v>21.32</v>
      </c>
      <c r="C5631" s="1">
        <v>18.5</v>
      </c>
      <c r="D5631" s="1">
        <v>0.9</v>
      </c>
      <c r="E5631" s="1" t="s">
        <v>125</v>
      </c>
      <c r="F5631" s="1" t="s">
        <v>125</v>
      </c>
      <c r="G5631" s="1" t="s">
        <v>125</v>
      </c>
      <c r="H5631" s="1" t="str">
        <f>VLOOKUP(F5631,Countries!$A$1:$B$161,2,0)</f>
        <v>Norway</v>
      </c>
    </row>
    <row r="5632" spans="1:8" x14ac:dyDescent="0.3">
      <c r="A5632" s="3">
        <v>46240.855092592603</v>
      </c>
      <c r="B5632" s="1">
        <v>13.89</v>
      </c>
      <c r="C5632" s="1">
        <v>12.05</v>
      </c>
      <c r="D5632" s="1">
        <v>0.88</v>
      </c>
      <c r="E5632" s="1" t="s">
        <v>200</v>
      </c>
      <c r="F5632" s="1" t="s">
        <v>200</v>
      </c>
      <c r="G5632" s="1" t="s">
        <v>200</v>
      </c>
      <c r="H5632" s="1" t="str">
        <f>VLOOKUP(F5632,Countries!$A$1:$B$161,2,0)</f>
        <v>Iraq</v>
      </c>
    </row>
    <row r="5633" spans="1:8" x14ac:dyDescent="0.3">
      <c r="A5633" s="3">
        <v>46240.848773148151</v>
      </c>
      <c r="B5633" s="1">
        <v>17.579999999999998</v>
      </c>
      <c r="C5633" s="1">
        <v>15.25</v>
      </c>
      <c r="D5633" s="1">
        <v>0.79</v>
      </c>
      <c r="E5633" s="1" t="s">
        <v>113</v>
      </c>
      <c r="F5633" s="1" t="s">
        <v>113</v>
      </c>
      <c r="G5633" s="1" t="s">
        <v>113</v>
      </c>
      <c r="H5633" s="1" t="str">
        <f>VLOOKUP(F5633,Countries!$A$1:$B$161,2,0)</f>
        <v>United States of America</v>
      </c>
    </row>
    <row r="5634" spans="1:8" x14ac:dyDescent="0.3">
      <c r="A5634" s="3">
        <v>46240.841215277767</v>
      </c>
      <c r="B5634" s="1">
        <v>7.77</v>
      </c>
      <c r="C5634" s="1">
        <v>6.74</v>
      </c>
      <c r="D5634" s="1">
        <v>0.48</v>
      </c>
      <c r="E5634" s="1" t="s">
        <v>137</v>
      </c>
      <c r="F5634" s="1" t="s">
        <v>137</v>
      </c>
      <c r="G5634" s="1" t="s">
        <v>137</v>
      </c>
      <c r="H5634" s="1" t="str">
        <f>VLOOKUP(F5634,Countries!$A$1:$B$161,2,0)</f>
        <v>Poland</v>
      </c>
    </row>
    <row r="5635" spans="1:8" x14ac:dyDescent="0.3">
      <c r="A5635" s="3">
        <v>46240.839317129627</v>
      </c>
      <c r="B5635" s="1">
        <v>20.239999999999998</v>
      </c>
      <c r="C5635" s="1">
        <v>17.559999999999999</v>
      </c>
      <c r="D5635" s="1">
        <v>1.17</v>
      </c>
      <c r="E5635" s="1" t="s">
        <v>120</v>
      </c>
      <c r="F5635" s="1" t="s">
        <v>114</v>
      </c>
      <c r="G5635" s="1" t="s">
        <v>114</v>
      </c>
      <c r="H5635" s="1" t="str">
        <f>VLOOKUP(F5635,Countries!$A$1:$B$161,2,0)</f>
        <v>Philippines</v>
      </c>
    </row>
    <row r="5636" spans="1:8" x14ac:dyDescent="0.3">
      <c r="A5636" s="3">
        <v>46240.833587962959</v>
      </c>
      <c r="B5636" s="1">
        <v>42.54</v>
      </c>
      <c r="C5636" s="1">
        <v>36.92</v>
      </c>
      <c r="D5636" s="1">
        <v>2.19</v>
      </c>
      <c r="E5636" s="1" t="s">
        <v>113</v>
      </c>
      <c r="F5636" s="1" t="s">
        <v>113</v>
      </c>
      <c r="G5636" s="1" t="s">
        <v>113</v>
      </c>
      <c r="H5636" s="1" t="str">
        <f>VLOOKUP(F5636,Countries!$A$1:$B$161,2,0)</f>
        <v>United States of America</v>
      </c>
    </row>
    <row r="5637" spans="1:8" x14ac:dyDescent="0.3">
      <c r="A5637" s="3">
        <v>46240.83189814815</v>
      </c>
      <c r="B5637" s="1">
        <v>7.58</v>
      </c>
      <c r="C5637" s="1">
        <v>6.58</v>
      </c>
      <c r="D5637" s="1">
        <v>0.48</v>
      </c>
      <c r="E5637" s="1" t="s">
        <v>116</v>
      </c>
      <c r="F5637" s="1" t="s">
        <v>116</v>
      </c>
      <c r="G5637" s="1" t="s">
        <v>116</v>
      </c>
      <c r="H5637" s="1" t="str">
        <f>VLOOKUP(F5637,Countries!$A$1:$B$161,2,0)</f>
        <v>Spain</v>
      </c>
    </row>
    <row r="5638" spans="1:8" x14ac:dyDescent="0.3">
      <c r="A5638" s="3">
        <v>46240.828969907408</v>
      </c>
      <c r="B5638" s="1">
        <v>6.37</v>
      </c>
      <c r="C5638" s="1">
        <v>5.53</v>
      </c>
      <c r="D5638" s="1">
        <v>0.54</v>
      </c>
      <c r="E5638" s="1" t="s">
        <v>113</v>
      </c>
      <c r="F5638" s="1" t="s">
        <v>113</v>
      </c>
      <c r="G5638" s="1" t="s">
        <v>113</v>
      </c>
      <c r="H5638" s="1" t="str">
        <f>VLOOKUP(F5638,Countries!$A$1:$B$161,2,0)</f>
        <v>United States of America</v>
      </c>
    </row>
    <row r="5639" spans="1:8" x14ac:dyDescent="0.3">
      <c r="A5639" s="3">
        <v>46240.827986111108</v>
      </c>
      <c r="B5639" s="1">
        <v>13.89</v>
      </c>
      <c r="C5639" s="1">
        <v>12.05</v>
      </c>
      <c r="D5639" s="1">
        <v>0.88</v>
      </c>
      <c r="E5639" s="1" t="s">
        <v>200</v>
      </c>
      <c r="F5639" s="1" t="s">
        <v>200</v>
      </c>
      <c r="G5639" s="1" t="s">
        <v>200</v>
      </c>
      <c r="H5639" s="1" t="str">
        <f>VLOOKUP(F5639,Countries!$A$1:$B$161,2,0)</f>
        <v>Iraq</v>
      </c>
    </row>
    <row r="5640" spans="1:8" x14ac:dyDescent="0.3">
      <c r="A5640" s="3">
        <v>46240.823194444441</v>
      </c>
      <c r="B5640" s="1">
        <v>6.37</v>
      </c>
      <c r="C5640" s="1">
        <v>5.53</v>
      </c>
      <c r="D5640" s="1">
        <v>0.54</v>
      </c>
      <c r="E5640" s="1" t="s">
        <v>113</v>
      </c>
      <c r="F5640" s="1" t="s">
        <v>113</v>
      </c>
      <c r="G5640" s="1" t="s">
        <v>113</v>
      </c>
      <c r="H5640" s="1" t="str">
        <f>VLOOKUP(F5640,Countries!$A$1:$B$161,2,0)</f>
        <v>United States of America</v>
      </c>
    </row>
    <row r="5641" spans="1:8" x14ac:dyDescent="0.3">
      <c r="A5641" s="3">
        <v>46240.81653935185</v>
      </c>
      <c r="B5641" s="1">
        <v>14.77</v>
      </c>
      <c r="C5641" s="1">
        <v>12.82</v>
      </c>
      <c r="D5641" s="1">
        <v>0.93</v>
      </c>
      <c r="E5641" s="1" t="s">
        <v>113</v>
      </c>
      <c r="F5641" s="1" t="s">
        <v>113</v>
      </c>
      <c r="G5641" s="1" t="s">
        <v>113</v>
      </c>
      <c r="H5641" s="1" t="str">
        <f>VLOOKUP(F5641,Countries!$A$1:$B$161,2,0)</f>
        <v>United States of America</v>
      </c>
    </row>
    <row r="5642" spans="1:8" x14ac:dyDescent="0.3">
      <c r="A5642" s="3">
        <v>46240.815787037027</v>
      </c>
      <c r="B5642" s="1">
        <v>1.99</v>
      </c>
      <c r="C5642" s="1">
        <v>1.73</v>
      </c>
      <c r="D5642" s="1">
        <v>0.34</v>
      </c>
      <c r="E5642" s="1" t="s">
        <v>115</v>
      </c>
      <c r="F5642" s="1" t="s">
        <v>115</v>
      </c>
      <c r="G5642" s="1" t="s">
        <v>115</v>
      </c>
      <c r="H5642" s="1" t="str">
        <f>VLOOKUP(F5642,Countries!$A$1:$B$161,2,0)</f>
        <v>Switzerland</v>
      </c>
    </row>
    <row r="5643" spans="1:8" x14ac:dyDescent="0.3">
      <c r="A5643" s="3">
        <v>46240.810486111113</v>
      </c>
      <c r="B5643" s="1">
        <v>6.37</v>
      </c>
      <c r="C5643" s="1">
        <v>5.53</v>
      </c>
      <c r="D5643" s="1">
        <v>0.54</v>
      </c>
      <c r="E5643" s="1" t="s">
        <v>113</v>
      </c>
      <c r="F5643" s="1" t="s">
        <v>113</v>
      </c>
      <c r="G5643" s="1" t="s">
        <v>113</v>
      </c>
      <c r="H5643" s="1" t="str">
        <f>VLOOKUP(F5643,Countries!$A$1:$B$161,2,0)</f>
        <v>United States of America</v>
      </c>
    </row>
    <row r="5644" spans="1:8" x14ac:dyDescent="0.3">
      <c r="A5644" s="3">
        <v>46240.810243055559</v>
      </c>
      <c r="B5644" s="1">
        <v>17.8</v>
      </c>
      <c r="C5644" s="1">
        <v>15.45</v>
      </c>
      <c r="D5644" s="1">
        <v>0.79</v>
      </c>
      <c r="E5644" s="1" t="s">
        <v>124</v>
      </c>
      <c r="F5644" s="1" t="s">
        <v>124</v>
      </c>
      <c r="G5644" s="1" t="s">
        <v>124</v>
      </c>
      <c r="H5644" s="1" t="str">
        <f>VLOOKUP(F5644,Countries!$A$1:$B$161,2,0)</f>
        <v>Italy</v>
      </c>
    </row>
    <row r="5645" spans="1:8" x14ac:dyDescent="0.3">
      <c r="A5645" s="3">
        <v>46240.809537037043</v>
      </c>
      <c r="B5645" s="1">
        <v>7.58</v>
      </c>
      <c r="C5645" s="1">
        <v>6.58</v>
      </c>
      <c r="D5645" s="1">
        <v>0.48</v>
      </c>
      <c r="E5645" s="1" t="s">
        <v>116</v>
      </c>
      <c r="F5645" s="1" t="s">
        <v>116</v>
      </c>
      <c r="G5645" s="1" t="s">
        <v>116</v>
      </c>
      <c r="H5645" s="1" t="str">
        <f>VLOOKUP(F5645,Countries!$A$1:$B$161,2,0)</f>
        <v>Spain</v>
      </c>
    </row>
    <row r="5646" spans="1:8" x14ac:dyDescent="0.3">
      <c r="A5646" s="3">
        <v>46240.807013888887</v>
      </c>
      <c r="B5646" s="1">
        <v>35.64</v>
      </c>
      <c r="C5646" s="1">
        <v>30.93</v>
      </c>
      <c r="D5646" s="1">
        <v>1.33</v>
      </c>
      <c r="E5646" s="1" t="s">
        <v>124</v>
      </c>
      <c r="F5646" s="1" t="s">
        <v>124</v>
      </c>
      <c r="G5646" s="1" t="s">
        <v>124</v>
      </c>
      <c r="H5646" s="1" t="str">
        <f>VLOOKUP(F5646,Countries!$A$1:$B$161,2,0)</f>
        <v>Italy</v>
      </c>
    </row>
    <row r="5647" spans="1:8" x14ac:dyDescent="0.3">
      <c r="A5647" s="3">
        <v>46240.804537037038</v>
      </c>
      <c r="B5647" s="1">
        <v>20.7</v>
      </c>
      <c r="C5647" s="1">
        <v>17.96</v>
      </c>
      <c r="D5647" s="1">
        <v>1.19</v>
      </c>
      <c r="E5647" s="1" t="s">
        <v>113</v>
      </c>
      <c r="F5647" s="1" t="s">
        <v>113</v>
      </c>
      <c r="G5647" s="1" t="s">
        <v>113</v>
      </c>
      <c r="H5647" s="1" t="str">
        <f>VLOOKUP(F5647,Countries!$A$1:$B$161,2,0)</f>
        <v>United States of America</v>
      </c>
    </row>
    <row r="5648" spans="1:8" x14ac:dyDescent="0.3">
      <c r="A5648" s="3">
        <v>46240.803541666668</v>
      </c>
      <c r="B5648" s="1">
        <v>10.62</v>
      </c>
      <c r="C5648" s="1">
        <v>9.2200000000000006</v>
      </c>
      <c r="D5648" s="1">
        <v>0.73</v>
      </c>
      <c r="E5648" s="1" t="s">
        <v>113</v>
      </c>
      <c r="F5648" s="1" t="s">
        <v>113</v>
      </c>
      <c r="G5648" s="1" t="s">
        <v>113</v>
      </c>
      <c r="H5648" s="1" t="str">
        <f>VLOOKUP(F5648,Countries!$A$1:$B$161,2,0)</f>
        <v>United States of America</v>
      </c>
    </row>
    <row r="5649" spans="1:8" x14ac:dyDescent="0.3">
      <c r="A5649" s="3">
        <v>46240.802719907413</v>
      </c>
      <c r="B5649" s="1">
        <v>6.37</v>
      </c>
      <c r="C5649" s="1">
        <v>5.53</v>
      </c>
      <c r="D5649" s="1">
        <v>0.54</v>
      </c>
      <c r="E5649" s="1" t="s">
        <v>113</v>
      </c>
      <c r="F5649" s="1" t="s">
        <v>113</v>
      </c>
      <c r="G5649" s="1" t="s">
        <v>113</v>
      </c>
      <c r="H5649" s="1" t="str">
        <f>VLOOKUP(F5649,Countries!$A$1:$B$161,2,0)</f>
        <v>United States of America</v>
      </c>
    </row>
    <row r="5650" spans="1:8" x14ac:dyDescent="0.3">
      <c r="A5650" s="3">
        <v>46240.797696759262</v>
      </c>
      <c r="B5650" s="1">
        <v>15.95</v>
      </c>
      <c r="C5650" s="1">
        <v>13.84</v>
      </c>
      <c r="D5650" s="1">
        <v>0.98</v>
      </c>
      <c r="E5650" s="1" t="s">
        <v>113</v>
      </c>
      <c r="F5650" s="1" t="s">
        <v>113</v>
      </c>
      <c r="G5650" s="1" t="s">
        <v>113</v>
      </c>
      <c r="H5650" s="1" t="str">
        <f>VLOOKUP(F5650,Countries!$A$1:$B$161,2,0)</f>
        <v>United States of America</v>
      </c>
    </row>
    <row r="5651" spans="1:8" x14ac:dyDescent="0.3">
      <c r="A5651" s="3">
        <v>46240.797326388893</v>
      </c>
      <c r="B5651" s="1">
        <v>26.59</v>
      </c>
      <c r="C5651" s="1">
        <v>23.08</v>
      </c>
      <c r="D5651" s="1">
        <v>1.46</v>
      </c>
      <c r="E5651" s="1" t="s">
        <v>113</v>
      </c>
      <c r="F5651" s="1" t="s">
        <v>113</v>
      </c>
      <c r="G5651" s="1" t="s">
        <v>113</v>
      </c>
      <c r="H5651" s="1" t="str">
        <f>VLOOKUP(F5651,Countries!$A$1:$B$161,2,0)</f>
        <v>United States of America</v>
      </c>
    </row>
    <row r="5652" spans="1:8" x14ac:dyDescent="0.3">
      <c r="A5652" s="3">
        <v>46240.796354166669</v>
      </c>
      <c r="B5652" s="1">
        <v>6.37</v>
      </c>
      <c r="C5652" s="1">
        <v>5.53</v>
      </c>
      <c r="D5652" s="1">
        <v>0.54</v>
      </c>
      <c r="E5652" s="1" t="s">
        <v>113</v>
      </c>
      <c r="F5652" s="1" t="s">
        <v>113</v>
      </c>
      <c r="G5652" s="1" t="s">
        <v>113</v>
      </c>
      <c r="H5652" s="1" t="str">
        <f>VLOOKUP(F5652,Countries!$A$1:$B$161,2,0)</f>
        <v>United States of America</v>
      </c>
    </row>
    <row r="5653" spans="1:8" x14ac:dyDescent="0.3">
      <c r="A5653" s="3">
        <v>46240.795671296299</v>
      </c>
      <c r="B5653" s="1">
        <v>6.3</v>
      </c>
      <c r="C5653" s="1">
        <v>5.47</v>
      </c>
      <c r="D5653" s="1">
        <v>0.54</v>
      </c>
      <c r="E5653" s="1" t="s">
        <v>132</v>
      </c>
      <c r="F5653" s="1" t="s">
        <v>132</v>
      </c>
      <c r="G5653" s="1" t="s">
        <v>132</v>
      </c>
      <c r="H5653" s="1" t="str">
        <f>VLOOKUP(F5653,Countries!$A$1:$B$161,2,0)</f>
        <v>Canada</v>
      </c>
    </row>
    <row r="5654" spans="1:8" x14ac:dyDescent="0.3">
      <c r="A5654" s="3">
        <v>46240.795312499999</v>
      </c>
      <c r="B5654" s="1">
        <v>59.04</v>
      </c>
      <c r="C5654" s="1">
        <v>51.24</v>
      </c>
      <c r="D5654" s="1">
        <v>2.94</v>
      </c>
      <c r="E5654" s="1" t="s">
        <v>113</v>
      </c>
      <c r="F5654" s="1" t="s">
        <v>113</v>
      </c>
      <c r="G5654" s="1" t="s">
        <v>113</v>
      </c>
      <c r="H5654" s="1" t="str">
        <f>VLOOKUP(F5654,Countries!$A$1:$B$161,2,0)</f>
        <v>United States of America</v>
      </c>
    </row>
    <row r="5655" spans="1:8" x14ac:dyDescent="0.3">
      <c r="A5655" s="3">
        <v>46240.793124999997</v>
      </c>
      <c r="B5655" s="1">
        <v>14.77</v>
      </c>
      <c r="C5655" s="1">
        <v>12.82</v>
      </c>
      <c r="D5655" s="1">
        <v>0.93</v>
      </c>
      <c r="E5655" s="1" t="s">
        <v>113</v>
      </c>
      <c r="F5655" s="1" t="s">
        <v>113</v>
      </c>
      <c r="G5655" s="1" t="s">
        <v>113</v>
      </c>
      <c r="H5655" s="1" t="str">
        <f>VLOOKUP(F5655,Countries!$A$1:$B$161,2,0)</f>
        <v>United States of America</v>
      </c>
    </row>
    <row r="5656" spans="1:8" x14ac:dyDescent="0.3">
      <c r="A5656" s="3">
        <v>46240.788784722223</v>
      </c>
      <c r="B5656" s="1">
        <v>13.89</v>
      </c>
      <c r="C5656" s="1">
        <v>12.05</v>
      </c>
      <c r="D5656" s="1">
        <v>0.88</v>
      </c>
      <c r="E5656" s="1" t="s">
        <v>200</v>
      </c>
      <c r="F5656" s="1" t="s">
        <v>200</v>
      </c>
      <c r="G5656" s="1" t="s">
        <v>200</v>
      </c>
      <c r="H5656" s="1" t="str">
        <f>VLOOKUP(F5656,Countries!$A$1:$B$161,2,0)</f>
        <v>Iraq</v>
      </c>
    </row>
    <row r="5657" spans="1:8" x14ac:dyDescent="0.3">
      <c r="A5657" s="3">
        <v>46240.788229166668</v>
      </c>
      <c r="B5657" s="1">
        <v>6.3</v>
      </c>
      <c r="C5657" s="1">
        <v>5.47</v>
      </c>
      <c r="D5657" s="1">
        <v>0.54</v>
      </c>
      <c r="E5657" s="1" t="s">
        <v>143</v>
      </c>
      <c r="F5657" s="1" t="s">
        <v>143</v>
      </c>
      <c r="G5657" s="1" t="s">
        <v>143</v>
      </c>
      <c r="H5657" s="1" t="str">
        <f>VLOOKUP(F5657,Countries!$A$1:$B$161,2,0)</f>
        <v>United Arab Emirates</v>
      </c>
    </row>
    <row r="5658" spans="1:8" x14ac:dyDescent="0.3">
      <c r="A5658" s="3">
        <v>46240.78052083333</v>
      </c>
      <c r="B5658" s="1">
        <v>73.98</v>
      </c>
      <c r="C5658" s="1">
        <v>64.209999999999994</v>
      </c>
      <c r="D5658" s="1">
        <v>2.4900000000000002</v>
      </c>
      <c r="E5658" s="1" t="s">
        <v>125</v>
      </c>
      <c r="F5658" s="1" t="s">
        <v>125</v>
      </c>
      <c r="G5658" s="1" t="s">
        <v>125</v>
      </c>
      <c r="H5658" s="1" t="str">
        <f>VLOOKUP(F5658,Countries!$A$1:$B$161,2,0)</f>
        <v>Norway</v>
      </c>
    </row>
    <row r="5659" spans="1:8" x14ac:dyDescent="0.3">
      <c r="A5659" s="3">
        <v>46240.780277777783</v>
      </c>
      <c r="B5659" s="1">
        <v>18.52</v>
      </c>
      <c r="C5659" s="1">
        <v>16.07</v>
      </c>
      <c r="D5659" s="1">
        <v>0.81</v>
      </c>
      <c r="E5659" s="1" t="s">
        <v>125</v>
      </c>
      <c r="F5659" s="1" t="s">
        <v>125</v>
      </c>
      <c r="G5659" s="1" t="s">
        <v>125</v>
      </c>
      <c r="H5659" s="1" t="str">
        <f>VLOOKUP(F5659,Countries!$A$1:$B$161,2,0)</f>
        <v>Norway</v>
      </c>
    </row>
    <row r="5660" spans="1:8" x14ac:dyDescent="0.3">
      <c r="A5660" s="3">
        <v>46240.776909722219</v>
      </c>
      <c r="B5660" s="1">
        <v>17.36</v>
      </c>
      <c r="C5660" s="1">
        <v>15.07</v>
      </c>
      <c r="D5660" s="1">
        <v>0.93</v>
      </c>
      <c r="E5660" s="1" t="s">
        <v>119</v>
      </c>
      <c r="F5660" s="1" t="s">
        <v>119</v>
      </c>
      <c r="G5660" s="1" t="s">
        <v>119</v>
      </c>
      <c r="H5660" s="1" t="str">
        <f>VLOOKUP(F5660,Countries!$A$1:$B$161,2,0)</f>
        <v>Great Britain (United Kingdom)</v>
      </c>
    </row>
    <row r="5661" spans="1:8" x14ac:dyDescent="0.3">
      <c r="A5661" s="3">
        <v>46240.776516203703</v>
      </c>
      <c r="B5661" s="1">
        <v>13.89</v>
      </c>
      <c r="C5661" s="1">
        <v>12.05</v>
      </c>
      <c r="D5661" s="1">
        <v>0.88</v>
      </c>
      <c r="E5661" s="1" t="s">
        <v>200</v>
      </c>
      <c r="F5661" s="1" t="s">
        <v>200</v>
      </c>
      <c r="G5661" s="1" t="s">
        <v>200</v>
      </c>
      <c r="H5661" s="1" t="str">
        <f>VLOOKUP(F5661,Countries!$A$1:$B$161,2,0)</f>
        <v>Iraq</v>
      </c>
    </row>
    <row r="5662" spans="1:8" x14ac:dyDescent="0.3">
      <c r="A5662" s="3">
        <v>46240.774074074077</v>
      </c>
      <c r="B5662" s="1">
        <v>7.98</v>
      </c>
      <c r="C5662" s="1">
        <v>6.93</v>
      </c>
      <c r="D5662" s="1">
        <v>0.49</v>
      </c>
      <c r="E5662" s="1" t="s">
        <v>125</v>
      </c>
      <c r="F5662" s="1" t="s">
        <v>125</v>
      </c>
      <c r="G5662" s="1" t="s">
        <v>125</v>
      </c>
      <c r="H5662" s="1" t="str">
        <f>VLOOKUP(F5662,Countries!$A$1:$B$161,2,0)</f>
        <v>Norway</v>
      </c>
    </row>
    <row r="5663" spans="1:8" x14ac:dyDescent="0.3">
      <c r="A5663" s="3">
        <v>46240.772164351853</v>
      </c>
      <c r="B5663" s="1">
        <v>2.11</v>
      </c>
      <c r="C5663" s="1">
        <v>1.83</v>
      </c>
      <c r="D5663" s="1">
        <v>0.35</v>
      </c>
      <c r="E5663" s="1" t="s">
        <v>113</v>
      </c>
      <c r="F5663" s="1" t="s">
        <v>113</v>
      </c>
      <c r="G5663" s="1" t="s">
        <v>113</v>
      </c>
      <c r="H5663" s="1" t="str">
        <f>VLOOKUP(F5663,Countries!$A$1:$B$161,2,0)</f>
        <v>United States of America</v>
      </c>
    </row>
    <row r="5664" spans="1:8" x14ac:dyDescent="0.3">
      <c r="A5664" s="3">
        <v>46240.772164351853</v>
      </c>
      <c r="B5664" s="1">
        <v>13.32</v>
      </c>
      <c r="C5664" s="1">
        <v>11.56</v>
      </c>
      <c r="D5664" s="1">
        <v>0.65</v>
      </c>
      <c r="E5664" s="1" t="s">
        <v>125</v>
      </c>
      <c r="F5664" s="1" t="s">
        <v>125</v>
      </c>
      <c r="G5664" s="1" t="s">
        <v>125</v>
      </c>
      <c r="H5664" s="1" t="str">
        <f>VLOOKUP(F5664,Countries!$A$1:$B$161,2,0)</f>
        <v>Norway</v>
      </c>
    </row>
    <row r="5665" spans="1:8" x14ac:dyDescent="0.3">
      <c r="A5665" s="3">
        <v>46240.771736111114</v>
      </c>
      <c r="B5665" s="1">
        <v>17.010000000000002</v>
      </c>
      <c r="C5665" s="1">
        <v>14.76</v>
      </c>
      <c r="D5665" s="1">
        <v>1.03</v>
      </c>
      <c r="E5665" s="1" t="s">
        <v>113</v>
      </c>
      <c r="F5665" s="1" t="s">
        <v>113</v>
      </c>
      <c r="G5665" s="1" t="s">
        <v>113</v>
      </c>
      <c r="H5665" s="1" t="str">
        <f>VLOOKUP(F5665,Countries!$A$1:$B$161,2,0)</f>
        <v>United States of America</v>
      </c>
    </row>
    <row r="5666" spans="1:8" x14ac:dyDescent="0.3">
      <c r="A5666" s="3">
        <v>46240.769467592603</v>
      </c>
      <c r="B5666" s="1">
        <v>2.99</v>
      </c>
      <c r="C5666" s="1">
        <v>2.59</v>
      </c>
      <c r="D5666" s="1">
        <v>0.38</v>
      </c>
      <c r="E5666" s="1" t="s">
        <v>113</v>
      </c>
      <c r="F5666" s="1" t="s">
        <v>113</v>
      </c>
      <c r="G5666" s="1" t="s">
        <v>113</v>
      </c>
      <c r="H5666" s="1" t="str">
        <f>VLOOKUP(F5666,Countries!$A$1:$B$161,2,0)</f>
        <v>United States of America</v>
      </c>
    </row>
    <row r="5667" spans="1:8" x14ac:dyDescent="0.3">
      <c r="A5667" s="3">
        <v>46240.764803240738</v>
      </c>
      <c r="B5667" s="1">
        <v>4.24</v>
      </c>
      <c r="C5667" s="1">
        <v>3.68</v>
      </c>
      <c r="D5667" s="1">
        <v>0.44</v>
      </c>
      <c r="E5667" s="1" t="s">
        <v>113</v>
      </c>
      <c r="F5667" s="1" t="s">
        <v>113</v>
      </c>
      <c r="G5667" s="1" t="s">
        <v>113</v>
      </c>
      <c r="H5667" s="1" t="str">
        <f>VLOOKUP(F5667,Countries!$A$1:$B$161,2,0)</f>
        <v>United States of America</v>
      </c>
    </row>
    <row r="5668" spans="1:8" x14ac:dyDescent="0.3">
      <c r="A5668" s="3">
        <v>46240.759479166663</v>
      </c>
      <c r="B5668" s="1">
        <v>2.99</v>
      </c>
      <c r="C5668" s="1">
        <v>2.59</v>
      </c>
      <c r="D5668" s="1">
        <v>0.38</v>
      </c>
      <c r="E5668" s="1" t="s">
        <v>113</v>
      </c>
      <c r="F5668" s="1" t="s">
        <v>113</v>
      </c>
      <c r="G5668" s="1" t="s">
        <v>113</v>
      </c>
      <c r="H5668" s="1" t="str">
        <f>VLOOKUP(F5668,Countries!$A$1:$B$161,2,0)</f>
        <v>United States of America</v>
      </c>
    </row>
    <row r="5669" spans="1:8" x14ac:dyDescent="0.3">
      <c r="A5669" s="3">
        <v>46240.747048611112</v>
      </c>
      <c r="B5669" s="1">
        <v>14.77</v>
      </c>
      <c r="C5669" s="1">
        <v>12.82</v>
      </c>
      <c r="D5669" s="1">
        <v>0.93</v>
      </c>
      <c r="E5669" s="1" t="s">
        <v>113</v>
      </c>
      <c r="F5669" s="1" t="s">
        <v>113</v>
      </c>
      <c r="G5669" s="1" t="s">
        <v>113</v>
      </c>
      <c r="H5669" s="1" t="str">
        <f>VLOOKUP(F5669,Countries!$A$1:$B$161,2,0)</f>
        <v>United States of America</v>
      </c>
    </row>
    <row r="5670" spans="1:8" x14ac:dyDescent="0.3">
      <c r="A5670" s="3">
        <v>46240.745532407411</v>
      </c>
      <c r="B5670" s="1">
        <v>3.28</v>
      </c>
      <c r="C5670" s="1">
        <v>2.85</v>
      </c>
      <c r="D5670" s="1">
        <v>0.4</v>
      </c>
      <c r="E5670" s="1" t="s">
        <v>152</v>
      </c>
      <c r="F5670" s="1" t="s">
        <v>152</v>
      </c>
      <c r="G5670" s="1" t="s">
        <v>152</v>
      </c>
      <c r="H5670" s="1" t="str">
        <f>VLOOKUP(F5670,Countries!$A$1:$B$161,2,0)</f>
        <v>Singapore</v>
      </c>
    </row>
    <row r="5671" spans="1:8" x14ac:dyDescent="0.3">
      <c r="A5671" s="3">
        <v>46240.734768518523</v>
      </c>
      <c r="B5671" s="1">
        <v>7.98</v>
      </c>
      <c r="C5671" s="1">
        <v>6.93</v>
      </c>
      <c r="D5671" s="1">
        <v>0.49</v>
      </c>
      <c r="E5671" s="1" t="s">
        <v>116</v>
      </c>
      <c r="F5671" s="1" t="s">
        <v>133</v>
      </c>
      <c r="G5671" s="1" t="s">
        <v>133</v>
      </c>
      <c r="H5671" s="1" t="str">
        <f>VLOOKUP(F5671,Countries!$A$1:$B$161,2,0)</f>
        <v>Denmark</v>
      </c>
    </row>
    <row r="5672" spans="1:8" x14ac:dyDescent="0.3">
      <c r="A5672" s="3">
        <v>46240.728321759263</v>
      </c>
      <c r="B5672" s="1">
        <v>6.37</v>
      </c>
      <c r="C5672" s="1">
        <v>5.53</v>
      </c>
      <c r="D5672" s="1">
        <v>0.54</v>
      </c>
      <c r="E5672" s="1" t="s">
        <v>113</v>
      </c>
      <c r="F5672" s="1" t="s">
        <v>113</v>
      </c>
      <c r="G5672" s="1" t="s">
        <v>113</v>
      </c>
      <c r="H5672" s="1" t="str">
        <f>VLOOKUP(F5672,Countries!$A$1:$B$161,2,0)</f>
        <v>United States of America</v>
      </c>
    </row>
    <row r="5673" spans="1:8" x14ac:dyDescent="0.3">
      <c r="A5673" s="3">
        <v>46240.709224537037</v>
      </c>
      <c r="B5673" s="1">
        <v>6.37</v>
      </c>
      <c r="C5673" s="1">
        <v>5.53</v>
      </c>
      <c r="D5673" s="1">
        <v>0.54</v>
      </c>
      <c r="E5673" s="1" t="s">
        <v>113</v>
      </c>
      <c r="F5673" s="1" t="s">
        <v>113</v>
      </c>
      <c r="G5673" s="1" t="s">
        <v>113</v>
      </c>
      <c r="H5673" s="1" t="str">
        <f>VLOOKUP(F5673,Countries!$A$1:$B$161,2,0)</f>
        <v>United States of America</v>
      </c>
    </row>
    <row r="5674" spans="1:8" x14ac:dyDescent="0.3">
      <c r="A5674" s="3">
        <v>46240.702743055554</v>
      </c>
      <c r="B5674" s="1">
        <v>6.37</v>
      </c>
      <c r="C5674" s="1">
        <v>5.53</v>
      </c>
      <c r="D5674" s="1">
        <v>0.54</v>
      </c>
      <c r="E5674" s="1" t="s">
        <v>113</v>
      </c>
      <c r="F5674" s="1" t="s">
        <v>113</v>
      </c>
      <c r="G5674" s="1" t="s">
        <v>113</v>
      </c>
      <c r="H5674" s="1" t="str">
        <f>VLOOKUP(F5674,Countries!$A$1:$B$161,2,0)</f>
        <v>United States of America</v>
      </c>
    </row>
    <row r="5675" spans="1:8" x14ac:dyDescent="0.3">
      <c r="A5675" s="3">
        <v>46240.7</v>
      </c>
      <c r="B5675" s="1">
        <v>6.37</v>
      </c>
      <c r="C5675" s="1">
        <v>5.53</v>
      </c>
      <c r="D5675" s="1">
        <v>0.54</v>
      </c>
      <c r="E5675" s="1" t="s">
        <v>113</v>
      </c>
      <c r="F5675" s="1" t="s">
        <v>113</v>
      </c>
      <c r="G5675" s="1" t="s">
        <v>113</v>
      </c>
      <c r="H5675" s="1" t="str">
        <f>VLOOKUP(F5675,Countries!$A$1:$B$161,2,0)</f>
        <v>United States of America</v>
      </c>
    </row>
    <row r="5676" spans="1:8" x14ac:dyDescent="0.3">
      <c r="A5676" s="3">
        <v>46240.693472222221</v>
      </c>
      <c r="B5676" s="1">
        <v>3.99</v>
      </c>
      <c r="C5676" s="1">
        <v>3.46</v>
      </c>
      <c r="D5676" s="1">
        <v>0.43</v>
      </c>
      <c r="E5676" s="1" t="s">
        <v>165</v>
      </c>
      <c r="F5676" s="1" t="s">
        <v>165</v>
      </c>
      <c r="G5676" s="1" t="s">
        <v>165</v>
      </c>
      <c r="H5676" s="1" t="str">
        <f>VLOOKUP(F5676,Countries!$A$1:$B$161,2,0)</f>
        <v>Israel</v>
      </c>
    </row>
    <row r="5677" spans="1:8" x14ac:dyDescent="0.3">
      <c r="A5677" s="3">
        <v>46240.693206018521</v>
      </c>
      <c r="B5677" s="1">
        <v>3.88</v>
      </c>
      <c r="C5677" s="1">
        <v>3.37</v>
      </c>
      <c r="D5677" s="1">
        <v>0.37</v>
      </c>
      <c r="E5677" s="1" t="s">
        <v>180</v>
      </c>
      <c r="F5677" s="1" t="s">
        <v>180</v>
      </c>
      <c r="G5677" s="1" t="s">
        <v>180</v>
      </c>
      <c r="H5677" s="1" t="str">
        <f>VLOOKUP(F5677,Countries!$A$1:$B$161,2,0)</f>
        <v>Portugal</v>
      </c>
    </row>
    <row r="5678" spans="1:8" x14ac:dyDescent="0.3">
      <c r="A5678" s="3">
        <v>46240.69259259259</v>
      </c>
      <c r="B5678" s="1">
        <v>10.62</v>
      </c>
      <c r="C5678" s="1">
        <v>9.2200000000000006</v>
      </c>
      <c r="D5678" s="1">
        <v>0.73</v>
      </c>
      <c r="E5678" s="1" t="s">
        <v>113</v>
      </c>
      <c r="F5678" s="1" t="s">
        <v>113</v>
      </c>
      <c r="G5678" s="1" t="s">
        <v>113</v>
      </c>
      <c r="H5678" s="1" t="str">
        <f>VLOOKUP(F5678,Countries!$A$1:$B$161,2,0)</f>
        <v>United States of America</v>
      </c>
    </row>
    <row r="5679" spans="1:8" x14ac:dyDescent="0.3">
      <c r="A5679" s="3">
        <v>46240.680752314824</v>
      </c>
      <c r="B5679" s="1">
        <v>6.37</v>
      </c>
      <c r="C5679" s="1">
        <v>5.53</v>
      </c>
      <c r="D5679" s="1">
        <v>0.54</v>
      </c>
      <c r="E5679" s="1" t="s">
        <v>182</v>
      </c>
      <c r="F5679" s="1" t="s">
        <v>182</v>
      </c>
      <c r="G5679" s="1" t="s">
        <v>182</v>
      </c>
      <c r="H5679" s="1" t="str">
        <f>VLOOKUP(F5679,Countries!$A$1:$B$161,2,0)</f>
        <v>Guatemala</v>
      </c>
    </row>
    <row r="5680" spans="1:8" x14ac:dyDescent="0.3">
      <c r="A5680" s="3">
        <v>46240.672210648147</v>
      </c>
      <c r="B5680" s="1">
        <v>3.18</v>
      </c>
      <c r="C5680" s="1">
        <v>2.76</v>
      </c>
      <c r="D5680" s="1">
        <v>0.4</v>
      </c>
      <c r="E5680" s="1" t="s">
        <v>113</v>
      </c>
      <c r="F5680" s="1" t="s">
        <v>113</v>
      </c>
      <c r="G5680" s="1" t="s">
        <v>113</v>
      </c>
      <c r="H5680" s="1" t="str">
        <f>VLOOKUP(F5680,Countries!$A$1:$B$161,2,0)</f>
        <v>United States of America</v>
      </c>
    </row>
    <row r="5681" spans="1:8" x14ac:dyDescent="0.3">
      <c r="A5681" s="3">
        <v>46240.669016203698</v>
      </c>
      <c r="B5681" s="1">
        <v>7.48</v>
      </c>
      <c r="C5681" s="1">
        <v>6.49</v>
      </c>
      <c r="D5681" s="1">
        <v>0.48</v>
      </c>
      <c r="E5681" s="1" t="s">
        <v>123</v>
      </c>
      <c r="F5681" s="1" t="s">
        <v>123</v>
      </c>
      <c r="G5681" s="1" t="s">
        <v>123</v>
      </c>
      <c r="H5681" s="1" t="str">
        <f>VLOOKUP(F5681,Countries!$A$1:$B$161,2,0)</f>
        <v>France</v>
      </c>
    </row>
    <row r="5682" spans="1:8" x14ac:dyDescent="0.3">
      <c r="A5682" s="3">
        <v>46240.663078703707</v>
      </c>
      <c r="B5682" s="1">
        <v>7.58</v>
      </c>
      <c r="C5682" s="1">
        <v>6.57</v>
      </c>
      <c r="D5682" s="1">
        <v>0.48</v>
      </c>
      <c r="E5682" s="1" t="s">
        <v>116</v>
      </c>
      <c r="F5682" s="1" t="s">
        <v>116</v>
      </c>
      <c r="G5682" s="1" t="s">
        <v>116</v>
      </c>
      <c r="H5682" s="1" t="str">
        <f>VLOOKUP(F5682,Countries!$A$1:$B$161,2,0)</f>
        <v>Spain</v>
      </c>
    </row>
    <row r="5683" spans="1:8" x14ac:dyDescent="0.3">
      <c r="A5683" s="3">
        <v>46240.655243055553</v>
      </c>
      <c r="B5683" s="1">
        <v>6.37</v>
      </c>
      <c r="C5683" s="1">
        <v>5.52</v>
      </c>
      <c r="D5683" s="1">
        <v>0.54</v>
      </c>
      <c r="E5683" s="1" t="s">
        <v>113</v>
      </c>
      <c r="F5683" s="1" t="s">
        <v>113</v>
      </c>
      <c r="G5683" s="1" t="s">
        <v>113</v>
      </c>
      <c r="H5683" s="1" t="str">
        <f>VLOOKUP(F5683,Countries!$A$1:$B$161,2,0)</f>
        <v>United States of America</v>
      </c>
    </row>
    <row r="5684" spans="1:8" x14ac:dyDescent="0.3">
      <c r="A5684" s="3">
        <v>46240.653865740736</v>
      </c>
      <c r="B5684" s="1">
        <v>1.99</v>
      </c>
      <c r="C5684" s="1">
        <v>1.73</v>
      </c>
      <c r="D5684" s="1">
        <v>0.34</v>
      </c>
      <c r="E5684" s="1" t="s">
        <v>113</v>
      </c>
      <c r="F5684" s="1" t="s">
        <v>215</v>
      </c>
      <c r="G5684" s="1" t="s">
        <v>215</v>
      </c>
      <c r="H5684" s="1" t="str">
        <f>VLOOKUP(F5684,Countries!$A$1:$B$161,2,0)</f>
        <v>Palestinian Territory (occupied)</v>
      </c>
    </row>
    <row r="5685" spans="1:8" x14ac:dyDescent="0.3">
      <c r="A5685" s="3">
        <v>46240.648854166669</v>
      </c>
      <c r="B5685" s="1">
        <v>7.48</v>
      </c>
      <c r="C5685" s="1">
        <v>6.48</v>
      </c>
      <c r="D5685" s="1">
        <v>0.48</v>
      </c>
      <c r="E5685" s="1" t="s">
        <v>123</v>
      </c>
      <c r="F5685" s="1" t="s">
        <v>123</v>
      </c>
      <c r="G5685" s="1" t="s">
        <v>123</v>
      </c>
      <c r="H5685" s="1" t="str">
        <f>VLOOKUP(F5685,Countries!$A$1:$B$161,2,0)</f>
        <v>France</v>
      </c>
    </row>
    <row r="5686" spans="1:8" x14ac:dyDescent="0.3">
      <c r="A5686" s="3">
        <v>46240.648599537039</v>
      </c>
      <c r="B5686" s="1">
        <v>6.37</v>
      </c>
      <c r="C5686" s="1">
        <v>5.52</v>
      </c>
      <c r="D5686" s="1">
        <v>0.54</v>
      </c>
      <c r="E5686" s="1" t="s">
        <v>113</v>
      </c>
      <c r="F5686" s="1" t="s">
        <v>113</v>
      </c>
      <c r="G5686" s="1" t="s">
        <v>113</v>
      </c>
      <c r="H5686" s="1" t="str">
        <f>VLOOKUP(F5686,Countries!$A$1:$B$161,2,0)</f>
        <v>United States of America</v>
      </c>
    </row>
    <row r="5687" spans="1:8" x14ac:dyDescent="0.3">
      <c r="A5687" s="3">
        <v>46240.647476851853</v>
      </c>
      <c r="B5687" s="1">
        <v>7.58</v>
      </c>
      <c r="C5687" s="1">
        <v>6.57</v>
      </c>
      <c r="D5687" s="1">
        <v>0.48</v>
      </c>
      <c r="E5687" s="1" t="s">
        <v>116</v>
      </c>
      <c r="F5687" s="1" t="s">
        <v>116</v>
      </c>
      <c r="G5687" s="1" t="s">
        <v>116</v>
      </c>
      <c r="H5687" s="1" t="str">
        <f>VLOOKUP(F5687,Countries!$A$1:$B$161,2,0)</f>
        <v>Spain</v>
      </c>
    </row>
    <row r="5688" spans="1:8" x14ac:dyDescent="0.3">
      <c r="A5688" s="3">
        <v>46240.644375000003</v>
      </c>
      <c r="B5688" s="1">
        <v>6.37</v>
      </c>
      <c r="C5688" s="1">
        <v>5.52</v>
      </c>
      <c r="D5688" s="1">
        <v>0.54</v>
      </c>
      <c r="E5688" s="1" t="s">
        <v>113</v>
      </c>
      <c r="F5688" s="1" t="s">
        <v>113</v>
      </c>
      <c r="G5688" s="1" t="s">
        <v>113</v>
      </c>
      <c r="H5688" s="1" t="str">
        <f>VLOOKUP(F5688,Countries!$A$1:$B$161,2,0)</f>
        <v>United States of America</v>
      </c>
    </row>
    <row r="5689" spans="1:8" x14ac:dyDescent="0.3">
      <c r="A5689" s="3">
        <v>46240.643645833326</v>
      </c>
      <c r="B5689" s="1">
        <v>9.07</v>
      </c>
      <c r="C5689" s="1">
        <v>7.86</v>
      </c>
      <c r="D5689" s="1">
        <v>0.67</v>
      </c>
      <c r="E5689" s="1" t="s">
        <v>114</v>
      </c>
      <c r="F5689" s="1" t="s">
        <v>114</v>
      </c>
      <c r="G5689" s="1" t="s">
        <v>114</v>
      </c>
      <c r="H5689" s="1" t="str">
        <f>VLOOKUP(F5689,Countries!$A$1:$B$161,2,0)</f>
        <v>Philippines</v>
      </c>
    </row>
    <row r="5690" spans="1:8" x14ac:dyDescent="0.3">
      <c r="A5690" s="3">
        <v>46240.643506944441</v>
      </c>
      <c r="B5690" s="1">
        <v>7.21</v>
      </c>
      <c r="C5690" s="1">
        <v>6.25</v>
      </c>
      <c r="D5690" s="1">
        <v>0.57999999999999996</v>
      </c>
      <c r="E5690" s="1" t="s">
        <v>165</v>
      </c>
      <c r="F5690" s="1" t="s">
        <v>165</v>
      </c>
      <c r="G5690" s="1" t="s">
        <v>165</v>
      </c>
      <c r="H5690" s="1" t="str">
        <f>VLOOKUP(F5690,Countries!$A$1:$B$161,2,0)</f>
        <v>Israel</v>
      </c>
    </row>
    <row r="5691" spans="1:8" x14ac:dyDescent="0.3">
      <c r="A5691" s="3">
        <v>46240.640324074076</v>
      </c>
      <c r="B5691" s="1">
        <v>20.21</v>
      </c>
      <c r="C5691" s="1">
        <v>17.52</v>
      </c>
      <c r="D5691" s="1">
        <v>1.17</v>
      </c>
      <c r="E5691" s="1" t="s">
        <v>113</v>
      </c>
      <c r="F5691" s="1" t="s">
        <v>113</v>
      </c>
      <c r="G5691" s="1" t="s">
        <v>113</v>
      </c>
      <c r="H5691" s="1" t="str">
        <f>VLOOKUP(F5691,Countries!$A$1:$B$161,2,0)</f>
        <v>United States of America</v>
      </c>
    </row>
    <row r="5692" spans="1:8" x14ac:dyDescent="0.3">
      <c r="A5692" s="3">
        <v>46240.625601851847</v>
      </c>
      <c r="B5692" s="1">
        <v>7.77</v>
      </c>
      <c r="C5692" s="1">
        <v>6.73</v>
      </c>
      <c r="D5692" s="1">
        <v>0.48</v>
      </c>
      <c r="E5692" s="1" t="s">
        <v>137</v>
      </c>
      <c r="F5692" s="1" t="s">
        <v>137</v>
      </c>
      <c r="G5692" s="1" t="s">
        <v>137</v>
      </c>
      <c r="H5692" s="1" t="str">
        <f>VLOOKUP(F5692,Countries!$A$1:$B$161,2,0)</f>
        <v>Poland</v>
      </c>
    </row>
    <row r="5693" spans="1:8" x14ac:dyDescent="0.3">
      <c r="A5693" s="3">
        <v>46240.622106481482</v>
      </c>
      <c r="B5693" s="1">
        <v>6.37</v>
      </c>
      <c r="C5693" s="1">
        <v>5.52</v>
      </c>
      <c r="D5693" s="1">
        <v>0.54</v>
      </c>
      <c r="E5693" s="1" t="s">
        <v>113</v>
      </c>
      <c r="F5693" s="1" t="s">
        <v>113</v>
      </c>
      <c r="G5693" s="1" t="s">
        <v>113</v>
      </c>
      <c r="H5693" s="1" t="str">
        <f>VLOOKUP(F5693,Countries!$A$1:$B$161,2,0)</f>
        <v>United States of America</v>
      </c>
    </row>
    <row r="5694" spans="1:8" x14ac:dyDescent="0.3">
      <c r="A5694" s="3">
        <v>46240.619479166657</v>
      </c>
      <c r="B5694" s="1">
        <v>14.77</v>
      </c>
      <c r="C5694" s="1">
        <v>12.8</v>
      </c>
      <c r="D5694" s="1">
        <v>0.93</v>
      </c>
      <c r="E5694" s="1" t="s">
        <v>113</v>
      </c>
      <c r="F5694" s="1" t="s">
        <v>113</v>
      </c>
      <c r="G5694" s="1" t="s">
        <v>113</v>
      </c>
      <c r="H5694" s="1" t="str">
        <f>VLOOKUP(F5694,Countries!$A$1:$B$161,2,0)</f>
        <v>United States of America</v>
      </c>
    </row>
    <row r="5695" spans="1:8" x14ac:dyDescent="0.3">
      <c r="A5695" s="3">
        <v>46240.618726851862</v>
      </c>
      <c r="B5695" s="1">
        <v>3.69</v>
      </c>
      <c r="C5695" s="1">
        <v>3.2</v>
      </c>
      <c r="D5695" s="1">
        <v>0.39</v>
      </c>
      <c r="E5695" s="1" t="s">
        <v>119</v>
      </c>
      <c r="F5695" s="1" t="s">
        <v>119</v>
      </c>
      <c r="G5695" s="1" t="s">
        <v>119</v>
      </c>
      <c r="H5695" s="1" t="str">
        <f>VLOOKUP(F5695,Countries!$A$1:$B$161,2,0)</f>
        <v>Great Britain (United Kingdom)</v>
      </c>
    </row>
    <row r="5696" spans="1:8" x14ac:dyDescent="0.3">
      <c r="A5696" s="3">
        <v>46240.618541666663</v>
      </c>
      <c r="B5696" s="1">
        <v>3.18</v>
      </c>
      <c r="C5696" s="1">
        <v>2.75</v>
      </c>
      <c r="D5696" s="1">
        <v>0.4</v>
      </c>
      <c r="E5696" s="1" t="s">
        <v>113</v>
      </c>
      <c r="F5696" s="1" t="s">
        <v>113</v>
      </c>
      <c r="G5696" s="1" t="s">
        <v>113</v>
      </c>
      <c r="H5696" s="1" t="str">
        <f>VLOOKUP(F5696,Countries!$A$1:$B$161,2,0)</f>
        <v>United States of America</v>
      </c>
    </row>
    <row r="5697" spans="1:8" x14ac:dyDescent="0.3">
      <c r="A5697" s="3">
        <v>46240.614710648151</v>
      </c>
      <c r="B5697" s="1">
        <v>7.48</v>
      </c>
      <c r="C5697" s="1">
        <v>6.48</v>
      </c>
      <c r="D5697" s="1">
        <v>0.54</v>
      </c>
      <c r="E5697" s="1" t="s">
        <v>119</v>
      </c>
      <c r="F5697" s="1" t="s">
        <v>119</v>
      </c>
      <c r="G5697" s="1" t="s">
        <v>119</v>
      </c>
      <c r="H5697" s="1" t="str">
        <f>VLOOKUP(F5697,Countries!$A$1:$B$161,2,0)</f>
        <v>Great Britain (United Kingdom)</v>
      </c>
    </row>
    <row r="5698" spans="1:8" x14ac:dyDescent="0.3">
      <c r="A5698" s="3">
        <v>46240.610625000001</v>
      </c>
      <c r="B5698" s="1">
        <v>7.48</v>
      </c>
      <c r="C5698" s="1">
        <v>6.48</v>
      </c>
      <c r="D5698" s="1">
        <v>0.48</v>
      </c>
      <c r="E5698" s="1" t="s">
        <v>123</v>
      </c>
      <c r="F5698" s="1" t="s">
        <v>123</v>
      </c>
      <c r="G5698" s="1" t="s">
        <v>123</v>
      </c>
      <c r="H5698" s="1" t="str">
        <f>VLOOKUP(F5698,Countries!$A$1:$B$161,2,0)</f>
        <v>France</v>
      </c>
    </row>
    <row r="5699" spans="1:8" x14ac:dyDescent="0.3">
      <c r="A5699" s="3">
        <v>46240.606851851851</v>
      </c>
      <c r="B5699" s="1">
        <v>3.99</v>
      </c>
      <c r="C5699" s="1">
        <v>3.46</v>
      </c>
      <c r="D5699" s="1">
        <v>0.43</v>
      </c>
      <c r="E5699" s="1" t="s">
        <v>113</v>
      </c>
      <c r="F5699" s="1" t="s">
        <v>113</v>
      </c>
      <c r="G5699" s="1" t="s">
        <v>113</v>
      </c>
      <c r="H5699" s="1" t="str">
        <f>VLOOKUP(F5699,Countries!$A$1:$B$161,2,0)</f>
        <v>United States of America</v>
      </c>
    </row>
    <row r="5700" spans="1:8" x14ac:dyDescent="0.3">
      <c r="A5700" s="3">
        <v>46240.605914351851</v>
      </c>
      <c r="B5700" s="1">
        <v>10.62</v>
      </c>
      <c r="C5700" s="1">
        <v>9.1999999999999993</v>
      </c>
      <c r="D5700" s="1">
        <v>0.73</v>
      </c>
      <c r="E5700" s="1" t="s">
        <v>113</v>
      </c>
      <c r="F5700" s="1" t="s">
        <v>113</v>
      </c>
      <c r="G5700" s="1" t="s">
        <v>113</v>
      </c>
      <c r="H5700" s="1" t="str">
        <f>VLOOKUP(F5700,Countries!$A$1:$B$161,2,0)</f>
        <v>United States of America</v>
      </c>
    </row>
    <row r="5701" spans="1:8" x14ac:dyDescent="0.3">
      <c r="A5701" s="3">
        <v>46240.600219907406</v>
      </c>
      <c r="B5701" s="1">
        <v>7.77</v>
      </c>
      <c r="C5701" s="1">
        <v>6.73</v>
      </c>
      <c r="D5701" s="1">
        <v>0.48</v>
      </c>
      <c r="E5701" s="1" t="s">
        <v>137</v>
      </c>
      <c r="F5701" s="1" t="s">
        <v>137</v>
      </c>
      <c r="G5701" s="1" t="s">
        <v>137</v>
      </c>
      <c r="H5701" s="1" t="str">
        <f>VLOOKUP(F5701,Countries!$A$1:$B$161,2,0)</f>
        <v>Poland</v>
      </c>
    </row>
    <row r="5702" spans="1:8" x14ac:dyDescent="0.3">
      <c r="A5702" s="3">
        <v>46240.572939814818</v>
      </c>
      <c r="B5702" s="1">
        <v>2.99</v>
      </c>
      <c r="C5702" s="1">
        <v>2.59</v>
      </c>
      <c r="D5702" s="1">
        <v>0.38</v>
      </c>
      <c r="E5702" s="1" t="s">
        <v>130</v>
      </c>
      <c r="F5702" s="1" t="s">
        <v>130</v>
      </c>
      <c r="G5702" s="1" t="s">
        <v>130</v>
      </c>
      <c r="H5702" s="1" t="str">
        <f>VLOOKUP(F5702,Countries!$A$1:$B$161,2,0)</f>
        <v>Australia</v>
      </c>
    </row>
    <row r="5703" spans="1:8" x14ac:dyDescent="0.3">
      <c r="A5703" s="3">
        <v>46240.568518518521</v>
      </c>
      <c r="B5703" s="1">
        <v>6.37</v>
      </c>
      <c r="C5703" s="1">
        <v>5.52</v>
      </c>
      <c r="D5703" s="1">
        <v>0.54</v>
      </c>
      <c r="E5703" s="1" t="s">
        <v>113</v>
      </c>
      <c r="F5703" s="1" t="s">
        <v>113</v>
      </c>
      <c r="G5703" s="1" t="s">
        <v>113</v>
      </c>
      <c r="H5703" s="1" t="str">
        <f>VLOOKUP(F5703,Countries!$A$1:$B$161,2,0)</f>
        <v>United States of America</v>
      </c>
    </row>
    <row r="5704" spans="1:8" x14ac:dyDescent="0.3">
      <c r="A5704" s="3">
        <v>46240.568113425928</v>
      </c>
      <c r="B5704" s="1">
        <v>7.58</v>
      </c>
      <c r="C5704" s="1">
        <v>6.57</v>
      </c>
      <c r="D5704" s="1">
        <v>0.48</v>
      </c>
      <c r="E5704" s="1" t="s">
        <v>116</v>
      </c>
      <c r="F5704" s="1" t="s">
        <v>116</v>
      </c>
      <c r="G5704" s="1" t="s">
        <v>116</v>
      </c>
      <c r="H5704" s="1" t="str">
        <f>VLOOKUP(F5704,Countries!$A$1:$B$161,2,0)</f>
        <v>Spain</v>
      </c>
    </row>
    <row r="5705" spans="1:8" x14ac:dyDescent="0.3">
      <c r="A5705" s="3">
        <v>46240.563391203701</v>
      </c>
      <c r="B5705" s="1">
        <v>7.48</v>
      </c>
      <c r="C5705" s="1">
        <v>6.48</v>
      </c>
      <c r="D5705" s="1">
        <v>0.59</v>
      </c>
      <c r="E5705" s="1" t="s">
        <v>174</v>
      </c>
      <c r="F5705" s="1" t="s">
        <v>174</v>
      </c>
      <c r="G5705" s="1" t="s">
        <v>174</v>
      </c>
      <c r="H5705" s="1" t="str">
        <f>VLOOKUP(F5705,Countries!$A$1:$B$161,2,0)</f>
        <v>Zimbabwe</v>
      </c>
    </row>
    <row r="5706" spans="1:8" x14ac:dyDescent="0.3">
      <c r="A5706" s="3">
        <v>46240.563078703701</v>
      </c>
      <c r="B5706" s="1">
        <v>3.78</v>
      </c>
      <c r="C5706" s="1">
        <v>3.28</v>
      </c>
      <c r="D5706" s="1">
        <v>0.37</v>
      </c>
      <c r="E5706" s="1" t="s">
        <v>154</v>
      </c>
      <c r="F5706" s="1" t="s">
        <v>154</v>
      </c>
      <c r="G5706" s="1" t="s">
        <v>154</v>
      </c>
      <c r="H5706" s="1" t="str">
        <f>VLOOKUP(F5706,Countries!$A$1:$B$161,2,0)</f>
        <v>Belgium</v>
      </c>
    </row>
    <row r="5707" spans="1:8" x14ac:dyDescent="0.3">
      <c r="A5707" s="3">
        <v>46240.552685185183</v>
      </c>
      <c r="B5707" s="1">
        <v>6.65</v>
      </c>
      <c r="C5707" s="1">
        <v>5.76</v>
      </c>
      <c r="D5707" s="1">
        <v>0.56000000000000005</v>
      </c>
      <c r="E5707" s="1" t="s">
        <v>130</v>
      </c>
      <c r="F5707" s="1" t="s">
        <v>130</v>
      </c>
      <c r="G5707" s="1" t="s">
        <v>130</v>
      </c>
      <c r="H5707" s="1" t="str">
        <f>VLOOKUP(F5707,Countries!$A$1:$B$161,2,0)</f>
        <v>Australia</v>
      </c>
    </row>
    <row r="5708" spans="1:8" x14ac:dyDescent="0.3">
      <c r="A5708" s="3">
        <v>46240.537766203714</v>
      </c>
      <c r="B5708" s="1">
        <v>2.99</v>
      </c>
      <c r="C5708" s="1">
        <v>2.59</v>
      </c>
      <c r="D5708" s="1">
        <v>0.38</v>
      </c>
      <c r="E5708" s="1" t="s">
        <v>113</v>
      </c>
      <c r="F5708" s="1" t="s">
        <v>113</v>
      </c>
      <c r="G5708" s="1" t="s">
        <v>113</v>
      </c>
      <c r="H5708" s="1" t="str">
        <f>VLOOKUP(F5708,Countries!$A$1:$B$161,2,0)</f>
        <v>United States of America</v>
      </c>
    </row>
    <row r="5709" spans="1:8" x14ac:dyDescent="0.3">
      <c r="A5709" s="3">
        <v>46240.523900462962</v>
      </c>
      <c r="B5709" s="1">
        <v>6.37</v>
      </c>
      <c r="C5709" s="1">
        <v>5.52</v>
      </c>
      <c r="D5709" s="1">
        <v>0.54</v>
      </c>
      <c r="E5709" s="1" t="s">
        <v>113</v>
      </c>
      <c r="F5709" s="1" t="s">
        <v>113</v>
      </c>
      <c r="G5709" s="1" t="s">
        <v>113</v>
      </c>
      <c r="H5709" s="1" t="str">
        <f>VLOOKUP(F5709,Countries!$A$1:$B$161,2,0)</f>
        <v>United States of America</v>
      </c>
    </row>
    <row r="5710" spans="1:8" x14ac:dyDescent="0.3">
      <c r="A5710" s="3">
        <v>46240.512048611112</v>
      </c>
      <c r="B5710" s="1">
        <v>7.77</v>
      </c>
      <c r="C5710" s="1">
        <v>6.73</v>
      </c>
      <c r="D5710" s="1">
        <v>0.48</v>
      </c>
      <c r="E5710" s="1" t="s">
        <v>112</v>
      </c>
      <c r="F5710" s="1" t="s">
        <v>112</v>
      </c>
      <c r="G5710" s="1" t="s">
        <v>112</v>
      </c>
      <c r="H5710" s="1" t="str">
        <f>VLOOKUP(F5710,Countries!$A$1:$B$161,2,0)</f>
        <v>Ireland</v>
      </c>
    </row>
    <row r="5711" spans="1:8" x14ac:dyDescent="0.3">
      <c r="A5711" s="3">
        <v>46240.506388888891</v>
      </c>
      <c r="B5711" s="1">
        <v>15.26</v>
      </c>
      <c r="C5711" s="1">
        <v>13.22</v>
      </c>
      <c r="D5711" s="1">
        <v>0.94</v>
      </c>
      <c r="E5711" s="1" t="s">
        <v>142</v>
      </c>
      <c r="F5711" s="1" t="s">
        <v>152</v>
      </c>
      <c r="G5711" s="1" t="s">
        <v>152</v>
      </c>
      <c r="H5711" s="1" t="str">
        <f>VLOOKUP(F5711,Countries!$A$1:$B$161,2,0)</f>
        <v>Singapore</v>
      </c>
    </row>
    <row r="5712" spans="1:8" x14ac:dyDescent="0.3">
      <c r="A5712" s="3">
        <v>46240.496354166673</v>
      </c>
      <c r="B5712" s="1">
        <v>10.62</v>
      </c>
      <c r="C5712" s="1">
        <v>9.1999999999999993</v>
      </c>
      <c r="D5712" s="1">
        <v>0.73</v>
      </c>
      <c r="E5712" s="1" t="s">
        <v>142</v>
      </c>
      <c r="F5712" s="1" t="s">
        <v>152</v>
      </c>
      <c r="G5712" s="1" t="s">
        <v>152</v>
      </c>
      <c r="H5712" s="1" t="str">
        <f>VLOOKUP(F5712,Countries!$A$1:$B$161,2,0)</f>
        <v>Singapore</v>
      </c>
    </row>
    <row r="5713" spans="1:8" x14ac:dyDescent="0.3">
      <c r="A5713" s="3">
        <v>46240.494259259263</v>
      </c>
      <c r="B5713" s="1">
        <v>10.62</v>
      </c>
      <c r="C5713" s="1">
        <v>9.1999999999999993</v>
      </c>
      <c r="D5713" s="1">
        <v>0.73</v>
      </c>
      <c r="E5713" s="1" t="s">
        <v>113</v>
      </c>
      <c r="F5713" s="1" t="s">
        <v>113</v>
      </c>
      <c r="G5713" s="1" t="s">
        <v>113</v>
      </c>
      <c r="H5713" s="1" t="str">
        <f>VLOOKUP(F5713,Countries!$A$1:$B$161,2,0)</f>
        <v>United States of America</v>
      </c>
    </row>
    <row r="5714" spans="1:8" x14ac:dyDescent="0.3">
      <c r="A5714" s="3">
        <v>46240.487280092602</v>
      </c>
      <c r="B5714" s="1">
        <v>10.62</v>
      </c>
      <c r="C5714" s="1">
        <v>9.1999999999999993</v>
      </c>
      <c r="D5714" s="1">
        <v>0.73</v>
      </c>
      <c r="E5714" s="1" t="s">
        <v>113</v>
      </c>
      <c r="F5714" s="1" t="s">
        <v>113</v>
      </c>
      <c r="G5714" s="1" t="s">
        <v>113</v>
      </c>
      <c r="H5714" s="1" t="str">
        <f>VLOOKUP(F5714,Countries!$A$1:$B$161,2,0)</f>
        <v>United States of America</v>
      </c>
    </row>
    <row r="5715" spans="1:8" x14ac:dyDescent="0.3">
      <c r="A5715" s="3">
        <v>46240.481435185182</v>
      </c>
      <c r="B5715" s="1">
        <v>6.65</v>
      </c>
      <c r="C5715" s="1">
        <v>5.76</v>
      </c>
      <c r="D5715" s="1">
        <v>0.56000000000000005</v>
      </c>
      <c r="E5715" s="1" t="s">
        <v>171</v>
      </c>
      <c r="F5715" s="1" t="s">
        <v>171</v>
      </c>
      <c r="G5715" s="1" t="s">
        <v>171</v>
      </c>
      <c r="H5715" s="1" t="str">
        <f>VLOOKUP(F5715,Countries!$A$1:$B$161,2,0)</f>
        <v>Korea (South)</v>
      </c>
    </row>
    <row r="5716" spans="1:8" x14ac:dyDescent="0.3">
      <c r="A5716" s="3">
        <v>46240.480497685188</v>
      </c>
      <c r="B5716" s="1">
        <v>10.62</v>
      </c>
      <c r="C5716" s="1">
        <v>9.1999999999999993</v>
      </c>
      <c r="D5716" s="1">
        <v>0.73</v>
      </c>
      <c r="E5716" s="1" t="s">
        <v>113</v>
      </c>
      <c r="F5716" s="1" t="s">
        <v>113</v>
      </c>
      <c r="G5716" s="1" t="s">
        <v>113</v>
      </c>
      <c r="H5716" s="1" t="str">
        <f>VLOOKUP(F5716,Countries!$A$1:$B$161,2,0)</f>
        <v>United States of America</v>
      </c>
    </row>
    <row r="5717" spans="1:8" x14ac:dyDescent="0.3">
      <c r="A5717" s="3">
        <v>46240.478761574072</v>
      </c>
      <c r="B5717" s="1">
        <v>14.77</v>
      </c>
      <c r="C5717" s="1">
        <v>12.8</v>
      </c>
      <c r="D5717" s="1">
        <v>0.93</v>
      </c>
      <c r="E5717" s="1" t="s">
        <v>113</v>
      </c>
      <c r="F5717" s="1" t="s">
        <v>113</v>
      </c>
      <c r="G5717" s="1" t="s">
        <v>113</v>
      </c>
      <c r="H5717" s="1" t="str">
        <f>VLOOKUP(F5717,Countries!$A$1:$B$161,2,0)</f>
        <v>United States of America</v>
      </c>
    </row>
    <row r="5718" spans="1:8" x14ac:dyDescent="0.3">
      <c r="A5718" s="3">
        <v>46240.477893518517</v>
      </c>
      <c r="B5718" s="1">
        <v>30.85</v>
      </c>
      <c r="C5718" s="1">
        <v>26.73</v>
      </c>
      <c r="D5718" s="1">
        <v>1.65</v>
      </c>
      <c r="E5718" s="1" t="s">
        <v>113</v>
      </c>
      <c r="F5718" s="1" t="s">
        <v>113</v>
      </c>
      <c r="G5718" s="1" t="s">
        <v>113</v>
      </c>
      <c r="H5718" s="1" t="str">
        <f>VLOOKUP(F5718,Countries!$A$1:$B$161,2,0)</f>
        <v>United States of America</v>
      </c>
    </row>
    <row r="5719" spans="1:8" x14ac:dyDescent="0.3">
      <c r="A5719" s="3">
        <v>46240.474409722221</v>
      </c>
      <c r="B5719" s="1">
        <v>10.62</v>
      </c>
      <c r="C5719" s="1">
        <v>9.1999999999999993</v>
      </c>
      <c r="D5719" s="1">
        <v>0.73</v>
      </c>
      <c r="E5719" s="1" t="s">
        <v>113</v>
      </c>
      <c r="F5719" s="1" t="s">
        <v>113</v>
      </c>
      <c r="G5719" s="1" t="s">
        <v>113</v>
      </c>
      <c r="H5719" s="1" t="str">
        <f>VLOOKUP(F5719,Countries!$A$1:$B$161,2,0)</f>
        <v>United States of America</v>
      </c>
    </row>
    <row r="5720" spans="1:8" x14ac:dyDescent="0.3">
      <c r="A5720" s="3">
        <v>46240.468298611107</v>
      </c>
      <c r="B5720" s="1">
        <v>10.62</v>
      </c>
      <c r="C5720" s="1">
        <v>9.1999999999999993</v>
      </c>
      <c r="D5720" s="1">
        <v>0.73</v>
      </c>
      <c r="E5720" s="1" t="s">
        <v>113</v>
      </c>
      <c r="F5720" s="1" t="s">
        <v>113</v>
      </c>
      <c r="G5720" s="1" t="s">
        <v>113</v>
      </c>
      <c r="H5720" s="1" t="str">
        <f>VLOOKUP(F5720,Countries!$A$1:$B$161,2,0)</f>
        <v>United States of America</v>
      </c>
    </row>
    <row r="5721" spans="1:8" x14ac:dyDescent="0.3">
      <c r="A5721" s="3">
        <v>46240.464328703703</v>
      </c>
      <c r="B5721" s="1">
        <v>30.85</v>
      </c>
      <c r="C5721" s="1">
        <v>26.73</v>
      </c>
      <c r="D5721" s="1">
        <v>1.65</v>
      </c>
      <c r="E5721" s="1" t="s">
        <v>113</v>
      </c>
      <c r="F5721" s="1" t="s">
        <v>113</v>
      </c>
      <c r="G5721" s="1" t="s">
        <v>113</v>
      </c>
      <c r="H5721" s="1" t="str">
        <f>VLOOKUP(F5721,Countries!$A$1:$B$161,2,0)</f>
        <v>United States of America</v>
      </c>
    </row>
    <row r="5722" spans="1:8" x14ac:dyDescent="0.3">
      <c r="A5722" s="3">
        <v>46240.458923611113</v>
      </c>
      <c r="B5722" s="1">
        <v>1.99</v>
      </c>
      <c r="C5722" s="1">
        <v>1.72</v>
      </c>
      <c r="D5722" s="1">
        <v>0.34</v>
      </c>
      <c r="E5722" s="1" t="s">
        <v>190</v>
      </c>
      <c r="F5722" s="1" t="s">
        <v>190</v>
      </c>
      <c r="G5722" s="1" t="s">
        <v>190</v>
      </c>
      <c r="H5722" s="1" t="str">
        <f>VLOOKUP(F5722,Countries!$A$1:$B$161,2,0)</f>
        <v>Egypt</v>
      </c>
    </row>
    <row r="5723" spans="1:8" x14ac:dyDescent="0.3">
      <c r="A5723" s="3">
        <v>46240.458796296298</v>
      </c>
      <c r="B5723" s="1">
        <v>42.54</v>
      </c>
      <c r="C5723" s="1">
        <v>36.869999999999997</v>
      </c>
      <c r="D5723" s="1">
        <v>2.19</v>
      </c>
      <c r="E5723" s="1" t="s">
        <v>113</v>
      </c>
      <c r="F5723" s="1" t="s">
        <v>113</v>
      </c>
      <c r="G5723" s="1" t="s">
        <v>113</v>
      </c>
      <c r="H5723" s="1" t="str">
        <f>VLOOKUP(F5723,Countries!$A$1:$B$161,2,0)</f>
        <v>United States of America</v>
      </c>
    </row>
    <row r="5724" spans="1:8" x14ac:dyDescent="0.3">
      <c r="A5724" s="3">
        <v>46240.457013888888</v>
      </c>
      <c r="B5724" s="1">
        <v>7.39</v>
      </c>
      <c r="C5724" s="1">
        <v>6.4</v>
      </c>
      <c r="D5724" s="1">
        <v>0.59</v>
      </c>
      <c r="E5724" s="1" t="s">
        <v>113</v>
      </c>
      <c r="F5724" s="1" t="s">
        <v>113</v>
      </c>
      <c r="G5724" s="1" t="s">
        <v>113</v>
      </c>
      <c r="H5724" s="1" t="str">
        <f>VLOOKUP(F5724,Countries!$A$1:$B$161,2,0)</f>
        <v>United States of America</v>
      </c>
    </row>
    <row r="5725" spans="1:8" x14ac:dyDescent="0.3">
      <c r="A5725" s="3">
        <v>46240.454502314817</v>
      </c>
      <c r="B5725" s="1">
        <v>14.77</v>
      </c>
      <c r="C5725" s="1">
        <v>12.8</v>
      </c>
      <c r="D5725" s="1">
        <v>0.93</v>
      </c>
      <c r="E5725" s="1" t="s">
        <v>113</v>
      </c>
      <c r="F5725" s="1" t="s">
        <v>113</v>
      </c>
      <c r="G5725" s="1" t="s">
        <v>113</v>
      </c>
      <c r="H5725" s="1" t="str">
        <f>VLOOKUP(F5725,Countries!$A$1:$B$161,2,0)</f>
        <v>United States of America</v>
      </c>
    </row>
    <row r="5726" spans="1:8" x14ac:dyDescent="0.3">
      <c r="A5726" s="3">
        <v>46240.452534722222</v>
      </c>
      <c r="B5726" s="1">
        <v>13.5</v>
      </c>
      <c r="C5726" s="1">
        <v>11.7</v>
      </c>
      <c r="D5726" s="1">
        <v>0.66</v>
      </c>
      <c r="E5726" s="1" t="s">
        <v>111</v>
      </c>
      <c r="F5726" s="1" t="s">
        <v>111</v>
      </c>
      <c r="G5726" s="1" t="s">
        <v>111</v>
      </c>
      <c r="H5726" s="1" t="str">
        <f>VLOOKUP(F5726,Countries!$A$1:$B$161,2,0)</f>
        <v>Finland</v>
      </c>
    </row>
    <row r="5727" spans="1:8" x14ac:dyDescent="0.3">
      <c r="A5727" s="3">
        <v>46240.449456018519</v>
      </c>
      <c r="B5727" s="1">
        <v>10.62</v>
      </c>
      <c r="C5727" s="1">
        <v>9.1999999999999993</v>
      </c>
      <c r="D5727" s="1">
        <v>0.73</v>
      </c>
      <c r="E5727" s="1" t="s">
        <v>113</v>
      </c>
      <c r="F5727" s="1" t="s">
        <v>113</v>
      </c>
      <c r="G5727" s="1" t="s">
        <v>113</v>
      </c>
      <c r="H5727" s="1" t="str">
        <f>VLOOKUP(F5727,Countries!$A$1:$B$161,2,0)</f>
        <v>United States of America</v>
      </c>
    </row>
    <row r="5728" spans="1:8" x14ac:dyDescent="0.3">
      <c r="A5728" s="3">
        <v>46240.449293981481</v>
      </c>
      <c r="B5728" s="1">
        <v>3.18</v>
      </c>
      <c r="C5728" s="1">
        <v>2.76</v>
      </c>
      <c r="D5728" s="1">
        <v>0.4</v>
      </c>
      <c r="E5728" s="1" t="s">
        <v>113</v>
      </c>
      <c r="F5728" s="1" t="s">
        <v>113</v>
      </c>
      <c r="G5728" s="1" t="s">
        <v>113</v>
      </c>
      <c r="H5728" s="1" t="str">
        <f>VLOOKUP(F5728,Countries!$A$1:$B$161,2,0)</f>
        <v>United States of America</v>
      </c>
    </row>
    <row r="5729" spans="1:8" x14ac:dyDescent="0.3">
      <c r="A5729" s="3">
        <v>46240.448125000003</v>
      </c>
      <c r="B5729" s="1">
        <v>29.57</v>
      </c>
      <c r="C5729" s="1">
        <v>25.63</v>
      </c>
      <c r="D5729" s="1">
        <v>1.59</v>
      </c>
      <c r="E5729" s="1" t="s">
        <v>113</v>
      </c>
      <c r="F5729" s="1" t="s">
        <v>113</v>
      </c>
      <c r="G5729" s="1" t="s">
        <v>113</v>
      </c>
      <c r="H5729" s="1" t="str">
        <f>VLOOKUP(F5729,Countries!$A$1:$B$161,2,0)</f>
        <v>United States of America</v>
      </c>
    </row>
    <row r="5730" spans="1:8" x14ac:dyDescent="0.3">
      <c r="A5730" s="3">
        <v>46240.440555555557</v>
      </c>
      <c r="B5730" s="1">
        <v>17.010000000000002</v>
      </c>
      <c r="C5730" s="1">
        <v>14.74</v>
      </c>
      <c r="D5730" s="1">
        <v>1.02</v>
      </c>
      <c r="E5730" s="1" t="s">
        <v>113</v>
      </c>
      <c r="F5730" s="1" t="s">
        <v>113</v>
      </c>
      <c r="G5730" s="1" t="s">
        <v>113</v>
      </c>
      <c r="H5730" s="1" t="str">
        <f>VLOOKUP(F5730,Countries!$A$1:$B$161,2,0)</f>
        <v>United States of America</v>
      </c>
    </row>
    <row r="5731" spans="1:8" x14ac:dyDescent="0.3">
      <c r="A5731" s="3">
        <v>46240.437002314808</v>
      </c>
      <c r="B5731" s="1">
        <v>3.69</v>
      </c>
      <c r="C5731" s="1">
        <v>3.2</v>
      </c>
      <c r="D5731" s="1">
        <v>0.36</v>
      </c>
      <c r="E5731" s="1" t="s">
        <v>159</v>
      </c>
      <c r="F5731" s="1" t="s">
        <v>159</v>
      </c>
      <c r="G5731" s="1" t="s">
        <v>159</v>
      </c>
      <c r="H5731" s="1" t="str">
        <f>VLOOKUP(F5731,Countries!$A$1:$B$161,2,0)</f>
        <v>Romania</v>
      </c>
    </row>
    <row r="5732" spans="1:8" x14ac:dyDescent="0.3">
      <c r="A5732" s="3">
        <v>46240.432349537034</v>
      </c>
      <c r="B5732" s="1">
        <v>6.37</v>
      </c>
      <c r="C5732" s="1">
        <v>5.52</v>
      </c>
      <c r="D5732" s="1">
        <v>0.54</v>
      </c>
      <c r="E5732" s="1" t="s">
        <v>113</v>
      </c>
      <c r="F5732" s="1" t="s">
        <v>113</v>
      </c>
      <c r="G5732" s="1" t="s">
        <v>113</v>
      </c>
      <c r="H5732" s="1" t="str">
        <f>VLOOKUP(F5732,Countries!$A$1:$B$161,2,0)</f>
        <v>United States of America</v>
      </c>
    </row>
    <row r="5733" spans="1:8" x14ac:dyDescent="0.3">
      <c r="A5733" s="3">
        <v>46240.42701388889</v>
      </c>
      <c r="B5733" s="1">
        <v>10.62</v>
      </c>
      <c r="C5733" s="1">
        <v>9.1999999999999993</v>
      </c>
      <c r="D5733" s="1">
        <v>0.73</v>
      </c>
      <c r="E5733" s="1" t="s">
        <v>113</v>
      </c>
      <c r="F5733" s="1" t="s">
        <v>113</v>
      </c>
      <c r="G5733" s="1" t="s">
        <v>113</v>
      </c>
      <c r="H5733" s="1" t="str">
        <f>VLOOKUP(F5733,Countries!$A$1:$B$161,2,0)</f>
        <v>United States of America</v>
      </c>
    </row>
    <row r="5734" spans="1:8" x14ac:dyDescent="0.3">
      <c r="A5734" s="3">
        <v>46240.415648148148</v>
      </c>
      <c r="B5734" s="1">
        <v>6.37</v>
      </c>
      <c r="C5734" s="1">
        <v>5.52</v>
      </c>
      <c r="D5734" s="1">
        <v>0.54</v>
      </c>
      <c r="E5734" s="1" t="s">
        <v>113</v>
      </c>
      <c r="F5734" s="1" t="s">
        <v>113</v>
      </c>
      <c r="G5734" s="1" t="s">
        <v>113</v>
      </c>
      <c r="H5734" s="1" t="str">
        <f>VLOOKUP(F5734,Countries!$A$1:$B$161,2,0)</f>
        <v>United States of America</v>
      </c>
    </row>
    <row r="5735" spans="1:8" x14ac:dyDescent="0.3">
      <c r="A5735" s="3">
        <v>46240.396724537037</v>
      </c>
      <c r="B5735" s="1">
        <v>22.18</v>
      </c>
      <c r="C5735" s="1">
        <v>19.21</v>
      </c>
      <c r="D5735" s="1">
        <v>1.25</v>
      </c>
      <c r="E5735" s="1" t="s">
        <v>113</v>
      </c>
      <c r="F5735" s="1" t="s">
        <v>113</v>
      </c>
      <c r="G5735" s="1" t="s">
        <v>113</v>
      </c>
      <c r="H5735" s="1" t="str">
        <f>VLOOKUP(F5735,Countries!$A$1:$B$161,2,0)</f>
        <v>United States of America</v>
      </c>
    </row>
    <row r="5736" spans="1:8" x14ac:dyDescent="0.3">
      <c r="A5736" s="3">
        <v>46240.396377314813</v>
      </c>
      <c r="B5736" s="1">
        <v>6.37</v>
      </c>
      <c r="C5736" s="1">
        <v>5.52</v>
      </c>
      <c r="D5736" s="1">
        <v>0.54</v>
      </c>
      <c r="E5736" s="1" t="s">
        <v>113</v>
      </c>
      <c r="F5736" s="1" t="s">
        <v>113</v>
      </c>
      <c r="G5736" s="1" t="s">
        <v>113</v>
      </c>
      <c r="H5736" s="1" t="str">
        <f>VLOOKUP(F5736,Countries!$A$1:$B$161,2,0)</f>
        <v>United States of America</v>
      </c>
    </row>
    <row r="5737" spans="1:8" x14ac:dyDescent="0.3">
      <c r="A5737" s="3">
        <v>46240.39634259259</v>
      </c>
      <c r="B5737" s="1">
        <v>17.010000000000002</v>
      </c>
      <c r="C5737" s="1">
        <v>14.74</v>
      </c>
      <c r="D5737" s="1">
        <v>1.02</v>
      </c>
      <c r="E5737" s="1" t="s">
        <v>113</v>
      </c>
      <c r="F5737" s="1" t="s">
        <v>113</v>
      </c>
      <c r="G5737" s="1" t="s">
        <v>113</v>
      </c>
      <c r="H5737" s="1" t="str">
        <f>VLOOKUP(F5737,Countries!$A$1:$B$161,2,0)</f>
        <v>United States of America</v>
      </c>
    </row>
    <row r="5738" spans="1:8" x14ac:dyDescent="0.3">
      <c r="A5738" s="3">
        <v>46240.393923611111</v>
      </c>
      <c r="B5738" s="1">
        <v>2.4500000000000002</v>
      </c>
      <c r="C5738" s="1">
        <v>2.12</v>
      </c>
      <c r="D5738" s="1">
        <v>0.32</v>
      </c>
      <c r="E5738" s="1" t="s">
        <v>147</v>
      </c>
      <c r="F5738" s="1" t="s">
        <v>147</v>
      </c>
      <c r="G5738" s="1" t="s">
        <v>147</v>
      </c>
      <c r="H5738" s="1" t="str">
        <f>VLOOKUP(F5738,Countries!$A$1:$B$161,2,0)</f>
        <v>Germany</v>
      </c>
    </row>
    <row r="5739" spans="1:8" x14ac:dyDescent="0.3">
      <c r="A5739" s="3">
        <v>46240.390879629631</v>
      </c>
      <c r="B5739" s="1">
        <v>42.54</v>
      </c>
      <c r="C5739" s="1">
        <v>36.85</v>
      </c>
      <c r="D5739" s="1">
        <v>2.19</v>
      </c>
      <c r="E5739" s="1" t="s">
        <v>113</v>
      </c>
      <c r="F5739" s="1" t="s">
        <v>113</v>
      </c>
      <c r="G5739" s="1" t="s">
        <v>113</v>
      </c>
      <c r="H5739" s="1" t="str">
        <f>VLOOKUP(F5739,Countries!$A$1:$B$161,2,0)</f>
        <v>United States of America</v>
      </c>
    </row>
    <row r="5740" spans="1:8" x14ac:dyDescent="0.3">
      <c r="A5740" s="3">
        <v>46240.387789351851</v>
      </c>
      <c r="B5740" s="1">
        <v>7.58</v>
      </c>
      <c r="C5740" s="1">
        <v>6.57</v>
      </c>
      <c r="D5740" s="1">
        <v>0.48</v>
      </c>
      <c r="E5740" s="1" t="s">
        <v>116</v>
      </c>
      <c r="F5740" s="1" t="s">
        <v>116</v>
      </c>
      <c r="G5740" s="1" t="s">
        <v>116</v>
      </c>
      <c r="H5740" s="1" t="str">
        <f>VLOOKUP(F5740,Countries!$A$1:$B$161,2,0)</f>
        <v>Spain</v>
      </c>
    </row>
    <row r="5741" spans="1:8" x14ac:dyDescent="0.3">
      <c r="A5741" s="3">
        <v>46240.386180555557</v>
      </c>
      <c r="B5741" s="1">
        <v>12.48</v>
      </c>
      <c r="C5741" s="1">
        <v>10.81</v>
      </c>
      <c r="D5741" s="1">
        <v>0.74</v>
      </c>
      <c r="E5741" s="1" t="s">
        <v>119</v>
      </c>
      <c r="F5741" s="1" t="s">
        <v>119</v>
      </c>
      <c r="G5741" s="1" t="s">
        <v>119</v>
      </c>
      <c r="H5741" s="1" t="str">
        <f>VLOOKUP(F5741,Countries!$A$1:$B$161,2,0)</f>
        <v>Great Britain (United Kingdom)</v>
      </c>
    </row>
    <row r="5742" spans="1:8" x14ac:dyDescent="0.3">
      <c r="A5742" s="3">
        <v>46240.385000000002</v>
      </c>
      <c r="B5742" s="1">
        <v>3.39</v>
      </c>
      <c r="C5742" s="1">
        <v>2.94</v>
      </c>
      <c r="D5742" s="1">
        <v>0.41</v>
      </c>
      <c r="E5742" s="1" t="s">
        <v>114</v>
      </c>
      <c r="F5742" s="1" t="s">
        <v>114</v>
      </c>
      <c r="G5742" s="1" t="s">
        <v>114</v>
      </c>
      <c r="H5742" s="1" t="str">
        <f>VLOOKUP(F5742,Countries!$A$1:$B$161,2,0)</f>
        <v>Philippines</v>
      </c>
    </row>
    <row r="5743" spans="1:8" x14ac:dyDescent="0.3">
      <c r="A5743" s="3">
        <v>46240.375717592593</v>
      </c>
      <c r="B5743" s="1">
        <v>7.48</v>
      </c>
      <c r="C5743" s="1">
        <v>6.48</v>
      </c>
      <c r="D5743" s="1">
        <v>0.54</v>
      </c>
      <c r="E5743" s="1" t="s">
        <v>119</v>
      </c>
      <c r="F5743" s="1" t="s">
        <v>119</v>
      </c>
      <c r="G5743" s="1" t="s">
        <v>119</v>
      </c>
      <c r="H5743" s="1" t="str">
        <f>VLOOKUP(F5743,Countries!$A$1:$B$161,2,0)</f>
        <v>Great Britain (United Kingdom)</v>
      </c>
    </row>
    <row r="5744" spans="1:8" x14ac:dyDescent="0.3">
      <c r="A5744" s="3">
        <v>46240.373900462961</v>
      </c>
      <c r="B5744" s="1">
        <v>14.77</v>
      </c>
      <c r="C5744" s="1">
        <v>12.79</v>
      </c>
      <c r="D5744" s="1">
        <v>0.93</v>
      </c>
      <c r="E5744" s="1" t="s">
        <v>113</v>
      </c>
      <c r="F5744" s="1" t="s">
        <v>113</v>
      </c>
      <c r="G5744" s="1" t="s">
        <v>113</v>
      </c>
      <c r="H5744" s="1" t="str">
        <f>VLOOKUP(F5744,Countries!$A$1:$B$161,2,0)</f>
        <v>United States of America</v>
      </c>
    </row>
    <row r="5745" spans="1:8" x14ac:dyDescent="0.3">
      <c r="A5745" s="3">
        <v>46240.357534722221</v>
      </c>
      <c r="B5745" s="1">
        <v>36.96</v>
      </c>
      <c r="C5745" s="1">
        <v>32.020000000000003</v>
      </c>
      <c r="D5745" s="1">
        <v>1.93</v>
      </c>
      <c r="E5745" s="1" t="s">
        <v>113</v>
      </c>
      <c r="F5745" s="1" t="s">
        <v>113</v>
      </c>
      <c r="G5745" s="1" t="s">
        <v>113</v>
      </c>
      <c r="H5745" s="1" t="str">
        <f>VLOOKUP(F5745,Countries!$A$1:$B$161,2,0)</f>
        <v>United States of America</v>
      </c>
    </row>
    <row r="5746" spans="1:8" x14ac:dyDescent="0.3">
      <c r="A5746" s="3">
        <v>46240.347060185188</v>
      </c>
      <c r="B5746" s="1">
        <v>35.18</v>
      </c>
      <c r="C5746" s="1">
        <v>30.47</v>
      </c>
      <c r="D5746" s="1">
        <v>1.32</v>
      </c>
      <c r="E5746" s="1" t="s">
        <v>116</v>
      </c>
      <c r="F5746" s="1" t="s">
        <v>116</v>
      </c>
      <c r="G5746" s="1" t="s">
        <v>116</v>
      </c>
      <c r="H5746" s="1" t="str">
        <f>VLOOKUP(F5746,Countries!$A$1:$B$161,2,0)</f>
        <v>Spain</v>
      </c>
    </row>
    <row r="5747" spans="1:8" x14ac:dyDescent="0.3">
      <c r="A5747" s="3">
        <v>46240.342106481483</v>
      </c>
      <c r="B5747" s="1">
        <v>6.37</v>
      </c>
      <c r="C5747" s="1">
        <v>5.52</v>
      </c>
      <c r="D5747" s="1">
        <v>0.54</v>
      </c>
      <c r="E5747" s="1" t="s">
        <v>113</v>
      </c>
      <c r="F5747" s="1" t="s">
        <v>113</v>
      </c>
      <c r="G5747" s="1" t="s">
        <v>113</v>
      </c>
      <c r="H5747" s="1" t="str">
        <f>VLOOKUP(F5747,Countries!$A$1:$B$161,2,0)</f>
        <v>United States of America</v>
      </c>
    </row>
    <row r="5748" spans="1:8" x14ac:dyDescent="0.3">
      <c r="A5748" s="3">
        <v>46240.331145833326</v>
      </c>
      <c r="B5748" s="1">
        <v>14.77</v>
      </c>
      <c r="C5748" s="1">
        <v>12.79</v>
      </c>
      <c r="D5748" s="1">
        <v>0.93</v>
      </c>
      <c r="E5748" s="1" t="s">
        <v>113</v>
      </c>
      <c r="F5748" s="1" t="s">
        <v>113</v>
      </c>
      <c r="G5748" s="1" t="s">
        <v>113</v>
      </c>
      <c r="H5748" s="1" t="str">
        <f>VLOOKUP(F5748,Countries!$A$1:$B$161,2,0)</f>
        <v>United States of America</v>
      </c>
    </row>
    <row r="5749" spans="1:8" x14ac:dyDescent="0.3">
      <c r="A5749" s="3">
        <v>46240.326261574082</v>
      </c>
      <c r="B5749" s="1">
        <v>10.62</v>
      </c>
      <c r="C5749" s="1">
        <v>9.1999999999999993</v>
      </c>
      <c r="D5749" s="1">
        <v>0.73</v>
      </c>
      <c r="E5749" s="1" t="s">
        <v>113</v>
      </c>
      <c r="F5749" s="1" t="s">
        <v>113</v>
      </c>
      <c r="G5749" s="1" t="s">
        <v>113</v>
      </c>
      <c r="H5749" s="1" t="str">
        <f>VLOOKUP(F5749,Countries!$A$1:$B$161,2,0)</f>
        <v>United States of America</v>
      </c>
    </row>
    <row r="5750" spans="1:8" x14ac:dyDescent="0.3">
      <c r="A5750" s="3">
        <v>46240.321134259262</v>
      </c>
      <c r="B5750" s="1">
        <v>29.57</v>
      </c>
      <c r="C5750" s="1">
        <v>25.61</v>
      </c>
      <c r="D5750" s="1">
        <v>1.59</v>
      </c>
      <c r="E5750" s="1" t="s">
        <v>113</v>
      </c>
      <c r="F5750" s="1" t="s">
        <v>113</v>
      </c>
      <c r="G5750" s="1" t="s">
        <v>113</v>
      </c>
      <c r="H5750" s="1" t="str">
        <f>VLOOKUP(F5750,Countries!$A$1:$B$161,2,0)</f>
        <v>United States of America</v>
      </c>
    </row>
    <row r="5751" spans="1:8" x14ac:dyDescent="0.3">
      <c r="A5751" s="3">
        <v>46240.317013888889</v>
      </c>
      <c r="B5751" s="1">
        <v>6.37</v>
      </c>
      <c r="C5751" s="1">
        <v>5.52</v>
      </c>
      <c r="D5751" s="1">
        <v>0.54</v>
      </c>
      <c r="E5751" s="1" t="s">
        <v>113</v>
      </c>
      <c r="F5751" s="1" t="s">
        <v>113</v>
      </c>
      <c r="G5751" s="1" t="s">
        <v>113</v>
      </c>
      <c r="H5751" s="1" t="str">
        <f>VLOOKUP(F5751,Countries!$A$1:$B$161,2,0)</f>
        <v>United States of America</v>
      </c>
    </row>
    <row r="5752" spans="1:8" x14ac:dyDescent="0.3">
      <c r="A5752" s="3">
        <v>46240.314259259263</v>
      </c>
      <c r="B5752" s="1">
        <v>7.58</v>
      </c>
      <c r="C5752" s="1">
        <v>6.57</v>
      </c>
      <c r="D5752" s="1">
        <v>0.59</v>
      </c>
      <c r="E5752" s="1" t="s">
        <v>113</v>
      </c>
      <c r="F5752" s="1" t="s">
        <v>113</v>
      </c>
      <c r="G5752" s="1" t="s">
        <v>113</v>
      </c>
      <c r="H5752" s="1" t="str">
        <f>VLOOKUP(F5752,Countries!$A$1:$B$161,2,0)</f>
        <v>United States of America</v>
      </c>
    </row>
    <row r="5753" spans="1:8" x14ac:dyDescent="0.3">
      <c r="A5753" s="3">
        <v>46240.310081018521</v>
      </c>
      <c r="B5753" s="1">
        <v>6.37</v>
      </c>
      <c r="C5753" s="1">
        <v>5.52</v>
      </c>
      <c r="D5753" s="1">
        <v>0.54</v>
      </c>
      <c r="E5753" s="1" t="s">
        <v>113</v>
      </c>
      <c r="F5753" s="1" t="s">
        <v>113</v>
      </c>
      <c r="G5753" s="1" t="s">
        <v>113</v>
      </c>
      <c r="H5753" s="1" t="str">
        <f>VLOOKUP(F5753,Countries!$A$1:$B$161,2,0)</f>
        <v>United States of America</v>
      </c>
    </row>
    <row r="5754" spans="1:8" x14ac:dyDescent="0.3">
      <c r="A5754" s="3">
        <v>46240.304479166669</v>
      </c>
      <c r="B5754" s="1">
        <v>6.3</v>
      </c>
      <c r="C5754" s="1">
        <v>5.46</v>
      </c>
      <c r="D5754" s="1">
        <v>0.54</v>
      </c>
      <c r="E5754" s="1" t="s">
        <v>132</v>
      </c>
      <c r="F5754" s="1" t="s">
        <v>132</v>
      </c>
      <c r="G5754" s="1" t="s">
        <v>132</v>
      </c>
      <c r="H5754" s="1" t="str">
        <f>VLOOKUP(F5754,Countries!$A$1:$B$161,2,0)</f>
        <v>Canada</v>
      </c>
    </row>
    <row r="5755" spans="1:8" x14ac:dyDescent="0.3">
      <c r="A5755" s="3">
        <v>46240.302071759259</v>
      </c>
      <c r="B5755" s="1">
        <v>26.59</v>
      </c>
      <c r="C5755" s="1">
        <v>23.03</v>
      </c>
      <c r="D5755" s="1">
        <v>1.46</v>
      </c>
      <c r="E5755" s="1" t="s">
        <v>113</v>
      </c>
      <c r="F5755" s="1" t="s">
        <v>113</v>
      </c>
      <c r="G5755" s="1" t="s">
        <v>113</v>
      </c>
      <c r="H5755" s="1" t="str">
        <f>VLOOKUP(F5755,Countries!$A$1:$B$161,2,0)</f>
        <v>United States of America</v>
      </c>
    </row>
    <row r="5756" spans="1:8" x14ac:dyDescent="0.3">
      <c r="A5756" s="3">
        <v>46240.298182870371</v>
      </c>
      <c r="B5756" s="1">
        <v>6.58</v>
      </c>
      <c r="C5756" s="1">
        <v>5.7</v>
      </c>
      <c r="D5756" s="1">
        <v>0.55000000000000004</v>
      </c>
      <c r="E5756" s="1" t="s">
        <v>152</v>
      </c>
      <c r="F5756" s="1" t="s">
        <v>152</v>
      </c>
      <c r="G5756" s="1" t="s">
        <v>152</v>
      </c>
      <c r="H5756" s="1" t="str">
        <f>VLOOKUP(F5756,Countries!$A$1:$B$161,2,0)</f>
        <v>Singapore</v>
      </c>
    </row>
    <row r="5757" spans="1:8" x14ac:dyDescent="0.3">
      <c r="A5757" s="3">
        <v>46240.294247685182</v>
      </c>
      <c r="B5757" s="1">
        <v>36.96</v>
      </c>
      <c r="C5757" s="1">
        <v>32.020000000000003</v>
      </c>
      <c r="D5757" s="1">
        <v>1.93</v>
      </c>
      <c r="E5757" s="1" t="s">
        <v>113</v>
      </c>
      <c r="F5757" s="1" t="s">
        <v>113</v>
      </c>
      <c r="G5757" s="1" t="s">
        <v>113</v>
      </c>
      <c r="H5757" s="1" t="str">
        <f>VLOOKUP(F5757,Countries!$A$1:$B$161,2,0)</f>
        <v>United States of America</v>
      </c>
    </row>
    <row r="5758" spans="1:8" x14ac:dyDescent="0.3">
      <c r="A5758" s="3">
        <v>46240.293252314812</v>
      </c>
      <c r="B5758" s="1">
        <v>10.62</v>
      </c>
      <c r="C5758" s="1">
        <v>9.1999999999999993</v>
      </c>
      <c r="D5758" s="1">
        <v>0.73</v>
      </c>
      <c r="E5758" s="1" t="s">
        <v>113</v>
      </c>
      <c r="F5758" s="1" t="s">
        <v>113</v>
      </c>
      <c r="G5758" s="1" t="s">
        <v>113</v>
      </c>
      <c r="H5758" s="1" t="str">
        <f>VLOOKUP(F5758,Countries!$A$1:$B$161,2,0)</f>
        <v>United States of America</v>
      </c>
    </row>
    <row r="5759" spans="1:8" x14ac:dyDescent="0.3">
      <c r="A5759" s="3">
        <v>46240.293067129627</v>
      </c>
      <c r="B5759" s="1">
        <v>5.99</v>
      </c>
      <c r="C5759" s="1">
        <v>5.19</v>
      </c>
      <c r="D5759" s="1">
        <v>0.52</v>
      </c>
      <c r="E5759" s="1" t="s">
        <v>113</v>
      </c>
      <c r="F5759" s="1" t="s">
        <v>113</v>
      </c>
      <c r="G5759" s="1" t="s">
        <v>113</v>
      </c>
      <c r="H5759" s="1" t="str">
        <f>VLOOKUP(F5759,Countries!$A$1:$B$161,2,0)</f>
        <v>United States of America</v>
      </c>
    </row>
    <row r="5760" spans="1:8" x14ac:dyDescent="0.3">
      <c r="A5760" s="3">
        <v>46240.28802083333</v>
      </c>
      <c r="B5760" s="1">
        <v>14.77</v>
      </c>
      <c r="C5760" s="1">
        <v>12.79</v>
      </c>
      <c r="D5760" s="1">
        <v>0.93</v>
      </c>
      <c r="E5760" s="1" t="s">
        <v>113</v>
      </c>
      <c r="F5760" s="1" t="s">
        <v>113</v>
      </c>
      <c r="G5760" s="1" t="s">
        <v>113</v>
      </c>
      <c r="H5760" s="1" t="str">
        <f>VLOOKUP(F5760,Countries!$A$1:$B$161,2,0)</f>
        <v>United States of America</v>
      </c>
    </row>
    <row r="5761" spans="1:8" x14ac:dyDescent="0.3">
      <c r="A5761" s="3">
        <v>46240.284583333327</v>
      </c>
      <c r="B5761" s="1">
        <v>6.37</v>
      </c>
      <c r="C5761" s="1">
        <v>5.52</v>
      </c>
      <c r="D5761" s="1">
        <v>0.54</v>
      </c>
      <c r="E5761" s="1" t="s">
        <v>113</v>
      </c>
      <c r="F5761" s="1" t="s">
        <v>113</v>
      </c>
      <c r="G5761" s="1" t="s">
        <v>113</v>
      </c>
      <c r="H5761" s="1" t="str">
        <f>VLOOKUP(F5761,Countries!$A$1:$B$161,2,0)</f>
        <v>United States of America</v>
      </c>
    </row>
    <row r="5762" spans="1:8" x14ac:dyDescent="0.3">
      <c r="A5762" s="3">
        <v>46240.261666666673</v>
      </c>
      <c r="B5762" s="1">
        <v>4.24</v>
      </c>
      <c r="C5762" s="1">
        <v>3.67</v>
      </c>
      <c r="D5762" s="1">
        <v>0.44</v>
      </c>
      <c r="E5762" s="1" t="s">
        <v>113</v>
      </c>
      <c r="F5762" s="1" t="s">
        <v>113</v>
      </c>
      <c r="G5762" s="1" t="s">
        <v>113</v>
      </c>
      <c r="H5762" s="1" t="str">
        <f>VLOOKUP(F5762,Countries!$A$1:$B$161,2,0)</f>
        <v>United States of America</v>
      </c>
    </row>
    <row r="5763" spans="1:8" x14ac:dyDescent="0.3">
      <c r="A5763" s="3">
        <v>46240.258877314824</v>
      </c>
      <c r="B5763" s="1">
        <v>6.37</v>
      </c>
      <c r="C5763" s="1">
        <v>5.52</v>
      </c>
      <c r="D5763" s="1">
        <v>0.54</v>
      </c>
      <c r="E5763" s="1" t="s">
        <v>113</v>
      </c>
      <c r="F5763" s="1" t="s">
        <v>113</v>
      </c>
      <c r="G5763" s="1" t="s">
        <v>113</v>
      </c>
      <c r="H5763" s="1" t="str">
        <f>VLOOKUP(F5763,Countries!$A$1:$B$161,2,0)</f>
        <v>United States of America</v>
      </c>
    </row>
    <row r="5764" spans="1:8" x14ac:dyDescent="0.3">
      <c r="A5764" s="3">
        <v>46240.255567129629</v>
      </c>
      <c r="B5764" s="1">
        <v>7.77</v>
      </c>
      <c r="C5764" s="1">
        <v>6.73</v>
      </c>
      <c r="D5764" s="1">
        <v>0.48</v>
      </c>
      <c r="E5764" s="1" t="s">
        <v>137</v>
      </c>
      <c r="F5764" s="1" t="s">
        <v>137</v>
      </c>
      <c r="G5764" s="1" t="s">
        <v>137</v>
      </c>
      <c r="H5764" s="1" t="str">
        <f>VLOOKUP(F5764,Countries!$A$1:$B$161,2,0)</f>
        <v>Poland</v>
      </c>
    </row>
    <row r="5765" spans="1:8" x14ac:dyDescent="0.3">
      <c r="A5765" s="3">
        <v>46240.22965277778</v>
      </c>
      <c r="B5765" s="1">
        <v>2.65</v>
      </c>
      <c r="C5765" s="1">
        <v>2.29</v>
      </c>
      <c r="D5765" s="1">
        <v>0.33</v>
      </c>
      <c r="E5765" s="1" t="s">
        <v>184</v>
      </c>
      <c r="F5765" s="1" t="s">
        <v>133</v>
      </c>
      <c r="G5765" s="1" t="s">
        <v>133</v>
      </c>
      <c r="H5765" s="1" t="str">
        <f>VLOOKUP(F5765,Countries!$A$1:$B$161,2,0)</f>
        <v>Denmark</v>
      </c>
    </row>
    <row r="5766" spans="1:8" x14ac:dyDescent="0.3">
      <c r="A5766" s="3">
        <v>46240.22347222222</v>
      </c>
      <c r="B5766" s="1">
        <v>11.1</v>
      </c>
      <c r="C5766" s="1">
        <v>9.61</v>
      </c>
      <c r="D5766" s="1">
        <v>0.75</v>
      </c>
      <c r="E5766" s="1" t="s">
        <v>130</v>
      </c>
      <c r="F5766" s="1" t="s">
        <v>130</v>
      </c>
      <c r="G5766" s="1" t="s">
        <v>130</v>
      </c>
      <c r="H5766" s="1" t="str">
        <f>VLOOKUP(F5766,Countries!$A$1:$B$161,2,0)</f>
        <v>Australia</v>
      </c>
    </row>
    <row r="5767" spans="1:8" x14ac:dyDescent="0.3">
      <c r="A5767" s="3">
        <v>46240.219421296293</v>
      </c>
      <c r="B5767" s="1">
        <v>6.65</v>
      </c>
      <c r="C5767" s="1">
        <v>5.76</v>
      </c>
      <c r="D5767" s="1">
        <v>0.56000000000000005</v>
      </c>
      <c r="E5767" s="1" t="s">
        <v>130</v>
      </c>
      <c r="F5767" s="1" t="s">
        <v>130</v>
      </c>
      <c r="G5767" s="1" t="s">
        <v>130</v>
      </c>
      <c r="H5767" s="1" t="str">
        <f>VLOOKUP(F5767,Countries!$A$1:$B$161,2,0)</f>
        <v>Australia</v>
      </c>
    </row>
    <row r="5768" spans="1:8" x14ac:dyDescent="0.3">
      <c r="A5768" s="3">
        <v>46240.195659722223</v>
      </c>
      <c r="B5768" s="1">
        <v>6.37</v>
      </c>
      <c r="C5768" s="1">
        <v>5.52</v>
      </c>
      <c r="D5768" s="1">
        <v>0.54</v>
      </c>
      <c r="E5768" s="1" t="s">
        <v>113</v>
      </c>
      <c r="F5768" s="1" t="s">
        <v>113</v>
      </c>
      <c r="G5768" s="1" t="s">
        <v>113</v>
      </c>
      <c r="H5768" s="1" t="str">
        <f>VLOOKUP(F5768,Countries!$A$1:$B$161,2,0)</f>
        <v>United States of America</v>
      </c>
    </row>
    <row r="5769" spans="1:8" x14ac:dyDescent="0.3">
      <c r="A5769" s="3">
        <v>46240.195555555547</v>
      </c>
      <c r="B5769" s="1">
        <v>21.57</v>
      </c>
      <c r="C5769" s="1">
        <v>18.68</v>
      </c>
      <c r="D5769" s="1">
        <v>1.23</v>
      </c>
      <c r="E5769" s="1" t="s">
        <v>113</v>
      </c>
      <c r="F5769" s="1" t="s">
        <v>113</v>
      </c>
      <c r="G5769" s="1" t="s">
        <v>113</v>
      </c>
      <c r="H5769" s="1" t="str">
        <f>VLOOKUP(F5769,Countries!$A$1:$B$161,2,0)</f>
        <v>United States of America</v>
      </c>
    </row>
    <row r="5770" spans="1:8" x14ac:dyDescent="0.3">
      <c r="A5770" s="3">
        <v>46240.192291666674</v>
      </c>
      <c r="B5770" s="1">
        <v>14.77</v>
      </c>
      <c r="C5770" s="1">
        <v>12.79</v>
      </c>
      <c r="D5770" s="1">
        <v>0.93</v>
      </c>
      <c r="E5770" s="1" t="s">
        <v>113</v>
      </c>
      <c r="F5770" s="1" t="s">
        <v>113</v>
      </c>
      <c r="G5770" s="1" t="s">
        <v>113</v>
      </c>
      <c r="H5770" s="1" t="str">
        <f>VLOOKUP(F5770,Countries!$A$1:$B$161,2,0)</f>
        <v>United States of America</v>
      </c>
    </row>
    <row r="5771" spans="1:8" x14ac:dyDescent="0.3">
      <c r="A5771" s="3">
        <v>46240.189837962957</v>
      </c>
      <c r="B5771" s="1">
        <v>5.99</v>
      </c>
      <c r="C5771" s="1">
        <v>5.19</v>
      </c>
      <c r="D5771" s="1">
        <v>0.52</v>
      </c>
      <c r="E5771" s="1" t="s">
        <v>113</v>
      </c>
      <c r="F5771" s="1" t="s">
        <v>129</v>
      </c>
      <c r="G5771" s="1" t="s">
        <v>129</v>
      </c>
      <c r="H5771" s="1" t="str">
        <f>VLOOKUP(F5771,Countries!$A$1:$B$161,2,0)</f>
        <v>Qatar</v>
      </c>
    </row>
    <row r="5772" spans="1:8" x14ac:dyDescent="0.3">
      <c r="A5772" s="3">
        <v>46240.188831018517</v>
      </c>
      <c r="B5772" s="1">
        <v>6.37</v>
      </c>
      <c r="C5772" s="1">
        <v>5.52</v>
      </c>
      <c r="D5772" s="1">
        <v>0.54</v>
      </c>
      <c r="E5772" s="1" t="s">
        <v>113</v>
      </c>
      <c r="F5772" s="1" t="s">
        <v>113</v>
      </c>
      <c r="G5772" s="1" t="s">
        <v>113</v>
      </c>
      <c r="H5772" s="1" t="str">
        <f>VLOOKUP(F5772,Countries!$A$1:$B$161,2,0)</f>
        <v>United States of America</v>
      </c>
    </row>
    <row r="5773" spans="1:8" x14ac:dyDescent="0.3">
      <c r="A5773" s="3">
        <v>46240.180590277778</v>
      </c>
      <c r="B5773" s="1">
        <v>7.48</v>
      </c>
      <c r="C5773" s="1">
        <v>6.48</v>
      </c>
      <c r="D5773" s="1">
        <v>0.48</v>
      </c>
      <c r="E5773" s="1" t="s">
        <v>123</v>
      </c>
      <c r="F5773" s="1" t="s">
        <v>123</v>
      </c>
      <c r="G5773" s="1" t="s">
        <v>123</v>
      </c>
      <c r="H5773" s="1" t="str">
        <f>VLOOKUP(F5773,Countries!$A$1:$B$161,2,0)</f>
        <v>France</v>
      </c>
    </row>
    <row r="5774" spans="1:8" x14ac:dyDescent="0.3">
      <c r="A5774" s="3">
        <v>46240.178773148153</v>
      </c>
      <c r="B5774" s="1">
        <v>10.65</v>
      </c>
      <c r="C5774" s="1">
        <v>9.2200000000000006</v>
      </c>
      <c r="D5774" s="1">
        <v>0.56999999999999995</v>
      </c>
      <c r="E5774" s="1" t="s">
        <v>125</v>
      </c>
      <c r="F5774" s="1" t="s">
        <v>125</v>
      </c>
      <c r="G5774" s="1" t="s">
        <v>125</v>
      </c>
      <c r="H5774" s="1" t="str">
        <f>VLOOKUP(F5774,Countries!$A$1:$B$161,2,0)</f>
        <v>Norway</v>
      </c>
    </row>
    <row r="5775" spans="1:8" x14ac:dyDescent="0.3">
      <c r="A5775" s="3">
        <v>46240.173252314817</v>
      </c>
      <c r="B5775" s="1">
        <v>36.96</v>
      </c>
      <c r="C5775" s="1">
        <v>32.01</v>
      </c>
      <c r="D5775" s="1">
        <v>1.93</v>
      </c>
      <c r="E5775" s="1" t="s">
        <v>113</v>
      </c>
      <c r="F5775" s="1" t="s">
        <v>113</v>
      </c>
      <c r="G5775" s="1" t="s">
        <v>113</v>
      </c>
      <c r="H5775" s="1" t="str">
        <f>VLOOKUP(F5775,Countries!$A$1:$B$161,2,0)</f>
        <v>United States of America</v>
      </c>
    </row>
    <row r="5776" spans="1:8" x14ac:dyDescent="0.3">
      <c r="A5776" s="3">
        <v>46240.172002314823</v>
      </c>
      <c r="B5776" s="1">
        <v>14.77</v>
      </c>
      <c r="C5776" s="1">
        <v>12.79</v>
      </c>
      <c r="D5776" s="1">
        <v>0.93</v>
      </c>
      <c r="E5776" s="1" t="s">
        <v>113</v>
      </c>
      <c r="F5776" s="1" t="s">
        <v>113</v>
      </c>
      <c r="G5776" s="1" t="s">
        <v>113</v>
      </c>
      <c r="H5776" s="1" t="str">
        <f>VLOOKUP(F5776,Countries!$A$1:$B$161,2,0)</f>
        <v>United States of America</v>
      </c>
    </row>
    <row r="5777" spans="1:8" x14ac:dyDescent="0.3">
      <c r="A5777" s="3">
        <v>46240.171099537038</v>
      </c>
      <c r="B5777" s="1">
        <v>17.010000000000002</v>
      </c>
      <c r="C5777" s="1">
        <v>14.73</v>
      </c>
      <c r="D5777" s="1">
        <v>1.02</v>
      </c>
      <c r="E5777" s="1" t="s">
        <v>113</v>
      </c>
      <c r="F5777" s="1" t="s">
        <v>113</v>
      </c>
      <c r="G5777" s="1" t="s">
        <v>113</v>
      </c>
      <c r="H5777" s="1" t="str">
        <f>VLOOKUP(F5777,Countries!$A$1:$B$161,2,0)</f>
        <v>United States of America</v>
      </c>
    </row>
    <row r="5778" spans="1:8" x14ac:dyDescent="0.3">
      <c r="A5778" s="3">
        <v>46240.168877314813</v>
      </c>
      <c r="B5778" s="1">
        <v>10.62</v>
      </c>
      <c r="C5778" s="1">
        <v>9.1999999999999993</v>
      </c>
      <c r="D5778" s="1">
        <v>0.73</v>
      </c>
      <c r="E5778" s="1" t="s">
        <v>113</v>
      </c>
      <c r="F5778" s="1" t="s">
        <v>113</v>
      </c>
      <c r="G5778" s="1" t="s">
        <v>113</v>
      </c>
      <c r="H5778" s="1" t="str">
        <f>VLOOKUP(F5778,Countries!$A$1:$B$161,2,0)</f>
        <v>United States of America</v>
      </c>
    </row>
    <row r="5779" spans="1:8" x14ac:dyDescent="0.3">
      <c r="A5779" s="3">
        <v>46240.167048611111</v>
      </c>
      <c r="B5779" s="1">
        <v>42.54</v>
      </c>
      <c r="C5779" s="1">
        <v>36.82</v>
      </c>
      <c r="D5779" s="1">
        <v>2.19</v>
      </c>
      <c r="E5779" s="1" t="s">
        <v>113</v>
      </c>
      <c r="F5779" s="1" t="s">
        <v>113</v>
      </c>
      <c r="G5779" s="1" t="s">
        <v>113</v>
      </c>
      <c r="H5779" s="1" t="str">
        <f>VLOOKUP(F5779,Countries!$A$1:$B$161,2,0)</f>
        <v>United States of America</v>
      </c>
    </row>
    <row r="5780" spans="1:8" x14ac:dyDescent="0.3">
      <c r="A5780" s="3">
        <v>46240.166631944441</v>
      </c>
      <c r="B5780" s="1">
        <v>10.62</v>
      </c>
      <c r="C5780" s="1">
        <v>9.19</v>
      </c>
      <c r="D5780" s="1">
        <v>0.73</v>
      </c>
      <c r="E5780" s="1" t="s">
        <v>113</v>
      </c>
      <c r="F5780" s="1" t="s">
        <v>113</v>
      </c>
      <c r="G5780" s="1" t="s">
        <v>113</v>
      </c>
      <c r="H5780" s="1" t="str">
        <f>VLOOKUP(F5780,Countries!$A$1:$B$161,2,0)</f>
        <v>United States of America</v>
      </c>
    </row>
    <row r="5781" spans="1:8" x14ac:dyDescent="0.3">
      <c r="A5781" s="3">
        <v>46240.16646990741</v>
      </c>
      <c r="B5781" s="1">
        <v>10.62</v>
      </c>
      <c r="C5781" s="1">
        <v>9.19</v>
      </c>
      <c r="D5781" s="1">
        <v>0.73</v>
      </c>
      <c r="E5781" s="1" t="s">
        <v>113</v>
      </c>
      <c r="F5781" s="1" t="s">
        <v>113</v>
      </c>
      <c r="G5781" s="1" t="s">
        <v>113</v>
      </c>
      <c r="H5781" s="1" t="str">
        <f>VLOOKUP(F5781,Countries!$A$1:$B$161,2,0)</f>
        <v>United States of America</v>
      </c>
    </row>
    <row r="5782" spans="1:8" x14ac:dyDescent="0.3">
      <c r="A5782" s="3">
        <v>46240.164675925917</v>
      </c>
      <c r="B5782" s="1">
        <v>14.77</v>
      </c>
      <c r="C5782" s="1">
        <v>12.78</v>
      </c>
      <c r="D5782" s="1">
        <v>0.93</v>
      </c>
      <c r="E5782" s="1" t="s">
        <v>113</v>
      </c>
      <c r="F5782" s="1" t="s">
        <v>113</v>
      </c>
      <c r="G5782" s="1" t="s">
        <v>113</v>
      </c>
      <c r="H5782" s="1" t="str">
        <f>VLOOKUP(F5782,Countries!$A$1:$B$161,2,0)</f>
        <v>United States of America</v>
      </c>
    </row>
    <row r="5783" spans="1:8" x14ac:dyDescent="0.3">
      <c r="A5783" s="3">
        <v>46240.164664351847</v>
      </c>
      <c r="B5783" s="1">
        <v>42.54</v>
      </c>
      <c r="C5783" s="1">
        <v>36.82</v>
      </c>
      <c r="D5783" s="1">
        <v>2.19</v>
      </c>
      <c r="E5783" s="1" t="s">
        <v>113</v>
      </c>
      <c r="F5783" s="1" t="s">
        <v>113</v>
      </c>
      <c r="G5783" s="1" t="s">
        <v>113</v>
      </c>
      <c r="H5783" s="1" t="str">
        <f>VLOOKUP(F5783,Countries!$A$1:$B$161,2,0)</f>
        <v>United States of America</v>
      </c>
    </row>
    <row r="5784" spans="1:8" x14ac:dyDescent="0.3">
      <c r="A5784" s="3">
        <v>46240.162164351852</v>
      </c>
      <c r="B5784" s="1">
        <v>2.4500000000000002</v>
      </c>
      <c r="C5784" s="1">
        <v>2.12</v>
      </c>
      <c r="D5784" s="1">
        <v>0.32</v>
      </c>
      <c r="E5784" s="1" t="s">
        <v>147</v>
      </c>
      <c r="F5784" s="1" t="s">
        <v>147</v>
      </c>
      <c r="G5784" s="1" t="s">
        <v>147</v>
      </c>
      <c r="H5784" s="1" t="str">
        <f>VLOOKUP(F5784,Countries!$A$1:$B$161,2,0)</f>
        <v>Germany</v>
      </c>
    </row>
    <row r="5785" spans="1:8" x14ac:dyDescent="0.3">
      <c r="A5785" s="3">
        <v>46240.158541666657</v>
      </c>
      <c r="B5785" s="1">
        <v>14.77</v>
      </c>
      <c r="C5785" s="1">
        <v>12.78</v>
      </c>
      <c r="D5785" s="1">
        <v>0.93</v>
      </c>
      <c r="E5785" s="1" t="s">
        <v>113</v>
      </c>
      <c r="F5785" s="1" t="s">
        <v>113</v>
      </c>
      <c r="G5785" s="1" t="s">
        <v>113</v>
      </c>
      <c r="H5785" s="1" t="str">
        <f>VLOOKUP(F5785,Countries!$A$1:$B$161,2,0)</f>
        <v>United States of America</v>
      </c>
    </row>
    <row r="5786" spans="1:8" x14ac:dyDescent="0.3">
      <c r="A5786" s="3">
        <v>46240.152800925927</v>
      </c>
      <c r="B5786" s="1">
        <v>14.77</v>
      </c>
      <c r="C5786" s="1">
        <v>12.78</v>
      </c>
      <c r="D5786" s="1">
        <v>0.93</v>
      </c>
      <c r="E5786" s="1" t="s">
        <v>113</v>
      </c>
      <c r="F5786" s="1" t="s">
        <v>113</v>
      </c>
      <c r="G5786" s="1" t="s">
        <v>113</v>
      </c>
      <c r="H5786" s="1" t="str">
        <f>VLOOKUP(F5786,Countries!$A$1:$B$161,2,0)</f>
        <v>United States of America</v>
      </c>
    </row>
    <row r="5787" spans="1:8" x14ac:dyDescent="0.3">
      <c r="A5787" s="3">
        <v>46240.14875</v>
      </c>
      <c r="B5787" s="1">
        <v>14.77</v>
      </c>
      <c r="C5787" s="1">
        <v>12.78</v>
      </c>
      <c r="D5787" s="1">
        <v>0.93</v>
      </c>
      <c r="E5787" s="1" t="s">
        <v>113</v>
      </c>
      <c r="F5787" s="1" t="s">
        <v>113</v>
      </c>
      <c r="G5787" s="1" t="s">
        <v>113</v>
      </c>
      <c r="H5787" s="1" t="str">
        <f>VLOOKUP(F5787,Countries!$A$1:$B$161,2,0)</f>
        <v>United States of America</v>
      </c>
    </row>
    <row r="5788" spans="1:8" x14ac:dyDescent="0.3">
      <c r="A5788" s="3">
        <v>46240.148333333331</v>
      </c>
      <c r="B5788" s="1">
        <v>7.58</v>
      </c>
      <c r="C5788" s="1">
        <v>6.56</v>
      </c>
      <c r="D5788" s="1">
        <v>0.48</v>
      </c>
      <c r="E5788" s="1" t="s">
        <v>116</v>
      </c>
      <c r="F5788" s="1" t="s">
        <v>116</v>
      </c>
      <c r="G5788" s="1" t="s">
        <v>116</v>
      </c>
      <c r="H5788" s="1" t="str">
        <f>VLOOKUP(F5788,Countries!$A$1:$B$161,2,0)</f>
        <v>Spain</v>
      </c>
    </row>
    <row r="5789" spans="1:8" x14ac:dyDescent="0.3">
      <c r="A5789" s="3">
        <v>46240.145740740743</v>
      </c>
      <c r="B5789" s="1">
        <v>2.21</v>
      </c>
      <c r="C5789" s="1">
        <v>1.91</v>
      </c>
      <c r="D5789" s="1">
        <v>0.35</v>
      </c>
      <c r="E5789" s="1" t="s">
        <v>130</v>
      </c>
      <c r="F5789" s="1" t="s">
        <v>130</v>
      </c>
      <c r="G5789" s="1" t="s">
        <v>130</v>
      </c>
      <c r="H5789" s="1" t="str">
        <f>VLOOKUP(F5789,Countries!$A$1:$B$161,2,0)</f>
        <v>Australia</v>
      </c>
    </row>
    <row r="5790" spans="1:8" x14ac:dyDescent="0.3">
      <c r="A5790" s="3">
        <v>46240.142743055563</v>
      </c>
      <c r="B5790" s="1">
        <v>7.48</v>
      </c>
      <c r="C5790" s="1">
        <v>6.47</v>
      </c>
      <c r="D5790" s="1">
        <v>0.54</v>
      </c>
      <c r="E5790" s="1" t="s">
        <v>119</v>
      </c>
      <c r="F5790" s="1" t="s">
        <v>119</v>
      </c>
      <c r="G5790" s="1" t="s">
        <v>119</v>
      </c>
      <c r="H5790" s="1" t="str">
        <f>VLOOKUP(F5790,Countries!$A$1:$B$161,2,0)</f>
        <v>Great Britain (United Kingdom)</v>
      </c>
    </row>
    <row r="5791" spans="1:8" x14ac:dyDescent="0.3">
      <c r="A5791" s="3">
        <v>46240.142465277779</v>
      </c>
      <c r="B5791" s="1">
        <v>14.77</v>
      </c>
      <c r="C5791" s="1">
        <v>12.78</v>
      </c>
      <c r="D5791" s="1">
        <v>0.93</v>
      </c>
      <c r="E5791" s="1" t="s">
        <v>113</v>
      </c>
      <c r="F5791" s="1" t="s">
        <v>113</v>
      </c>
      <c r="G5791" s="1" t="s">
        <v>113</v>
      </c>
      <c r="H5791" s="1" t="str">
        <f>VLOOKUP(F5791,Countries!$A$1:$B$161,2,0)</f>
        <v>United States of America</v>
      </c>
    </row>
    <row r="5792" spans="1:8" x14ac:dyDescent="0.3">
      <c r="A5792" s="3">
        <v>46240.139074074083</v>
      </c>
      <c r="B5792" s="1">
        <v>2.11</v>
      </c>
      <c r="C5792" s="1">
        <v>1.83</v>
      </c>
      <c r="D5792" s="1">
        <v>0.35</v>
      </c>
      <c r="E5792" s="1" t="s">
        <v>113</v>
      </c>
      <c r="F5792" s="1" t="s">
        <v>113</v>
      </c>
      <c r="G5792" s="1" t="s">
        <v>113</v>
      </c>
      <c r="H5792" s="1" t="str">
        <f>VLOOKUP(F5792,Countries!$A$1:$B$161,2,0)</f>
        <v>United States of America</v>
      </c>
    </row>
    <row r="5793" spans="1:8" x14ac:dyDescent="0.3">
      <c r="A5793" s="3">
        <v>46240.137037037042</v>
      </c>
      <c r="B5793" s="1">
        <v>14.77</v>
      </c>
      <c r="C5793" s="1">
        <v>12.78</v>
      </c>
      <c r="D5793" s="1">
        <v>0.93</v>
      </c>
      <c r="E5793" s="1" t="s">
        <v>113</v>
      </c>
      <c r="F5793" s="1" t="s">
        <v>113</v>
      </c>
      <c r="G5793" s="1" t="s">
        <v>113</v>
      </c>
      <c r="H5793" s="1" t="str">
        <f>VLOOKUP(F5793,Countries!$A$1:$B$161,2,0)</f>
        <v>United States of America</v>
      </c>
    </row>
    <row r="5794" spans="1:8" x14ac:dyDescent="0.3">
      <c r="A5794" s="3">
        <v>46240.134444444448</v>
      </c>
      <c r="B5794" s="1">
        <v>14.77</v>
      </c>
      <c r="C5794" s="1">
        <v>12.78</v>
      </c>
      <c r="D5794" s="1">
        <v>0.93</v>
      </c>
      <c r="E5794" s="1" t="s">
        <v>113</v>
      </c>
      <c r="F5794" s="1" t="s">
        <v>113</v>
      </c>
      <c r="G5794" s="1" t="s">
        <v>113</v>
      </c>
      <c r="H5794" s="1" t="str">
        <f>VLOOKUP(F5794,Countries!$A$1:$B$161,2,0)</f>
        <v>United States of America</v>
      </c>
    </row>
    <row r="5795" spans="1:8" x14ac:dyDescent="0.3">
      <c r="A5795" s="3">
        <v>46240.116388888891</v>
      </c>
      <c r="B5795" s="1">
        <v>3.32</v>
      </c>
      <c r="C5795" s="1">
        <v>2.87</v>
      </c>
      <c r="D5795" s="1">
        <v>0.4</v>
      </c>
      <c r="E5795" s="1" t="s">
        <v>121</v>
      </c>
      <c r="F5795" s="1" t="s">
        <v>121</v>
      </c>
      <c r="G5795" s="1" t="s">
        <v>121</v>
      </c>
      <c r="H5795" s="1" t="str">
        <f>VLOOKUP(F5795,Countries!$A$1:$B$161,2,0)</f>
        <v>Japan</v>
      </c>
    </row>
    <row r="5796" spans="1:8" x14ac:dyDescent="0.3">
      <c r="A5796" s="3">
        <v>46240.11173611111</v>
      </c>
      <c r="B5796" s="1">
        <v>3.99</v>
      </c>
      <c r="C5796" s="1">
        <v>3.45</v>
      </c>
      <c r="D5796" s="1">
        <v>0.43</v>
      </c>
      <c r="E5796" s="1" t="s">
        <v>129</v>
      </c>
      <c r="F5796" s="1" t="s">
        <v>129</v>
      </c>
      <c r="G5796" s="1" t="s">
        <v>129</v>
      </c>
      <c r="H5796" s="1" t="str">
        <f>VLOOKUP(F5796,Countries!$A$1:$B$161,2,0)</f>
        <v>Qatar</v>
      </c>
    </row>
    <row r="5797" spans="1:8" x14ac:dyDescent="0.3">
      <c r="A5797" s="3">
        <v>46240.111377314817</v>
      </c>
      <c r="B5797" s="1">
        <v>6.37</v>
      </c>
      <c r="C5797" s="1">
        <v>5.51</v>
      </c>
      <c r="D5797" s="1">
        <v>0.54</v>
      </c>
      <c r="E5797" s="1" t="s">
        <v>113</v>
      </c>
      <c r="F5797" s="1" t="s">
        <v>113</v>
      </c>
      <c r="G5797" s="1" t="s">
        <v>113</v>
      </c>
      <c r="H5797" s="1" t="str">
        <f>VLOOKUP(F5797,Countries!$A$1:$B$161,2,0)</f>
        <v>United States of America</v>
      </c>
    </row>
    <row r="5798" spans="1:8" x14ac:dyDescent="0.3">
      <c r="A5798" s="3">
        <v>46240.10869212963</v>
      </c>
      <c r="B5798" s="1">
        <v>14.77</v>
      </c>
      <c r="C5798" s="1">
        <v>12.78</v>
      </c>
      <c r="D5798" s="1">
        <v>0.93</v>
      </c>
      <c r="E5798" s="1" t="s">
        <v>113</v>
      </c>
      <c r="F5798" s="1" t="s">
        <v>113</v>
      </c>
      <c r="G5798" s="1" t="s">
        <v>113</v>
      </c>
      <c r="H5798" s="1" t="str">
        <f>VLOOKUP(F5798,Countries!$A$1:$B$161,2,0)</f>
        <v>United States of America</v>
      </c>
    </row>
    <row r="5799" spans="1:8" x14ac:dyDescent="0.3">
      <c r="A5799" s="3">
        <v>46240.098692129628</v>
      </c>
      <c r="B5799" s="1">
        <v>3.32</v>
      </c>
      <c r="C5799" s="1">
        <v>2.87</v>
      </c>
      <c r="D5799" s="1">
        <v>0.4</v>
      </c>
      <c r="E5799" s="1" t="s">
        <v>130</v>
      </c>
      <c r="F5799" s="1" t="s">
        <v>130</v>
      </c>
      <c r="G5799" s="1" t="s">
        <v>130</v>
      </c>
      <c r="H5799" s="1" t="str">
        <f>VLOOKUP(F5799,Countries!$A$1:$B$161,2,0)</f>
        <v>Australia</v>
      </c>
    </row>
    <row r="5800" spans="1:8" x14ac:dyDescent="0.3">
      <c r="A5800" s="3">
        <v>46240.093715277777</v>
      </c>
      <c r="B5800" s="1">
        <v>6.37</v>
      </c>
      <c r="C5800" s="1">
        <v>5.51</v>
      </c>
      <c r="D5800" s="1">
        <v>0.54</v>
      </c>
      <c r="E5800" s="1" t="s">
        <v>113</v>
      </c>
      <c r="F5800" s="1" t="s">
        <v>113</v>
      </c>
      <c r="G5800" s="1" t="s">
        <v>113</v>
      </c>
      <c r="H5800" s="1" t="str">
        <f>VLOOKUP(F5800,Countries!$A$1:$B$161,2,0)</f>
        <v>United States of America</v>
      </c>
    </row>
    <row r="5801" spans="1:8" x14ac:dyDescent="0.3">
      <c r="A5801" s="3">
        <v>46240.0859837963</v>
      </c>
      <c r="B5801" s="1">
        <v>1.99</v>
      </c>
      <c r="C5801" s="1">
        <v>1.72</v>
      </c>
      <c r="D5801" s="1">
        <v>0.34</v>
      </c>
      <c r="E5801" s="1" t="s">
        <v>148</v>
      </c>
      <c r="F5801" s="1" t="s">
        <v>148</v>
      </c>
      <c r="G5801" s="1" t="s">
        <v>148</v>
      </c>
      <c r="H5801" s="1" t="str">
        <f>VLOOKUP(F5801,Countries!$A$1:$B$161,2,0)</f>
        <v>Honduras</v>
      </c>
    </row>
    <row r="5802" spans="1:8" x14ac:dyDescent="0.3">
      <c r="A5802" s="3">
        <v>46240.084120370368</v>
      </c>
      <c r="B5802" s="1">
        <v>1.99</v>
      </c>
      <c r="C5802" s="1">
        <v>1.72</v>
      </c>
      <c r="D5802" s="1">
        <v>0.34</v>
      </c>
      <c r="E5802" s="1" t="s">
        <v>216</v>
      </c>
      <c r="F5802" s="1" t="s">
        <v>152</v>
      </c>
      <c r="G5802" s="1" t="s">
        <v>152</v>
      </c>
      <c r="H5802" s="1" t="str">
        <f>VLOOKUP(F5802,Countries!$A$1:$B$161,2,0)</f>
        <v>Singapore</v>
      </c>
    </row>
    <row r="5803" spans="1:8" x14ac:dyDescent="0.3">
      <c r="A5803" s="3">
        <v>46240.081655092603</v>
      </c>
      <c r="B5803" s="1">
        <v>7.58</v>
      </c>
      <c r="C5803" s="1">
        <v>6.56</v>
      </c>
      <c r="D5803" s="1">
        <v>0.48</v>
      </c>
      <c r="E5803" s="1" t="s">
        <v>116</v>
      </c>
      <c r="F5803" s="1" t="s">
        <v>116</v>
      </c>
      <c r="G5803" s="1" t="s">
        <v>116</v>
      </c>
      <c r="H5803" s="1" t="str">
        <f>VLOOKUP(F5803,Countries!$A$1:$B$161,2,0)</f>
        <v>Spain</v>
      </c>
    </row>
    <row r="5804" spans="1:8" x14ac:dyDescent="0.3">
      <c r="A5804" s="3">
        <v>46240.081412037027</v>
      </c>
      <c r="B5804" s="1">
        <v>10.51</v>
      </c>
      <c r="C5804" s="1">
        <v>9.09</v>
      </c>
      <c r="D5804" s="1">
        <v>0.73</v>
      </c>
      <c r="E5804" s="1" t="s">
        <v>143</v>
      </c>
      <c r="F5804" s="1" t="s">
        <v>143</v>
      </c>
      <c r="G5804" s="1" t="s">
        <v>143</v>
      </c>
      <c r="H5804" s="1" t="str">
        <f>VLOOKUP(F5804,Countries!$A$1:$B$161,2,0)</f>
        <v>United Arab Emirates</v>
      </c>
    </row>
    <row r="5805" spans="1:8" x14ac:dyDescent="0.3">
      <c r="A5805" s="3">
        <v>46240.080312500002</v>
      </c>
      <c r="B5805" s="1">
        <v>7.77</v>
      </c>
      <c r="C5805" s="1">
        <v>6.72</v>
      </c>
      <c r="D5805" s="1">
        <v>0.48</v>
      </c>
      <c r="E5805" s="1" t="s">
        <v>137</v>
      </c>
      <c r="F5805" s="1" t="s">
        <v>137</v>
      </c>
      <c r="G5805" s="1" t="s">
        <v>137</v>
      </c>
      <c r="H5805" s="1" t="str">
        <f>VLOOKUP(F5805,Countries!$A$1:$B$161,2,0)</f>
        <v>Poland</v>
      </c>
    </row>
    <row r="5806" spans="1:8" x14ac:dyDescent="0.3">
      <c r="A5806" s="3">
        <v>46240.078113425923</v>
      </c>
      <c r="B5806" s="1">
        <v>6.58</v>
      </c>
      <c r="C5806" s="1">
        <v>5.69</v>
      </c>
      <c r="D5806" s="1">
        <v>0.54</v>
      </c>
      <c r="E5806" s="1" t="s">
        <v>152</v>
      </c>
      <c r="F5806" s="1" t="s">
        <v>152</v>
      </c>
      <c r="G5806" s="1" t="s">
        <v>152</v>
      </c>
      <c r="H5806" s="1" t="str">
        <f>VLOOKUP(F5806,Countries!$A$1:$B$161,2,0)</f>
        <v>Singapore</v>
      </c>
    </row>
    <row r="5807" spans="1:8" x14ac:dyDescent="0.3">
      <c r="A5807" s="3">
        <v>46240.073472222219</v>
      </c>
      <c r="B5807" s="1">
        <v>52.63</v>
      </c>
      <c r="C5807" s="1">
        <v>45.54</v>
      </c>
      <c r="D5807" s="1">
        <v>2.64</v>
      </c>
      <c r="E5807" s="1" t="s">
        <v>132</v>
      </c>
      <c r="F5807" s="1" t="s">
        <v>132</v>
      </c>
      <c r="G5807" s="1" t="s">
        <v>132</v>
      </c>
      <c r="H5807" s="1" t="str">
        <f>VLOOKUP(F5807,Countries!$A$1:$B$161,2,0)</f>
        <v>Canada</v>
      </c>
    </row>
    <row r="5808" spans="1:8" x14ac:dyDescent="0.3">
      <c r="A5808" s="3">
        <v>46240.073217592602</v>
      </c>
      <c r="B5808" s="1">
        <v>10.52</v>
      </c>
      <c r="C5808" s="1">
        <v>9.1</v>
      </c>
      <c r="D5808" s="1">
        <v>0.73</v>
      </c>
      <c r="E5808" s="1" t="s">
        <v>132</v>
      </c>
      <c r="F5808" s="1" t="s">
        <v>132</v>
      </c>
      <c r="G5808" s="1" t="s">
        <v>132</v>
      </c>
      <c r="H5808" s="1" t="str">
        <f>VLOOKUP(F5808,Countries!$A$1:$B$161,2,0)</f>
        <v>Canada</v>
      </c>
    </row>
    <row r="5809" spans="1:8" x14ac:dyDescent="0.3">
      <c r="A5809" s="3">
        <v>46240.072858796288</v>
      </c>
      <c r="B5809" s="1">
        <v>15.78</v>
      </c>
      <c r="C5809" s="1">
        <v>13.65</v>
      </c>
      <c r="D5809" s="1">
        <v>0.96</v>
      </c>
      <c r="E5809" s="1" t="s">
        <v>132</v>
      </c>
      <c r="F5809" s="1" t="s">
        <v>132</v>
      </c>
      <c r="G5809" s="1" t="s">
        <v>132</v>
      </c>
      <c r="H5809" s="1" t="str">
        <f>VLOOKUP(F5809,Countries!$A$1:$B$161,2,0)</f>
        <v>Canada</v>
      </c>
    </row>
    <row r="5810" spans="1:8" x14ac:dyDescent="0.3">
      <c r="A5810" s="3">
        <v>46240.072511574072</v>
      </c>
      <c r="B5810" s="1">
        <v>23.15</v>
      </c>
      <c r="C5810" s="1">
        <v>20.03</v>
      </c>
      <c r="D5810" s="1">
        <v>1.3</v>
      </c>
      <c r="E5810" s="1" t="s">
        <v>132</v>
      </c>
      <c r="F5810" s="1" t="s">
        <v>132</v>
      </c>
      <c r="G5810" s="1" t="s">
        <v>132</v>
      </c>
      <c r="H5810" s="1" t="str">
        <f>VLOOKUP(F5810,Countries!$A$1:$B$161,2,0)</f>
        <v>Canada</v>
      </c>
    </row>
    <row r="5811" spans="1:8" x14ac:dyDescent="0.3">
      <c r="A5811" s="3">
        <v>46240.070381944453</v>
      </c>
      <c r="B5811" s="1">
        <v>6.37</v>
      </c>
      <c r="C5811" s="1">
        <v>5.51</v>
      </c>
      <c r="D5811" s="1">
        <v>0.54</v>
      </c>
      <c r="E5811" s="1" t="s">
        <v>113</v>
      </c>
      <c r="F5811" s="1" t="s">
        <v>113</v>
      </c>
      <c r="G5811" s="1" t="s">
        <v>113</v>
      </c>
      <c r="H5811" s="1" t="str">
        <f>VLOOKUP(F5811,Countries!$A$1:$B$161,2,0)</f>
        <v>United States of America</v>
      </c>
    </row>
    <row r="5812" spans="1:8" x14ac:dyDescent="0.3">
      <c r="A5812" s="3">
        <v>46240.070011574076</v>
      </c>
      <c r="B5812" s="1">
        <v>7.48</v>
      </c>
      <c r="C5812" s="1">
        <v>6.47</v>
      </c>
      <c r="D5812" s="1">
        <v>0.54</v>
      </c>
      <c r="E5812" s="1" t="s">
        <v>119</v>
      </c>
      <c r="F5812" s="1" t="s">
        <v>119</v>
      </c>
      <c r="G5812" s="1" t="s">
        <v>119</v>
      </c>
      <c r="H5812" s="1" t="str">
        <f>VLOOKUP(F5812,Countries!$A$1:$B$161,2,0)</f>
        <v>Great Britain (United Kingdom)</v>
      </c>
    </row>
    <row r="5813" spans="1:8" x14ac:dyDescent="0.3">
      <c r="A5813" s="3">
        <v>46240.069606481477</v>
      </c>
      <c r="B5813" s="1">
        <v>10.51</v>
      </c>
      <c r="C5813" s="1">
        <v>9.09</v>
      </c>
      <c r="D5813" s="1">
        <v>0.73</v>
      </c>
      <c r="E5813" s="1" t="s">
        <v>143</v>
      </c>
      <c r="F5813" s="1" t="s">
        <v>143</v>
      </c>
      <c r="G5813" s="1" t="s">
        <v>143</v>
      </c>
      <c r="H5813" s="1" t="str">
        <f>VLOOKUP(F5813,Countries!$A$1:$B$161,2,0)</f>
        <v>United Arab Emirates</v>
      </c>
    </row>
    <row r="5814" spans="1:8" x14ac:dyDescent="0.3">
      <c r="A5814" s="3">
        <v>46240.068703703713</v>
      </c>
      <c r="B5814" s="1">
        <v>6.3</v>
      </c>
      <c r="C5814" s="1">
        <v>5.45</v>
      </c>
      <c r="D5814" s="1">
        <v>0.54</v>
      </c>
      <c r="E5814" s="1" t="s">
        <v>132</v>
      </c>
      <c r="F5814" s="1" t="s">
        <v>132</v>
      </c>
      <c r="G5814" s="1" t="s">
        <v>132</v>
      </c>
      <c r="H5814" s="1" t="str">
        <f>VLOOKUP(F5814,Countries!$A$1:$B$161,2,0)</f>
        <v>Canada</v>
      </c>
    </row>
    <row r="5815" spans="1:8" x14ac:dyDescent="0.3">
      <c r="A5815" s="3">
        <v>46240.06591435185</v>
      </c>
      <c r="B5815" s="1">
        <v>12.63</v>
      </c>
      <c r="C5815" s="1">
        <v>10.93</v>
      </c>
      <c r="D5815" s="1">
        <v>0.83</v>
      </c>
      <c r="E5815" s="1" t="s">
        <v>132</v>
      </c>
      <c r="F5815" s="1" t="s">
        <v>132</v>
      </c>
      <c r="G5815" s="1" t="s">
        <v>132</v>
      </c>
      <c r="H5815" s="1" t="str">
        <f>VLOOKUP(F5815,Countries!$A$1:$B$161,2,0)</f>
        <v>Canada</v>
      </c>
    </row>
    <row r="5816" spans="1:8" x14ac:dyDescent="0.3">
      <c r="A5816" s="3">
        <v>46240.063993055563</v>
      </c>
      <c r="B5816" s="1">
        <v>13.89</v>
      </c>
      <c r="C5816" s="1">
        <v>12.02</v>
      </c>
      <c r="D5816" s="1">
        <v>0.88</v>
      </c>
      <c r="E5816" s="1" t="s">
        <v>135</v>
      </c>
      <c r="F5816" s="1" t="s">
        <v>135</v>
      </c>
      <c r="G5816" s="1" t="s">
        <v>135</v>
      </c>
      <c r="H5816" s="1" t="str">
        <f>VLOOKUP(F5816,Countries!$A$1:$B$161,2,0)</f>
        <v>Kuwait</v>
      </c>
    </row>
    <row r="5817" spans="1:8" x14ac:dyDescent="0.3">
      <c r="A5817" s="3">
        <v>46240.063449074078</v>
      </c>
      <c r="B5817" s="1">
        <v>8.5</v>
      </c>
      <c r="C5817" s="1">
        <v>7.35</v>
      </c>
      <c r="D5817" s="1">
        <v>0.64</v>
      </c>
      <c r="E5817" s="1" t="s">
        <v>113</v>
      </c>
      <c r="F5817" s="1" t="s">
        <v>113</v>
      </c>
      <c r="G5817" s="1" t="s">
        <v>113</v>
      </c>
      <c r="H5817" s="1" t="str">
        <f>VLOOKUP(F5817,Countries!$A$1:$B$161,2,0)</f>
        <v>United States of America</v>
      </c>
    </row>
    <row r="5818" spans="1:8" x14ac:dyDescent="0.3">
      <c r="A5818" s="3">
        <v>46240.061331018522</v>
      </c>
      <c r="B5818" s="1">
        <v>6.37</v>
      </c>
      <c r="C5818" s="1">
        <v>5.51</v>
      </c>
      <c r="D5818" s="1">
        <v>0.54</v>
      </c>
      <c r="E5818" s="1" t="s">
        <v>113</v>
      </c>
      <c r="F5818" s="1" t="s">
        <v>113</v>
      </c>
      <c r="G5818" s="1" t="s">
        <v>113</v>
      </c>
      <c r="H5818" s="1" t="str">
        <f>VLOOKUP(F5818,Countries!$A$1:$B$161,2,0)</f>
        <v>United States of America</v>
      </c>
    </row>
    <row r="5819" spans="1:8" x14ac:dyDescent="0.3">
      <c r="A5819" s="3">
        <v>46240.061111111107</v>
      </c>
      <c r="B5819" s="1">
        <v>14.77</v>
      </c>
      <c r="C5819" s="1">
        <v>12.78</v>
      </c>
      <c r="D5819" s="1">
        <v>0.93</v>
      </c>
      <c r="E5819" s="1" t="s">
        <v>113</v>
      </c>
      <c r="F5819" s="1" t="s">
        <v>113</v>
      </c>
      <c r="G5819" s="1" t="s">
        <v>113</v>
      </c>
      <c r="H5819" s="1" t="str">
        <f>VLOOKUP(F5819,Countries!$A$1:$B$161,2,0)</f>
        <v>United States of America</v>
      </c>
    </row>
    <row r="5820" spans="1:8" x14ac:dyDescent="0.3">
      <c r="A5820" s="3">
        <v>46240.056226851862</v>
      </c>
      <c r="B5820" s="1">
        <v>3.88</v>
      </c>
      <c r="C5820" s="1">
        <v>3.36</v>
      </c>
      <c r="D5820" s="1">
        <v>0.37</v>
      </c>
      <c r="E5820" s="1" t="s">
        <v>137</v>
      </c>
      <c r="F5820" s="1" t="s">
        <v>137</v>
      </c>
      <c r="G5820" s="1" t="s">
        <v>137</v>
      </c>
      <c r="H5820" s="1" t="str">
        <f>VLOOKUP(F5820,Countries!$A$1:$B$161,2,0)</f>
        <v>Poland</v>
      </c>
    </row>
    <row r="5821" spans="1:8" x14ac:dyDescent="0.3">
      <c r="A5821" s="3">
        <v>46240.056122685193</v>
      </c>
      <c r="B5821" s="1">
        <v>10.51</v>
      </c>
      <c r="C5821" s="1">
        <v>9.09</v>
      </c>
      <c r="D5821" s="1">
        <v>0.73</v>
      </c>
      <c r="E5821" s="1" t="s">
        <v>143</v>
      </c>
      <c r="F5821" s="1" t="s">
        <v>143</v>
      </c>
      <c r="G5821" s="1" t="s">
        <v>143</v>
      </c>
      <c r="H5821" s="1" t="str">
        <f>VLOOKUP(F5821,Countries!$A$1:$B$161,2,0)</f>
        <v>United Arab Emirates</v>
      </c>
    </row>
    <row r="5822" spans="1:8" x14ac:dyDescent="0.3">
      <c r="A5822" s="3">
        <v>46240.050868055558</v>
      </c>
      <c r="B5822" s="1">
        <v>2.11</v>
      </c>
      <c r="C5822" s="1">
        <v>1.83</v>
      </c>
      <c r="D5822" s="1">
        <v>0.35</v>
      </c>
      <c r="E5822" s="1" t="s">
        <v>113</v>
      </c>
      <c r="F5822" s="1" t="s">
        <v>113</v>
      </c>
      <c r="G5822" s="1" t="s">
        <v>113</v>
      </c>
      <c r="H5822" s="1" t="str">
        <f>VLOOKUP(F5822,Countries!$A$1:$B$161,2,0)</f>
        <v>United States of America</v>
      </c>
    </row>
    <row r="5823" spans="1:8" x14ac:dyDescent="0.3">
      <c r="A5823" s="3">
        <v>46240.049930555557</v>
      </c>
      <c r="B5823" s="1">
        <v>3.99</v>
      </c>
      <c r="C5823" s="1">
        <v>3.45</v>
      </c>
      <c r="D5823" s="1">
        <v>0.43</v>
      </c>
      <c r="E5823" s="1" t="s">
        <v>113</v>
      </c>
      <c r="F5823" s="1" t="s">
        <v>113</v>
      </c>
      <c r="G5823" s="1" t="s">
        <v>113</v>
      </c>
      <c r="H5823" s="1" t="str">
        <f>VLOOKUP(F5823,Countries!$A$1:$B$161,2,0)</f>
        <v>United States of America</v>
      </c>
    </row>
    <row r="5824" spans="1:8" x14ac:dyDescent="0.3">
      <c r="A5824" s="3">
        <v>46240.042372685188</v>
      </c>
      <c r="B5824" s="1">
        <v>13.89</v>
      </c>
      <c r="C5824" s="1">
        <v>12.02</v>
      </c>
      <c r="D5824" s="1">
        <v>0.88</v>
      </c>
      <c r="E5824" s="1" t="s">
        <v>135</v>
      </c>
      <c r="F5824" s="1" t="s">
        <v>135</v>
      </c>
      <c r="G5824" s="1" t="s">
        <v>135</v>
      </c>
      <c r="H5824" s="1" t="str">
        <f>VLOOKUP(F5824,Countries!$A$1:$B$161,2,0)</f>
        <v>Kuwait</v>
      </c>
    </row>
    <row r="5825" spans="1:8" x14ac:dyDescent="0.3">
      <c r="A5825" s="3">
        <v>46240.03365740741</v>
      </c>
      <c r="B5825" s="1">
        <v>85.09</v>
      </c>
      <c r="C5825" s="1">
        <v>73.63</v>
      </c>
      <c r="D5825" s="1">
        <v>4.1100000000000003</v>
      </c>
      <c r="E5825" s="1" t="s">
        <v>113</v>
      </c>
      <c r="F5825" s="1" t="s">
        <v>113</v>
      </c>
      <c r="G5825" s="1" t="s">
        <v>113</v>
      </c>
      <c r="H5825" s="1" t="str">
        <f>VLOOKUP(F5825,Countries!$A$1:$B$161,2,0)</f>
        <v>United States of America</v>
      </c>
    </row>
    <row r="5826" spans="1:8" x14ac:dyDescent="0.3">
      <c r="A5826" s="3">
        <v>46240.030231481483</v>
      </c>
      <c r="B5826" s="1">
        <v>10.62</v>
      </c>
      <c r="C5826" s="1">
        <v>9.19</v>
      </c>
      <c r="D5826" s="1">
        <v>0.73</v>
      </c>
      <c r="E5826" s="1" t="s">
        <v>113</v>
      </c>
      <c r="F5826" s="1" t="s">
        <v>113</v>
      </c>
      <c r="G5826" s="1" t="s">
        <v>113</v>
      </c>
      <c r="H5826" s="1" t="str">
        <f>VLOOKUP(F5826,Countries!$A$1:$B$161,2,0)</f>
        <v>United States of America</v>
      </c>
    </row>
    <row r="5827" spans="1:8" x14ac:dyDescent="0.3">
      <c r="A5827" s="3">
        <v>46240.02548611111</v>
      </c>
      <c r="B5827" s="1">
        <v>59.03</v>
      </c>
      <c r="C5827" s="1">
        <v>51.08</v>
      </c>
      <c r="D5827" s="1">
        <v>2.93</v>
      </c>
      <c r="E5827" s="1" t="s">
        <v>113</v>
      </c>
      <c r="F5827" s="1" t="s">
        <v>113</v>
      </c>
      <c r="G5827" s="1" t="s">
        <v>113</v>
      </c>
      <c r="H5827" s="1" t="str">
        <f>VLOOKUP(F5827,Countries!$A$1:$B$161,2,0)</f>
        <v>United States of America</v>
      </c>
    </row>
    <row r="5828" spans="1:8" x14ac:dyDescent="0.3">
      <c r="A5828" s="3">
        <v>46240.023506944453</v>
      </c>
      <c r="B5828" s="1">
        <v>10.62</v>
      </c>
      <c r="C5828" s="1">
        <v>9.19</v>
      </c>
      <c r="D5828" s="1">
        <v>0.73</v>
      </c>
      <c r="E5828" s="1" t="s">
        <v>113</v>
      </c>
      <c r="F5828" s="1" t="s">
        <v>113</v>
      </c>
      <c r="G5828" s="1" t="s">
        <v>113</v>
      </c>
      <c r="H5828" s="1" t="str">
        <f>VLOOKUP(F5828,Countries!$A$1:$B$161,2,0)</f>
        <v>United States of America</v>
      </c>
    </row>
    <row r="5829" spans="1:8" x14ac:dyDescent="0.3">
      <c r="A5829" s="3">
        <v>46240.021087962959</v>
      </c>
      <c r="B5829" s="1">
        <v>14.77</v>
      </c>
      <c r="C5829" s="1">
        <v>12.78</v>
      </c>
      <c r="D5829" s="1">
        <v>0.93</v>
      </c>
      <c r="E5829" s="1" t="s">
        <v>113</v>
      </c>
      <c r="F5829" s="1" t="s">
        <v>113</v>
      </c>
      <c r="G5829" s="1" t="s">
        <v>113</v>
      </c>
      <c r="H5829" s="1" t="str">
        <f>VLOOKUP(F5829,Countries!$A$1:$B$161,2,0)</f>
        <v>United States of America</v>
      </c>
    </row>
    <row r="5830" spans="1:8" x14ac:dyDescent="0.3">
      <c r="A5830" s="3">
        <v>46240.020266203697</v>
      </c>
      <c r="B5830" s="1">
        <v>10.62</v>
      </c>
      <c r="C5830" s="1">
        <v>9.19</v>
      </c>
      <c r="D5830" s="1">
        <v>0.73</v>
      </c>
      <c r="E5830" s="1" t="s">
        <v>113</v>
      </c>
      <c r="F5830" s="1" t="s">
        <v>113</v>
      </c>
      <c r="G5830" s="1" t="s">
        <v>113</v>
      </c>
      <c r="H5830" s="1" t="str">
        <f>VLOOKUP(F5830,Countries!$A$1:$B$161,2,0)</f>
        <v>United States of America</v>
      </c>
    </row>
    <row r="5831" spans="1:8" x14ac:dyDescent="0.3">
      <c r="A5831" s="3">
        <v>46240.019571759258</v>
      </c>
      <c r="B5831" s="1">
        <v>14.78</v>
      </c>
      <c r="C5831" s="1">
        <v>12.79</v>
      </c>
      <c r="D5831" s="1">
        <v>0.93</v>
      </c>
      <c r="E5831" s="1" t="s">
        <v>113</v>
      </c>
      <c r="F5831" s="1" t="s">
        <v>113</v>
      </c>
      <c r="G5831" s="1" t="s">
        <v>113</v>
      </c>
      <c r="H5831" s="1" t="str">
        <f>VLOOKUP(F5831,Countries!$A$1:$B$161,2,0)</f>
        <v>United States of America</v>
      </c>
    </row>
    <row r="5832" spans="1:8" x14ac:dyDescent="0.3">
      <c r="A5832" s="3">
        <v>46240.019479166673</v>
      </c>
      <c r="B5832" s="1">
        <v>3.32</v>
      </c>
      <c r="C5832" s="1">
        <v>2.87</v>
      </c>
      <c r="D5832" s="1">
        <v>0.4</v>
      </c>
      <c r="E5832" s="1" t="s">
        <v>121</v>
      </c>
      <c r="F5832" s="1" t="s">
        <v>121</v>
      </c>
      <c r="G5832" s="1" t="s">
        <v>121</v>
      </c>
      <c r="H5832" s="1" t="str">
        <f>VLOOKUP(F5832,Countries!$A$1:$B$161,2,0)</f>
        <v>Japan</v>
      </c>
    </row>
    <row r="5833" spans="1:8" x14ac:dyDescent="0.3">
      <c r="A5833" s="3">
        <v>46240.016956018517</v>
      </c>
      <c r="B5833" s="1">
        <v>10.62</v>
      </c>
      <c r="C5833" s="1">
        <v>9.19</v>
      </c>
      <c r="D5833" s="1">
        <v>0.73</v>
      </c>
      <c r="E5833" s="1" t="s">
        <v>113</v>
      </c>
      <c r="F5833" s="1" t="s">
        <v>113</v>
      </c>
      <c r="G5833" s="1" t="s">
        <v>113</v>
      </c>
      <c r="H5833" s="1" t="str">
        <f>VLOOKUP(F5833,Countries!$A$1:$B$161,2,0)</f>
        <v>United States of America</v>
      </c>
    </row>
    <row r="5834" spans="1:8" x14ac:dyDescent="0.3">
      <c r="A5834" s="3">
        <v>46240.015393518523</v>
      </c>
      <c r="B5834" s="1">
        <v>14.77</v>
      </c>
      <c r="C5834" s="1">
        <v>12.78</v>
      </c>
      <c r="D5834" s="1">
        <v>0.93</v>
      </c>
      <c r="E5834" s="1" t="s">
        <v>113</v>
      </c>
      <c r="F5834" s="1" t="s">
        <v>113</v>
      </c>
      <c r="G5834" s="1" t="s">
        <v>113</v>
      </c>
      <c r="H5834" s="1" t="str">
        <f>VLOOKUP(F5834,Countries!$A$1:$B$161,2,0)</f>
        <v>United States of America</v>
      </c>
    </row>
    <row r="5835" spans="1:8" x14ac:dyDescent="0.3">
      <c r="A5835" s="3">
        <v>46240.01457175926</v>
      </c>
      <c r="B5835" s="1">
        <v>10.62</v>
      </c>
      <c r="C5835" s="1">
        <v>9.19</v>
      </c>
      <c r="D5835" s="1">
        <v>0.73</v>
      </c>
      <c r="E5835" s="1" t="s">
        <v>113</v>
      </c>
      <c r="F5835" s="1" t="s">
        <v>113</v>
      </c>
      <c r="G5835" s="1" t="s">
        <v>113</v>
      </c>
      <c r="H5835" s="1" t="str">
        <f>VLOOKUP(F5835,Countries!$A$1:$B$161,2,0)</f>
        <v>United States of America</v>
      </c>
    </row>
    <row r="5836" spans="1:8" x14ac:dyDescent="0.3">
      <c r="A5836" s="3">
        <v>46240.014131944437</v>
      </c>
      <c r="B5836" s="1">
        <v>36.96</v>
      </c>
      <c r="C5836" s="1">
        <v>31.98</v>
      </c>
      <c r="D5836" s="1">
        <v>1.93</v>
      </c>
      <c r="E5836" s="1" t="s">
        <v>113</v>
      </c>
      <c r="F5836" s="1" t="s">
        <v>113</v>
      </c>
      <c r="G5836" s="1" t="s">
        <v>113</v>
      </c>
      <c r="H5836" s="1" t="str">
        <f>VLOOKUP(F5836,Countries!$A$1:$B$161,2,0)</f>
        <v>United States of America</v>
      </c>
    </row>
    <row r="5837" spans="1:8" x14ac:dyDescent="0.3">
      <c r="A5837" s="3">
        <v>46240.009444444448</v>
      </c>
      <c r="B5837" s="1">
        <v>59.03</v>
      </c>
      <c r="C5837" s="1">
        <v>51.08</v>
      </c>
      <c r="D5837" s="1">
        <v>2.93</v>
      </c>
      <c r="E5837" s="1" t="s">
        <v>113</v>
      </c>
      <c r="F5837" s="1" t="s">
        <v>113</v>
      </c>
      <c r="G5837" s="1" t="s">
        <v>113</v>
      </c>
      <c r="H5837" s="1" t="str">
        <f>VLOOKUP(F5837,Countries!$A$1:$B$161,2,0)</f>
        <v>United States of America</v>
      </c>
    </row>
    <row r="5838" spans="1:8" x14ac:dyDescent="0.3">
      <c r="A5838" s="3">
        <v>46240.006828703707</v>
      </c>
      <c r="B5838" s="1">
        <v>13.89</v>
      </c>
      <c r="C5838" s="1">
        <v>12.02</v>
      </c>
      <c r="D5838" s="1">
        <v>0.88</v>
      </c>
      <c r="E5838" s="1" t="s">
        <v>142</v>
      </c>
      <c r="F5838" s="1" t="s">
        <v>142</v>
      </c>
      <c r="G5838" s="1" t="s">
        <v>142</v>
      </c>
      <c r="H5838" s="1" t="str">
        <f>VLOOKUP(F5838,Countries!$A$1:$B$161,2,0)</f>
        <v>India</v>
      </c>
    </row>
    <row r="5839" spans="1:8" x14ac:dyDescent="0.3">
      <c r="A5839" s="3">
        <v>46240.005937499998</v>
      </c>
      <c r="B5839" s="1">
        <v>7.21</v>
      </c>
      <c r="C5839" s="1">
        <v>6.24</v>
      </c>
      <c r="D5839" s="1">
        <v>0.56999999999999995</v>
      </c>
      <c r="E5839" s="1" t="s">
        <v>165</v>
      </c>
      <c r="F5839" s="1" t="s">
        <v>165</v>
      </c>
      <c r="G5839" s="1" t="s">
        <v>165</v>
      </c>
      <c r="H5839" s="1" t="str">
        <f>VLOOKUP(F5839,Countries!$A$1:$B$161,2,0)</f>
        <v>Israel</v>
      </c>
    </row>
    <row r="5840" spans="1:8" x14ac:dyDescent="0.3">
      <c r="A5840" s="3">
        <v>46240.003564814811</v>
      </c>
      <c r="B5840" s="1">
        <v>6.37</v>
      </c>
      <c r="C5840" s="1">
        <v>5.51</v>
      </c>
      <c r="D5840" s="1">
        <v>0.54</v>
      </c>
      <c r="E5840" s="1" t="s">
        <v>113</v>
      </c>
      <c r="F5840" s="1" t="s">
        <v>113</v>
      </c>
      <c r="G5840" s="1" t="s">
        <v>113</v>
      </c>
      <c r="H5840" s="1" t="str">
        <f>VLOOKUP(F5840,Countries!$A$1:$B$161,2,0)</f>
        <v>United States of America</v>
      </c>
    </row>
    <row r="5841" spans="1:8" x14ac:dyDescent="0.3">
      <c r="A5841" s="3">
        <v>46239.992372685178</v>
      </c>
      <c r="B5841" s="1">
        <v>42.54</v>
      </c>
      <c r="C5841" s="1">
        <v>36.82</v>
      </c>
      <c r="D5841" s="1">
        <v>2.19</v>
      </c>
      <c r="E5841" s="1" t="s">
        <v>113</v>
      </c>
      <c r="F5841" s="1" t="s">
        <v>113</v>
      </c>
      <c r="G5841" s="1" t="s">
        <v>113</v>
      </c>
      <c r="H5841" s="1" t="str">
        <f>VLOOKUP(F5841,Countries!$A$1:$B$161,2,0)</f>
        <v>United States of America</v>
      </c>
    </row>
    <row r="5842" spans="1:8" x14ac:dyDescent="0.3">
      <c r="A5842" s="3">
        <v>46239.991979166669</v>
      </c>
      <c r="B5842" s="1">
        <v>14.77</v>
      </c>
      <c r="C5842" s="1">
        <v>12.78</v>
      </c>
      <c r="D5842" s="1">
        <v>0.93</v>
      </c>
      <c r="E5842" s="1" t="s">
        <v>113</v>
      </c>
      <c r="F5842" s="1" t="s">
        <v>113</v>
      </c>
      <c r="G5842" s="1" t="s">
        <v>113</v>
      </c>
      <c r="H5842" s="1" t="str">
        <f>VLOOKUP(F5842,Countries!$A$1:$B$161,2,0)</f>
        <v>United States of America</v>
      </c>
    </row>
    <row r="5843" spans="1:8" x14ac:dyDescent="0.3">
      <c r="A5843" s="3">
        <v>46239.990601851852</v>
      </c>
      <c r="B5843" s="1">
        <v>3.18</v>
      </c>
      <c r="C5843" s="1">
        <v>2.75</v>
      </c>
      <c r="D5843" s="1">
        <v>0.4</v>
      </c>
      <c r="E5843" s="1" t="s">
        <v>113</v>
      </c>
      <c r="F5843" s="1" t="s">
        <v>113</v>
      </c>
      <c r="G5843" s="1" t="s">
        <v>113</v>
      </c>
      <c r="H5843" s="1" t="str">
        <f>VLOOKUP(F5843,Countries!$A$1:$B$161,2,0)</f>
        <v>United States of America</v>
      </c>
    </row>
    <row r="5844" spans="1:8" x14ac:dyDescent="0.3">
      <c r="A5844" s="3">
        <v>46239.984305555547</v>
      </c>
      <c r="B5844" s="1">
        <v>6.37</v>
      </c>
      <c r="C5844" s="1">
        <v>5.51</v>
      </c>
      <c r="D5844" s="1">
        <v>0.54</v>
      </c>
      <c r="E5844" s="1" t="s">
        <v>113</v>
      </c>
      <c r="F5844" s="1" t="s">
        <v>113</v>
      </c>
      <c r="G5844" s="1" t="s">
        <v>113</v>
      </c>
      <c r="H5844" s="1" t="str">
        <f>VLOOKUP(F5844,Countries!$A$1:$B$161,2,0)</f>
        <v>United States of America</v>
      </c>
    </row>
    <row r="5845" spans="1:8" x14ac:dyDescent="0.3">
      <c r="A5845" s="3">
        <v>46239.983356481483</v>
      </c>
      <c r="B5845" s="1">
        <v>6.37</v>
      </c>
      <c r="C5845" s="1">
        <v>5.51</v>
      </c>
      <c r="D5845" s="1">
        <v>0.54</v>
      </c>
      <c r="E5845" s="1" t="s">
        <v>113</v>
      </c>
      <c r="F5845" s="1" t="s">
        <v>113</v>
      </c>
      <c r="G5845" s="1" t="s">
        <v>113</v>
      </c>
      <c r="H5845" s="1" t="str">
        <f>VLOOKUP(F5845,Countries!$A$1:$B$161,2,0)</f>
        <v>United States of America</v>
      </c>
    </row>
    <row r="5846" spans="1:8" x14ac:dyDescent="0.3">
      <c r="A5846" s="3">
        <v>46239.979837962957</v>
      </c>
      <c r="B5846" s="1">
        <v>55.49</v>
      </c>
      <c r="C5846" s="1">
        <v>48.02</v>
      </c>
      <c r="D5846" s="1">
        <v>2.77</v>
      </c>
      <c r="E5846" s="1" t="s">
        <v>142</v>
      </c>
      <c r="F5846" s="1" t="s">
        <v>142</v>
      </c>
      <c r="G5846" s="1" t="s">
        <v>142</v>
      </c>
      <c r="H5846" s="1" t="str">
        <f>VLOOKUP(F5846,Countries!$A$1:$B$161,2,0)</f>
        <v>India</v>
      </c>
    </row>
    <row r="5847" spans="1:8" x14ac:dyDescent="0.3">
      <c r="A5847" s="3">
        <v>46239.976053240738</v>
      </c>
      <c r="B5847" s="1">
        <v>13.89</v>
      </c>
      <c r="C5847" s="1">
        <v>12.02</v>
      </c>
      <c r="D5847" s="1">
        <v>0.88</v>
      </c>
      <c r="E5847" s="1" t="s">
        <v>142</v>
      </c>
      <c r="F5847" s="1" t="s">
        <v>142</v>
      </c>
      <c r="G5847" s="1" t="s">
        <v>142</v>
      </c>
      <c r="H5847" s="1" t="str">
        <f>VLOOKUP(F5847,Countries!$A$1:$B$161,2,0)</f>
        <v>India</v>
      </c>
    </row>
    <row r="5848" spans="1:8" x14ac:dyDescent="0.3">
      <c r="A5848" s="3">
        <v>46239.973854166667</v>
      </c>
      <c r="B5848" s="1">
        <v>14.77</v>
      </c>
      <c r="C5848" s="1">
        <v>12.78</v>
      </c>
      <c r="D5848" s="1">
        <v>0.93</v>
      </c>
      <c r="E5848" s="1" t="s">
        <v>113</v>
      </c>
      <c r="F5848" s="1" t="s">
        <v>113</v>
      </c>
      <c r="G5848" s="1" t="s">
        <v>113</v>
      </c>
      <c r="H5848" s="1" t="str">
        <f>VLOOKUP(F5848,Countries!$A$1:$B$161,2,0)</f>
        <v>United States of America</v>
      </c>
    </row>
    <row r="5849" spans="1:8" x14ac:dyDescent="0.3">
      <c r="A5849" s="3">
        <v>46239.973483796297</v>
      </c>
      <c r="B5849" s="1">
        <v>4.33</v>
      </c>
      <c r="C5849" s="1">
        <v>3.75</v>
      </c>
      <c r="D5849" s="1">
        <v>0.45</v>
      </c>
      <c r="E5849" s="1" t="s">
        <v>115</v>
      </c>
      <c r="F5849" s="1" t="s">
        <v>115</v>
      </c>
      <c r="G5849" s="1" t="s">
        <v>115</v>
      </c>
      <c r="H5849" s="1" t="str">
        <f>VLOOKUP(F5849,Countries!$A$1:$B$161,2,0)</f>
        <v>Switzerland</v>
      </c>
    </row>
    <row r="5850" spans="1:8" x14ac:dyDescent="0.3">
      <c r="A5850" s="3">
        <v>46239.968622685177</v>
      </c>
      <c r="B5850" s="1">
        <v>6.37</v>
      </c>
      <c r="C5850" s="1">
        <v>5.51</v>
      </c>
      <c r="D5850" s="1">
        <v>0.54</v>
      </c>
      <c r="E5850" s="1" t="s">
        <v>113</v>
      </c>
      <c r="F5850" s="1" t="s">
        <v>113</v>
      </c>
      <c r="G5850" s="1" t="s">
        <v>113</v>
      </c>
      <c r="H5850" s="1" t="str">
        <f>VLOOKUP(F5850,Countries!$A$1:$B$161,2,0)</f>
        <v>United States of America</v>
      </c>
    </row>
    <row r="5851" spans="1:8" x14ac:dyDescent="0.3">
      <c r="A5851" s="3">
        <v>46239.963726851849</v>
      </c>
      <c r="B5851" s="1">
        <v>13.89</v>
      </c>
      <c r="C5851" s="1">
        <v>12.02</v>
      </c>
      <c r="D5851" s="1">
        <v>0.88</v>
      </c>
      <c r="E5851" s="1" t="s">
        <v>142</v>
      </c>
      <c r="F5851" s="1" t="s">
        <v>142</v>
      </c>
      <c r="G5851" s="1" t="s">
        <v>142</v>
      </c>
      <c r="H5851" s="1" t="str">
        <f>VLOOKUP(F5851,Countries!$A$1:$B$161,2,0)</f>
        <v>India</v>
      </c>
    </row>
    <row r="5852" spans="1:8" x14ac:dyDescent="0.3">
      <c r="A5852" s="3">
        <v>46239.956261574072</v>
      </c>
      <c r="B5852" s="1">
        <v>13.89</v>
      </c>
      <c r="C5852" s="1">
        <v>12.02</v>
      </c>
      <c r="D5852" s="1">
        <v>0.88</v>
      </c>
      <c r="E5852" s="1" t="s">
        <v>142</v>
      </c>
      <c r="F5852" s="1" t="s">
        <v>142</v>
      </c>
      <c r="G5852" s="1" t="s">
        <v>142</v>
      </c>
      <c r="H5852" s="1" t="str">
        <f>VLOOKUP(F5852,Countries!$A$1:$B$161,2,0)</f>
        <v>India</v>
      </c>
    </row>
    <row r="5853" spans="1:8" x14ac:dyDescent="0.3">
      <c r="A5853" s="3">
        <v>46239.954780092587</v>
      </c>
      <c r="B5853" s="1">
        <v>7.67</v>
      </c>
      <c r="C5853" s="1">
        <v>6.64</v>
      </c>
      <c r="D5853" s="1">
        <v>0.48</v>
      </c>
      <c r="E5853" s="1" t="s">
        <v>124</v>
      </c>
      <c r="F5853" s="1" t="s">
        <v>124</v>
      </c>
      <c r="G5853" s="1" t="s">
        <v>124</v>
      </c>
      <c r="H5853" s="1" t="str">
        <f>VLOOKUP(F5853,Countries!$A$1:$B$161,2,0)</f>
        <v>Italy</v>
      </c>
    </row>
    <row r="5854" spans="1:8" x14ac:dyDescent="0.3">
      <c r="A5854" s="3">
        <v>46239.95113425926</v>
      </c>
      <c r="B5854" s="1">
        <v>10</v>
      </c>
      <c r="C5854" s="1">
        <v>8.66</v>
      </c>
      <c r="D5854" s="1">
        <v>0.7</v>
      </c>
      <c r="E5854" s="1" t="s">
        <v>142</v>
      </c>
      <c r="F5854" s="1" t="s">
        <v>142</v>
      </c>
      <c r="G5854" s="1" t="s">
        <v>142</v>
      </c>
      <c r="H5854" s="1" t="str">
        <f>VLOOKUP(F5854,Countries!$A$1:$B$161,2,0)</f>
        <v>India</v>
      </c>
    </row>
    <row r="5855" spans="1:8" x14ac:dyDescent="0.3">
      <c r="A5855" s="3">
        <v>46239.948125000003</v>
      </c>
      <c r="B5855" s="1">
        <v>9.99</v>
      </c>
      <c r="C5855" s="1">
        <v>8.65</v>
      </c>
      <c r="D5855" s="1">
        <v>0.7</v>
      </c>
      <c r="E5855" s="1" t="s">
        <v>142</v>
      </c>
      <c r="F5855" s="1" t="s">
        <v>142</v>
      </c>
      <c r="G5855" s="1" t="s">
        <v>142</v>
      </c>
      <c r="H5855" s="1" t="str">
        <f>VLOOKUP(F5855,Countries!$A$1:$B$161,2,0)</f>
        <v>India</v>
      </c>
    </row>
    <row r="5856" spans="1:8" x14ac:dyDescent="0.3">
      <c r="A5856" s="3">
        <v>46239.946412037039</v>
      </c>
      <c r="B5856" s="1">
        <v>6.37</v>
      </c>
      <c r="C5856" s="1">
        <v>5.51</v>
      </c>
      <c r="D5856" s="1">
        <v>0.54</v>
      </c>
      <c r="E5856" s="1" t="s">
        <v>113</v>
      </c>
      <c r="F5856" s="1" t="s">
        <v>113</v>
      </c>
      <c r="G5856" s="1" t="s">
        <v>113</v>
      </c>
      <c r="H5856" s="1" t="str">
        <f>VLOOKUP(F5856,Countries!$A$1:$B$161,2,0)</f>
        <v>United States of America</v>
      </c>
    </row>
    <row r="5857" spans="1:8" x14ac:dyDescent="0.3">
      <c r="A5857" s="3">
        <v>46239.943194444437</v>
      </c>
      <c r="B5857" s="1">
        <v>2.99</v>
      </c>
      <c r="C5857" s="1">
        <v>2.59</v>
      </c>
      <c r="D5857" s="1">
        <v>0.38</v>
      </c>
      <c r="E5857" s="1" t="s">
        <v>142</v>
      </c>
      <c r="F5857" s="1" t="s">
        <v>142</v>
      </c>
      <c r="G5857" s="1" t="s">
        <v>142</v>
      </c>
      <c r="H5857" s="1" t="str">
        <f>VLOOKUP(F5857,Countries!$A$1:$B$161,2,0)</f>
        <v>India</v>
      </c>
    </row>
    <row r="5858" spans="1:8" x14ac:dyDescent="0.3">
      <c r="A5858" s="3">
        <v>46239.938877314817</v>
      </c>
      <c r="B5858" s="1">
        <v>2.48</v>
      </c>
      <c r="C5858" s="1">
        <v>2.15</v>
      </c>
      <c r="D5858" s="1">
        <v>0.36</v>
      </c>
      <c r="E5858" s="1" t="s">
        <v>131</v>
      </c>
      <c r="F5858" s="1" t="s">
        <v>131</v>
      </c>
      <c r="G5858" s="1" t="s">
        <v>131</v>
      </c>
      <c r="H5858" s="1" t="str">
        <f>VLOOKUP(F5858,Countries!$A$1:$B$161,2,0)</f>
        <v>Ukraine</v>
      </c>
    </row>
    <row r="5859" spans="1:8" x14ac:dyDescent="0.3">
      <c r="A5859" s="3">
        <v>46239.936261574083</v>
      </c>
      <c r="B5859" s="1">
        <v>6.37</v>
      </c>
      <c r="C5859" s="1">
        <v>5.51</v>
      </c>
      <c r="D5859" s="1">
        <v>0.54</v>
      </c>
      <c r="E5859" s="1" t="s">
        <v>113</v>
      </c>
      <c r="F5859" s="1" t="s">
        <v>113</v>
      </c>
      <c r="G5859" s="1" t="s">
        <v>113</v>
      </c>
      <c r="H5859" s="1" t="str">
        <f>VLOOKUP(F5859,Countries!$A$1:$B$161,2,0)</f>
        <v>United States of America</v>
      </c>
    </row>
    <row r="5860" spans="1:8" x14ac:dyDescent="0.3">
      <c r="A5860" s="3">
        <v>46239.928287037037</v>
      </c>
      <c r="B5860" s="1">
        <v>14.77</v>
      </c>
      <c r="C5860" s="1">
        <v>12.78</v>
      </c>
      <c r="D5860" s="1">
        <v>0.93</v>
      </c>
      <c r="E5860" s="1" t="s">
        <v>113</v>
      </c>
      <c r="F5860" s="1" t="s">
        <v>113</v>
      </c>
      <c r="G5860" s="1" t="s">
        <v>113</v>
      </c>
      <c r="H5860" s="1" t="str">
        <f>VLOOKUP(F5860,Countries!$A$1:$B$161,2,0)</f>
        <v>United States of America</v>
      </c>
    </row>
    <row r="5861" spans="1:8" x14ac:dyDescent="0.3">
      <c r="A5861" s="3">
        <v>46239.910833333342</v>
      </c>
      <c r="B5861" s="1">
        <v>6.37</v>
      </c>
      <c r="C5861" s="1">
        <v>5.51</v>
      </c>
      <c r="D5861" s="1">
        <v>0.54</v>
      </c>
      <c r="E5861" s="1" t="s">
        <v>113</v>
      </c>
      <c r="F5861" s="1" t="s">
        <v>113</v>
      </c>
      <c r="G5861" s="1" t="s">
        <v>113</v>
      </c>
      <c r="H5861" s="1" t="str">
        <f>VLOOKUP(F5861,Countries!$A$1:$B$161,2,0)</f>
        <v>United States of America</v>
      </c>
    </row>
    <row r="5862" spans="1:8" x14ac:dyDescent="0.3">
      <c r="A5862" s="3">
        <v>46239.906678240739</v>
      </c>
      <c r="B5862" s="1">
        <v>13.68</v>
      </c>
      <c r="C5862" s="1">
        <v>11.84</v>
      </c>
      <c r="D5862" s="1">
        <v>0.87</v>
      </c>
      <c r="E5862" s="1" t="s">
        <v>132</v>
      </c>
      <c r="F5862" s="1" t="s">
        <v>132</v>
      </c>
      <c r="G5862" s="1" t="s">
        <v>132</v>
      </c>
      <c r="H5862" s="1" t="str">
        <f>VLOOKUP(F5862,Countries!$A$1:$B$161,2,0)</f>
        <v>Canada</v>
      </c>
    </row>
    <row r="5863" spans="1:8" x14ac:dyDescent="0.3">
      <c r="A5863" s="3">
        <v>46239.9062037037</v>
      </c>
      <c r="B5863" s="1">
        <v>12.48</v>
      </c>
      <c r="C5863" s="1">
        <v>10.8</v>
      </c>
      <c r="D5863" s="1">
        <v>0.74</v>
      </c>
      <c r="E5863" s="1" t="s">
        <v>119</v>
      </c>
      <c r="F5863" s="1" t="s">
        <v>119</v>
      </c>
      <c r="G5863" s="1" t="s">
        <v>119</v>
      </c>
      <c r="H5863" s="1" t="str">
        <f>VLOOKUP(F5863,Countries!$A$1:$B$161,2,0)</f>
        <v>Great Britain (United Kingdom)</v>
      </c>
    </row>
    <row r="5864" spans="1:8" x14ac:dyDescent="0.3">
      <c r="A5864" s="3">
        <v>46239.905972222223</v>
      </c>
      <c r="B5864" s="1">
        <v>12.48</v>
      </c>
      <c r="C5864" s="1">
        <v>10.8</v>
      </c>
      <c r="D5864" s="1">
        <v>0.74</v>
      </c>
      <c r="E5864" s="1" t="s">
        <v>119</v>
      </c>
      <c r="F5864" s="1" t="s">
        <v>119</v>
      </c>
      <c r="G5864" s="1" t="s">
        <v>119</v>
      </c>
      <c r="H5864" s="1" t="str">
        <f>VLOOKUP(F5864,Countries!$A$1:$B$161,2,0)</f>
        <v>Great Britain (United Kingdom)</v>
      </c>
    </row>
    <row r="5865" spans="1:8" x14ac:dyDescent="0.3">
      <c r="A5865" s="3">
        <v>46239.901770833327</v>
      </c>
      <c r="B5865" s="1">
        <v>12.48</v>
      </c>
      <c r="C5865" s="1">
        <v>10.8</v>
      </c>
      <c r="D5865" s="1">
        <v>0.74</v>
      </c>
      <c r="E5865" s="1" t="s">
        <v>119</v>
      </c>
      <c r="F5865" s="1" t="s">
        <v>119</v>
      </c>
      <c r="G5865" s="1" t="s">
        <v>119</v>
      </c>
      <c r="H5865" s="1" t="str">
        <f>VLOOKUP(F5865,Countries!$A$1:$B$161,2,0)</f>
        <v>Great Britain (United Kingdom)</v>
      </c>
    </row>
    <row r="5866" spans="1:8" x14ac:dyDescent="0.3">
      <c r="A5866" s="3">
        <v>46239.894965277781</v>
      </c>
      <c r="B5866" s="1">
        <v>9.99</v>
      </c>
      <c r="C5866" s="1">
        <v>8.65</v>
      </c>
      <c r="D5866" s="1">
        <v>0.7</v>
      </c>
      <c r="E5866" s="1" t="s">
        <v>129</v>
      </c>
      <c r="F5866" s="1" t="s">
        <v>129</v>
      </c>
      <c r="G5866" s="1" t="s">
        <v>129</v>
      </c>
      <c r="H5866" s="1" t="str">
        <f>VLOOKUP(F5866,Countries!$A$1:$B$161,2,0)</f>
        <v>Qatar</v>
      </c>
    </row>
    <row r="5867" spans="1:8" x14ac:dyDescent="0.3">
      <c r="A5867" s="3">
        <v>46239.89271990741</v>
      </c>
      <c r="B5867" s="1">
        <v>22.18</v>
      </c>
      <c r="C5867" s="1">
        <v>19.2</v>
      </c>
      <c r="D5867" s="1">
        <v>1.25</v>
      </c>
      <c r="E5867" s="1" t="s">
        <v>113</v>
      </c>
      <c r="F5867" s="1" t="s">
        <v>113</v>
      </c>
      <c r="G5867" s="1" t="s">
        <v>113</v>
      </c>
      <c r="H5867" s="1" t="str">
        <f>VLOOKUP(F5867,Countries!$A$1:$B$161,2,0)</f>
        <v>United States of America</v>
      </c>
    </row>
    <row r="5868" spans="1:8" x14ac:dyDescent="0.3">
      <c r="A5868" s="3">
        <v>46239.891851851848</v>
      </c>
      <c r="B5868" s="1">
        <v>7.48</v>
      </c>
      <c r="C5868" s="1">
        <v>6.47</v>
      </c>
      <c r="D5868" s="1">
        <v>0.59</v>
      </c>
      <c r="E5868" s="1" t="s">
        <v>129</v>
      </c>
      <c r="F5868" s="1" t="s">
        <v>129</v>
      </c>
      <c r="G5868" s="1" t="s">
        <v>129</v>
      </c>
      <c r="H5868" s="1" t="str">
        <f>VLOOKUP(F5868,Countries!$A$1:$B$161,2,0)</f>
        <v>Qatar</v>
      </c>
    </row>
    <row r="5869" spans="1:8" x14ac:dyDescent="0.3">
      <c r="A5869" s="3">
        <v>46239.890752314823</v>
      </c>
      <c r="B5869" s="1">
        <v>7.48</v>
      </c>
      <c r="C5869" s="1">
        <v>6.47</v>
      </c>
      <c r="D5869" s="1">
        <v>0.48</v>
      </c>
      <c r="E5869" s="1" t="s">
        <v>123</v>
      </c>
      <c r="F5869" s="1" t="s">
        <v>123</v>
      </c>
      <c r="G5869" s="1" t="s">
        <v>123</v>
      </c>
      <c r="H5869" s="1" t="str">
        <f>VLOOKUP(F5869,Countries!$A$1:$B$161,2,0)</f>
        <v>France</v>
      </c>
    </row>
    <row r="5870" spans="1:8" x14ac:dyDescent="0.3">
      <c r="A5870" s="3">
        <v>46239.882280092592</v>
      </c>
      <c r="B5870" s="1">
        <v>14.77</v>
      </c>
      <c r="C5870" s="1">
        <v>12.78</v>
      </c>
      <c r="D5870" s="1">
        <v>0.93</v>
      </c>
      <c r="E5870" s="1" t="s">
        <v>113</v>
      </c>
      <c r="F5870" s="1" t="s">
        <v>113</v>
      </c>
      <c r="G5870" s="1" t="s">
        <v>113</v>
      </c>
      <c r="H5870" s="1" t="str">
        <f>VLOOKUP(F5870,Countries!$A$1:$B$161,2,0)</f>
        <v>United States of America</v>
      </c>
    </row>
    <row r="5871" spans="1:8" x14ac:dyDescent="0.3">
      <c r="A5871" s="3">
        <v>46239.880347222221</v>
      </c>
      <c r="B5871" s="1">
        <v>14.77</v>
      </c>
      <c r="C5871" s="1">
        <v>12.78</v>
      </c>
      <c r="D5871" s="1">
        <v>0.93</v>
      </c>
      <c r="E5871" s="1" t="s">
        <v>113</v>
      </c>
      <c r="F5871" s="1" t="s">
        <v>113</v>
      </c>
      <c r="G5871" s="1" t="s">
        <v>113</v>
      </c>
      <c r="H5871" s="1" t="str">
        <f>VLOOKUP(F5871,Countries!$A$1:$B$161,2,0)</f>
        <v>United States of America</v>
      </c>
    </row>
    <row r="5872" spans="1:8" x14ac:dyDescent="0.3">
      <c r="A5872" s="3">
        <v>46239.878101851849</v>
      </c>
      <c r="B5872" s="1">
        <v>5.99</v>
      </c>
      <c r="C5872" s="1">
        <v>5.18</v>
      </c>
      <c r="D5872" s="1">
        <v>0.52</v>
      </c>
      <c r="E5872" s="1" t="s">
        <v>121</v>
      </c>
      <c r="F5872" s="1" t="s">
        <v>121</v>
      </c>
      <c r="G5872" s="1" t="s">
        <v>121</v>
      </c>
      <c r="H5872" s="1" t="str">
        <f>VLOOKUP(F5872,Countries!$A$1:$B$161,2,0)</f>
        <v>Japan</v>
      </c>
    </row>
    <row r="5873" spans="1:8" x14ac:dyDescent="0.3">
      <c r="A5873" s="3">
        <v>46239.872233796297</v>
      </c>
      <c r="B5873" s="1">
        <v>51.75</v>
      </c>
      <c r="C5873" s="1">
        <v>44.8</v>
      </c>
      <c r="D5873" s="1">
        <v>2.61</v>
      </c>
      <c r="E5873" s="1" t="s">
        <v>113</v>
      </c>
      <c r="F5873" s="1" t="s">
        <v>113</v>
      </c>
      <c r="G5873" s="1" t="s">
        <v>113</v>
      </c>
      <c r="H5873" s="1" t="str">
        <f>VLOOKUP(F5873,Countries!$A$1:$B$161,2,0)</f>
        <v>United States of America</v>
      </c>
    </row>
    <row r="5874" spans="1:8" x14ac:dyDescent="0.3">
      <c r="A5874" s="3">
        <v>46239.87096064815</v>
      </c>
      <c r="B5874" s="1">
        <v>6.37</v>
      </c>
      <c r="C5874" s="1">
        <v>5.51</v>
      </c>
      <c r="D5874" s="1">
        <v>0.54</v>
      </c>
      <c r="E5874" s="1" t="s">
        <v>113</v>
      </c>
      <c r="F5874" s="1" t="s">
        <v>113</v>
      </c>
      <c r="G5874" s="1" t="s">
        <v>113</v>
      </c>
      <c r="H5874" s="1" t="str">
        <f>VLOOKUP(F5874,Countries!$A$1:$B$161,2,0)</f>
        <v>United States of America</v>
      </c>
    </row>
    <row r="5875" spans="1:8" x14ac:dyDescent="0.3">
      <c r="A5875" s="3">
        <v>46239.869560185187</v>
      </c>
      <c r="B5875" s="1">
        <v>7.99</v>
      </c>
      <c r="C5875" s="1">
        <v>6.92</v>
      </c>
      <c r="D5875" s="1">
        <v>0.61</v>
      </c>
      <c r="E5875" s="1" t="s">
        <v>113</v>
      </c>
      <c r="F5875" s="1" t="s">
        <v>113</v>
      </c>
      <c r="G5875" s="1" t="s">
        <v>113</v>
      </c>
      <c r="H5875" s="1" t="str">
        <f>VLOOKUP(F5875,Countries!$A$1:$B$161,2,0)</f>
        <v>United States of America</v>
      </c>
    </row>
    <row r="5876" spans="1:8" x14ac:dyDescent="0.3">
      <c r="A5876" s="3">
        <v>46239.865347222221</v>
      </c>
      <c r="B5876" s="1">
        <v>6.37</v>
      </c>
      <c r="C5876" s="1">
        <v>5.51</v>
      </c>
      <c r="D5876" s="1">
        <v>0.54</v>
      </c>
      <c r="E5876" s="1" t="s">
        <v>113</v>
      </c>
      <c r="F5876" s="1" t="s">
        <v>113</v>
      </c>
      <c r="G5876" s="1" t="s">
        <v>113</v>
      </c>
      <c r="H5876" s="1" t="str">
        <f>VLOOKUP(F5876,Countries!$A$1:$B$161,2,0)</f>
        <v>United States of America</v>
      </c>
    </row>
    <row r="5877" spans="1:8" x14ac:dyDescent="0.3">
      <c r="A5877" s="3">
        <v>46239.863379629627</v>
      </c>
      <c r="B5877" s="1">
        <v>6.37</v>
      </c>
      <c r="C5877" s="1">
        <v>5.51</v>
      </c>
      <c r="D5877" s="1">
        <v>0.54</v>
      </c>
      <c r="E5877" s="1" t="s">
        <v>113</v>
      </c>
      <c r="F5877" s="1" t="s">
        <v>113</v>
      </c>
      <c r="G5877" s="1" t="s">
        <v>113</v>
      </c>
      <c r="H5877" s="1" t="str">
        <f>VLOOKUP(F5877,Countries!$A$1:$B$161,2,0)</f>
        <v>United States of America</v>
      </c>
    </row>
    <row r="5878" spans="1:8" x14ac:dyDescent="0.3">
      <c r="A5878" s="3">
        <v>46239.862569444442</v>
      </c>
      <c r="B5878" s="1">
        <v>3.14</v>
      </c>
      <c r="C5878" s="1">
        <v>2.72</v>
      </c>
      <c r="D5878" s="1">
        <v>0.39</v>
      </c>
      <c r="E5878" s="1" t="s">
        <v>143</v>
      </c>
      <c r="F5878" s="1" t="s">
        <v>143</v>
      </c>
      <c r="G5878" s="1" t="s">
        <v>143</v>
      </c>
      <c r="H5878" s="1" t="str">
        <f>VLOOKUP(F5878,Countries!$A$1:$B$161,2,0)</f>
        <v>United Arab Emirates</v>
      </c>
    </row>
    <row r="5879" spans="1:8" x14ac:dyDescent="0.3">
      <c r="A5879" s="3">
        <v>46239.860185185193</v>
      </c>
      <c r="B5879" s="1">
        <v>6.37</v>
      </c>
      <c r="C5879" s="1">
        <v>5.51</v>
      </c>
      <c r="D5879" s="1">
        <v>0.54</v>
      </c>
      <c r="E5879" s="1" t="s">
        <v>113</v>
      </c>
      <c r="F5879" s="1" t="s">
        <v>113</v>
      </c>
      <c r="G5879" s="1" t="s">
        <v>113</v>
      </c>
      <c r="H5879" s="1" t="str">
        <f>VLOOKUP(F5879,Countries!$A$1:$B$161,2,0)</f>
        <v>United States of America</v>
      </c>
    </row>
    <row r="5880" spans="1:8" x14ac:dyDescent="0.3">
      <c r="A5880" s="3">
        <v>46239.857372685183</v>
      </c>
      <c r="B5880" s="1">
        <v>10.62</v>
      </c>
      <c r="C5880" s="1">
        <v>9.19</v>
      </c>
      <c r="D5880" s="1">
        <v>0.73</v>
      </c>
      <c r="E5880" s="1" t="s">
        <v>113</v>
      </c>
      <c r="F5880" s="1" t="s">
        <v>113</v>
      </c>
      <c r="G5880" s="1" t="s">
        <v>113</v>
      </c>
      <c r="H5880" s="1" t="str">
        <f>VLOOKUP(F5880,Countries!$A$1:$B$161,2,0)</f>
        <v>United States of America</v>
      </c>
    </row>
    <row r="5881" spans="1:8" x14ac:dyDescent="0.3">
      <c r="A5881" s="3">
        <v>46239.855868055558</v>
      </c>
      <c r="B5881" s="1">
        <v>7.48</v>
      </c>
      <c r="C5881" s="1">
        <v>6.48</v>
      </c>
      <c r="D5881" s="1">
        <v>0.54</v>
      </c>
      <c r="E5881" s="1" t="s">
        <v>119</v>
      </c>
      <c r="F5881" s="1" t="s">
        <v>119</v>
      </c>
      <c r="G5881" s="1" t="s">
        <v>119</v>
      </c>
      <c r="H5881" s="1" t="str">
        <f>VLOOKUP(F5881,Countries!$A$1:$B$161,2,0)</f>
        <v>Great Britain (United Kingdom)</v>
      </c>
    </row>
    <row r="5882" spans="1:8" x14ac:dyDescent="0.3">
      <c r="A5882" s="3">
        <v>46239.853148148148</v>
      </c>
      <c r="B5882" s="1">
        <v>36.96</v>
      </c>
      <c r="C5882" s="1">
        <v>32</v>
      </c>
      <c r="D5882" s="1">
        <v>1.93</v>
      </c>
      <c r="E5882" s="1" t="s">
        <v>113</v>
      </c>
      <c r="F5882" s="1" t="s">
        <v>113</v>
      </c>
      <c r="G5882" s="1" t="s">
        <v>113</v>
      </c>
      <c r="H5882" s="1" t="str">
        <f>VLOOKUP(F5882,Countries!$A$1:$B$161,2,0)</f>
        <v>United States of America</v>
      </c>
    </row>
    <row r="5883" spans="1:8" x14ac:dyDescent="0.3">
      <c r="A5883" s="3">
        <v>46239.849120370367</v>
      </c>
      <c r="B5883" s="1">
        <v>14.77</v>
      </c>
      <c r="C5883" s="1">
        <v>12.79</v>
      </c>
      <c r="D5883" s="1">
        <v>0.93</v>
      </c>
      <c r="E5883" s="1" t="s">
        <v>113</v>
      </c>
      <c r="F5883" s="1" t="s">
        <v>113</v>
      </c>
      <c r="G5883" s="1" t="s">
        <v>113</v>
      </c>
      <c r="H5883" s="1" t="str">
        <f>VLOOKUP(F5883,Countries!$A$1:$B$161,2,0)</f>
        <v>United States of America</v>
      </c>
    </row>
    <row r="5884" spans="1:8" x14ac:dyDescent="0.3">
      <c r="A5884" s="3">
        <v>46239.844537037039</v>
      </c>
      <c r="B5884" s="1">
        <v>51.75</v>
      </c>
      <c r="C5884" s="1">
        <v>44.8</v>
      </c>
      <c r="D5884" s="1">
        <v>2.61</v>
      </c>
      <c r="E5884" s="1" t="s">
        <v>113</v>
      </c>
      <c r="F5884" s="1" t="s">
        <v>113</v>
      </c>
      <c r="G5884" s="1" t="s">
        <v>113</v>
      </c>
      <c r="H5884" s="1" t="str">
        <f>VLOOKUP(F5884,Countries!$A$1:$B$161,2,0)</f>
        <v>United States of America</v>
      </c>
    </row>
    <row r="5885" spans="1:8" x14ac:dyDescent="0.3">
      <c r="A5885" s="3">
        <v>46239.840428240743</v>
      </c>
      <c r="B5885" s="1">
        <v>3.73</v>
      </c>
      <c r="C5885" s="1">
        <v>3.23</v>
      </c>
      <c r="D5885" s="1">
        <v>0.39</v>
      </c>
      <c r="E5885" s="1" t="s">
        <v>119</v>
      </c>
      <c r="F5885" s="1" t="s">
        <v>119</v>
      </c>
      <c r="G5885" s="1" t="s">
        <v>119</v>
      </c>
      <c r="H5885" s="1" t="str">
        <f>VLOOKUP(F5885,Countries!$A$1:$B$161,2,0)</f>
        <v>Great Britain (United Kingdom)</v>
      </c>
    </row>
    <row r="5886" spans="1:8" x14ac:dyDescent="0.3">
      <c r="A5886" s="3">
        <v>46239.837696759263</v>
      </c>
      <c r="B5886" s="1">
        <v>42.54</v>
      </c>
      <c r="C5886" s="1">
        <v>36.83</v>
      </c>
      <c r="D5886" s="1">
        <v>2.19</v>
      </c>
      <c r="E5886" s="1" t="s">
        <v>113</v>
      </c>
      <c r="F5886" s="1" t="s">
        <v>113</v>
      </c>
      <c r="G5886" s="1" t="s">
        <v>113</v>
      </c>
      <c r="H5886" s="1" t="str">
        <f>VLOOKUP(F5886,Countries!$A$1:$B$161,2,0)</f>
        <v>United States of America</v>
      </c>
    </row>
    <row r="5887" spans="1:8" x14ac:dyDescent="0.3">
      <c r="A5887" s="3">
        <v>46239.831886574073</v>
      </c>
      <c r="B5887" s="1">
        <v>15.95</v>
      </c>
      <c r="C5887" s="1">
        <v>13.8</v>
      </c>
      <c r="D5887" s="1">
        <v>0.98</v>
      </c>
      <c r="E5887" s="1" t="s">
        <v>113</v>
      </c>
      <c r="F5887" s="1" t="s">
        <v>113</v>
      </c>
      <c r="G5887" s="1" t="s">
        <v>113</v>
      </c>
      <c r="H5887" s="1" t="str">
        <f>VLOOKUP(F5887,Countries!$A$1:$B$161,2,0)</f>
        <v>United States of America</v>
      </c>
    </row>
    <row r="5888" spans="1:8" x14ac:dyDescent="0.3">
      <c r="A5888" s="3">
        <v>46239.831365740742</v>
      </c>
      <c r="B5888" s="1">
        <v>36.96</v>
      </c>
      <c r="C5888" s="1">
        <v>31.99</v>
      </c>
      <c r="D5888" s="1">
        <v>1.93</v>
      </c>
      <c r="E5888" s="1" t="s">
        <v>113</v>
      </c>
      <c r="F5888" s="1" t="s">
        <v>113</v>
      </c>
      <c r="G5888" s="1" t="s">
        <v>113</v>
      </c>
      <c r="H5888" s="1" t="str">
        <f>VLOOKUP(F5888,Countries!$A$1:$B$161,2,0)</f>
        <v>United States of America</v>
      </c>
    </row>
    <row r="5889" spans="1:8" x14ac:dyDescent="0.3">
      <c r="A5889" s="3">
        <v>46239.829884259263</v>
      </c>
      <c r="B5889" s="1">
        <v>10.62</v>
      </c>
      <c r="C5889" s="1">
        <v>9.19</v>
      </c>
      <c r="D5889" s="1">
        <v>0.73</v>
      </c>
      <c r="E5889" s="1" t="s">
        <v>113</v>
      </c>
      <c r="F5889" s="1" t="s">
        <v>113</v>
      </c>
      <c r="G5889" s="1" t="s">
        <v>113</v>
      </c>
      <c r="H5889" s="1" t="str">
        <f>VLOOKUP(F5889,Countries!$A$1:$B$161,2,0)</f>
        <v>United States of America</v>
      </c>
    </row>
    <row r="5890" spans="1:8" x14ac:dyDescent="0.3">
      <c r="A5890" s="3">
        <v>46239.829050925917</v>
      </c>
      <c r="B5890" s="1">
        <v>7.48</v>
      </c>
      <c r="C5890" s="1">
        <v>6.47</v>
      </c>
      <c r="D5890" s="1">
        <v>0.48</v>
      </c>
      <c r="E5890" s="1" t="s">
        <v>123</v>
      </c>
      <c r="F5890" s="1" t="s">
        <v>123</v>
      </c>
      <c r="G5890" s="1" t="s">
        <v>123</v>
      </c>
      <c r="H5890" s="1" t="str">
        <f>VLOOKUP(F5890,Countries!$A$1:$B$161,2,0)</f>
        <v>France</v>
      </c>
    </row>
    <row r="5891" spans="1:8" x14ac:dyDescent="0.3">
      <c r="A5891" s="3">
        <v>46239.824074074073</v>
      </c>
      <c r="B5891" s="1">
        <v>6.37</v>
      </c>
      <c r="C5891" s="1">
        <v>5.51</v>
      </c>
      <c r="D5891" s="1">
        <v>0.54</v>
      </c>
      <c r="E5891" s="1" t="s">
        <v>113</v>
      </c>
      <c r="F5891" s="1" t="s">
        <v>113</v>
      </c>
      <c r="G5891" s="1" t="s">
        <v>113</v>
      </c>
      <c r="H5891" s="1" t="str">
        <f>VLOOKUP(F5891,Countries!$A$1:$B$161,2,0)</f>
        <v>United States of America</v>
      </c>
    </row>
    <row r="5892" spans="1:8" x14ac:dyDescent="0.3">
      <c r="A5892" s="3">
        <v>46239.819050925929</v>
      </c>
      <c r="B5892" s="1">
        <v>2.99</v>
      </c>
      <c r="C5892" s="1">
        <v>2.59</v>
      </c>
      <c r="D5892" s="1">
        <v>0.38</v>
      </c>
      <c r="E5892" s="1" t="s">
        <v>113</v>
      </c>
      <c r="F5892" s="1" t="s">
        <v>113</v>
      </c>
      <c r="G5892" s="1" t="s">
        <v>113</v>
      </c>
      <c r="H5892" s="1" t="str">
        <f>VLOOKUP(F5892,Countries!$A$1:$B$161,2,0)</f>
        <v>United States of America</v>
      </c>
    </row>
    <row r="5893" spans="1:8" x14ac:dyDescent="0.3">
      <c r="A5893" s="3">
        <v>46239.807673611111</v>
      </c>
      <c r="B5893" s="1">
        <v>14.77</v>
      </c>
      <c r="C5893" s="1">
        <v>12.78</v>
      </c>
      <c r="D5893" s="1">
        <v>0.93</v>
      </c>
      <c r="E5893" s="1" t="s">
        <v>113</v>
      </c>
      <c r="F5893" s="1" t="s">
        <v>113</v>
      </c>
      <c r="G5893" s="1" t="s">
        <v>113</v>
      </c>
      <c r="H5893" s="1" t="str">
        <f>VLOOKUP(F5893,Countries!$A$1:$B$161,2,0)</f>
        <v>United States of America</v>
      </c>
    </row>
    <row r="5894" spans="1:8" x14ac:dyDescent="0.3">
      <c r="A5894" s="3">
        <v>46239.806030092594</v>
      </c>
      <c r="B5894" s="1">
        <v>14.77</v>
      </c>
      <c r="C5894" s="1">
        <v>12.78</v>
      </c>
      <c r="D5894" s="1">
        <v>0.93</v>
      </c>
      <c r="E5894" s="1" t="s">
        <v>113</v>
      </c>
      <c r="F5894" s="1" t="s">
        <v>113</v>
      </c>
      <c r="G5894" s="1" t="s">
        <v>113</v>
      </c>
      <c r="H5894" s="1" t="str">
        <f>VLOOKUP(F5894,Countries!$A$1:$B$161,2,0)</f>
        <v>United States of America</v>
      </c>
    </row>
    <row r="5895" spans="1:8" x14ac:dyDescent="0.3">
      <c r="A5895" s="3">
        <v>46239.802662037036</v>
      </c>
      <c r="B5895" s="1">
        <v>14.77</v>
      </c>
      <c r="C5895" s="1">
        <v>12.78</v>
      </c>
      <c r="D5895" s="1">
        <v>0.93</v>
      </c>
      <c r="E5895" s="1" t="s">
        <v>113</v>
      </c>
      <c r="F5895" s="1" t="s">
        <v>113</v>
      </c>
      <c r="G5895" s="1" t="s">
        <v>113</v>
      </c>
      <c r="H5895" s="1" t="str">
        <f>VLOOKUP(F5895,Countries!$A$1:$B$161,2,0)</f>
        <v>United States of America</v>
      </c>
    </row>
    <row r="5896" spans="1:8" x14ac:dyDescent="0.3">
      <c r="A5896" s="3">
        <v>46239.798703703702</v>
      </c>
      <c r="B5896" s="1">
        <v>6.58</v>
      </c>
      <c r="C5896" s="1">
        <v>5.69</v>
      </c>
      <c r="D5896" s="1">
        <v>0.54</v>
      </c>
      <c r="E5896" s="1" t="s">
        <v>152</v>
      </c>
      <c r="F5896" s="1" t="s">
        <v>152</v>
      </c>
      <c r="G5896" s="1" t="s">
        <v>152</v>
      </c>
      <c r="H5896" s="1" t="str">
        <f>VLOOKUP(F5896,Countries!$A$1:$B$161,2,0)</f>
        <v>Singapore</v>
      </c>
    </row>
    <row r="5897" spans="1:8" x14ac:dyDescent="0.3">
      <c r="A5897" s="3">
        <v>46239.790752314817</v>
      </c>
      <c r="B5897" s="1">
        <v>17.010000000000002</v>
      </c>
      <c r="C5897" s="1">
        <v>14.72</v>
      </c>
      <c r="D5897" s="1">
        <v>1.02</v>
      </c>
      <c r="E5897" s="1" t="s">
        <v>113</v>
      </c>
      <c r="F5897" s="1" t="s">
        <v>113</v>
      </c>
      <c r="G5897" s="1" t="s">
        <v>113</v>
      </c>
      <c r="H5897" s="1" t="str">
        <f>VLOOKUP(F5897,Countries!$A$1:$B$161,2,0)</f>
        <v>United States of America</v>
      </c>
    </row>
    <row r="5898" spans="1:8" x14ac:dyDescent="0.3">
      <c r="A5898" s="3">
        <v>46239.790509259263</v>
      </c>
      <c r="B5898" s="1">
        <v>2.11</v>
      </c>
      <c r="C5898" s="1">
        <v>1.83</v>
      </c>
      <c r="D5898" s="1">
        <v>0.35</v>
      </c>
      <c r="E5898" s="1" t="s">
        <v>113</v>
      </c>
      <c r="F5898" s="1" t="s">
        <v>113</v>
      </c>
      <c r="G5898" s="1" t="s">
        <v>113</v>
      </c>
      <c r="H5898" s="1" t="str">
        <f>VLOOKUP(F5898,Countries!$A$1:$B$161,2,0)</f>
        <v>United States of America</v>
      </c>
    </row>
    <row r="5899" spans="1:8" x14ac:dyDescent="0.3">
      <c r="A5899" s="3">
        <v>46239.789293981477</v>
      </c>
      <c r="B5899" s="1">
        <v>10.62</v>
      </c>
      <c r="C5899" s="1">
        <v>9.19</v>
      </c>
      <c r="D5899" s="1">
        <v>0.73</v>
      </c>
      <c r="E5899" s="1" t="s">
        <v>113</v>
      </c>
      <c r="F5899" s="1" t="s">
        <v>113</v>
      </c>
      <c r="G5899" s="1" t="s">
        <v>113</v>
      </c>
      <c r="H5899" s="1" t="str">
        <f>VLOOKUP(F5899,Countries!$A$1:$B$161,2,0)</f>
        <v>United States of America</v>
      </c>
    </row>
    <row r="5900" spans="1:8" x14ac:dyDescent="0.3">
      <c r="A5900" s="3">
        <v>46239.788229166668</v>
      </c>
      <c r="B5900" s="1">
        <v>6.37</v>
      </c>
      <c r="C5900" s="1">
        <v>5.51</v>
      </c>
      <c r="D5900" s="1">
        <v>0.54</v>
      </c>
      <c r="E5900" s="1" t="s">
        <v>113</v>
      </c>
      <c r="F5900" s="1" t="s">
        <v>113</v>
      </c>
      <c r="G5900" s="1" t="s">
        <v>113</v>
      </c>
      <c r="H5900" s="1" t="str">
        <f>VLOOKUP(F5900,Countries!$A$1:$B$161,2,0)</f>
        <v>United States of America</v>
      </c>
    </row>
    <row r="5901" spans="1:8" x14ac:dyDescent="0.3">
      <c r="A5901" s="3">
        <v>46239.779629629629</v>
      </c>
      <c r="B5901" s="1">
        <v>7.58</v>
      </c>
      <c r="C5901" s="1">
        <v>6.56</v>
      </c>
      <c r="D5901" s="1">
        <v>0.48</v>
      </c>
      <c r="E5901" s="1" t="s">
        <v>116</v>
      </c>
      <c r="F5901" s="1" t="s">
        <v>116</v>
      </c>
      <c r="G5901" s="1" t="s">
        <v>116</v>
      </c>
      <c r="H5901" s="1" t="str">
        <f>VLOOKUP(F5901,Countries!$A$1:$B$161,2,0)</f>
        <v>Spain</v>
      </c>
    </row>
    <row r="5902" spans="1:8" x14ac:dyDescent="0.3">
      <c r="A5902" s="3">
        <v>46239.772743055553</v>
      </c>
      <c r="B5902" s="1">
        <v>1.99</v>
      </c>
      <c r="C5902" s="1">
        <v>1.72</v>
      </c>
      <c r="D5902" s="1">
        <v>0.34</v>
      </c>
      <c r="E5902" s="1" t="s">
        <v>113</v>
      </c>
      <c r="F5902" s="1" t="s">
        <v>113</v>
      </c>
      <c r="G5902" s="1" t="s">
        <v>113</v>
      </c>
      <c r="H5902" s="1" t="str">
        <f>VLOOKUP(F5902,Countries!$A$1:$B$161,2,0)</f>
        <v>United States of America</v>
      </c>
    </row>
    <row r="5903" spans="1:8" x14ac:dyDescent="0.3">
      <c r="A5903" s="3">
        <v>46239.767870370371</v>
      </c>
      <c r="B5903" s="1">
        <v>6.8</v>
      </c>
      <c r="C5903" s="1">
        <v>5.88</v>
      </c>
      <c r="D5903" s="1">
        <v>0.56000000000000005</v>
      </c>
      <c r="E5903" s="1" t="s">
        <v>114</v>
      </c>
      <c r="F5903" s="1" t="s">
        <v>114</v>
      </c>
      <c r="G5903" s="1" t="s">
        <v>114</v>
      </c>
      <c r="H5903" s="1" t="str">
        <f>VLOOKUP(F5903,Countries!$A$1:$B$161,2,0)</f>
        <v>Philippines</v>
      </c>
    </row>
    <row r="5904" spans="1:8" x14ac:dyDescent="0.3">
      <c r="A5904" s="3">
        <v>46239.767222222217</v>
      </c>
      <c r="B5904" s="1">
        <v>6.37</v>
      </c>
      <c r="C5904" s="1">
        <v>5.51</v>
      </c>
      <c r="D5904" s="1">
        <v>0.54</v>
      </c>
      <c r="E5904" s="1" t="s">
        <v>113</v>
      </c>
      <c r="F5904" s="1" t="s">
        <v>113</v>
      </c>
      <c r="G5904" s="1" t="s">
        <v>113</v>
      </c>
      <c r="H5904" s="1" t="str">
        <f>VLOOKUP(F5904,Countries!$A$1:$B$161,2,0)</f>
        <v>United States of America</v>
      </c>
    </row>
    <row r="5905" spans="1:8" x14ac:dyDescent="0.3">
      <c r="A5905" s="3">
        <v>46239.756377314807</v>
      </c>
      <c r="B5905" s="1">
        <v>7.04</v>
      </c>
      <c r="C5905" s="1">
        <v>6.09</v>
      </c>
      <c r="D5905" s="1">
        <v>0.56999999999999995</v>
      </c>
      <c r="E5905" s="1" t="s">
        <v>160</v>
      </c>
      <c r="F5905" s="1" t="s">
        <v>160</v>
      </c>
      <c r="G5905" s="1" t="s">
        <v>160</v>
      </c>
      <c r="H5905" s="1" t="str">
        <f>VLOOKUP(F5905,Countries!$A$1:$B$161,2,0)</f>
        <v>New Zealand</v>
      </c>
    </row>
    <row r="5906" spans="1:8" x14ac:dyDescent="0.3">
      <c r="A5906" s="3">
        <v>46239.745578703703</v>
      </c>
      <c r="B5906" s="1">
        <v>2.11</v>
      </c>
      <c r="C5906" s="1">
        <v>1.83</v>
      </c>
      <c r="D5906" s="1">
        <v>0.35</v>
      </c>
      <c r="E5906" s="1" t="s">
        <v>113</v>
      </c>
      <c r="F5906" s="1" t="s">
        <v>113</v>
      </c>
      <c r="G5906" s="1" t="s">
        <v>113</v>
      </c>
      <c r="H5906" s="1" t="str">
        <f>VLOOKUP(F5906,Countries!$A$1:$B$161,2,0)</f>
        <v>United States of America</v>
      </c>
    </row>
    <row r="5907" spans="1:8" x14ac:dyDescent="0.3">
      <c r="A5907" s="3">
        <v>46239.739895833343</v>
      </c>
      <c r="B5907" s="1">
        <v>17.14</v>
      </c>
      <c r="C5907" s="1">
        <v>14.84</v>
      </c>
      <c r="D5907" s="1">
        <v>0.77</v>
      </c>
      <c r="E5907" s="1" t="s">
        <v>133</v>
      </c>
      <c r="F5907" s="1" t="s">
        <v>159</v>
      </c>
      <c r="G5907" s="1" t="s">
        <v>159</v>
      </c>
      <c r="H5907" s="1" t="str">
        <f>VLOOKUP(F5907,Countries!$A$1:$B$161,2,0)</f>
        <v>Romania</v>
      </c>
    </row>
    <row r="5908" spans="1:8" x14ac:dyDescent="0.3">
      <c r="A5908" s="3">
        <v>46239.737199074072</v>
      </c>
      <c r="B5908" s="1">
        <v>7.58</v>
      </c>
      <c r="C5908" s="1">
        <v>6.56</v>
      </c>
      <c r="D5908" s="1">
        <v>0.48</v>
      </c>
      <c r="E5908" s="1" t="s">
        <v>116</v>
      </c>
      <c r="F5908" s="1" t="s">
        <v>116</v>
      </c>
      <c r="G5908" s="1" t="s">
        <v>116</v>
      </c>
      <c r="H5908" s="1" t="str">
        <f>VLOOKUP(F5908,Countries!$A$1:$B$161,2,0)</f>
        <v>Spain</v>
      </c>
    </row>
    <row r="5909" spans="1:8" x14ac:dyDescent="0.3">
      <c r="A5909" s="3">
        <v>46239.730752314812</v>
      </c>
      <c r="B5909" s="1">
        <v>17.010000000000002</v>
      </c>
      <c r="C5909" s="1">
        <v>14.73</v>
      </c>
      <c r="D5909" s="1">
        <v>1.02</v>
      </c>
      <c r="E5909" s="1" t="s">
        <v>113</v>
      </c>
      <c r="F5909" s="1" t="s">
        <v>113</v>
      </c>
      <c r="G5909" s="1" t="s">
        <v>113</v>
      </c>
      <c r="H5909" s="1" t="str">
        <f>VLOOKUP(F5909,Countries!$A$1:$B$161,2,0)</f>
        <v>United States of America</v>
      </c>
    </row>
    <row r="5910" spans="1:8" x14ac:dyDescent="0.3">
      <c r="A5910" s="3">
        <v>46239.719641203701</v>
      </c>
      <c r="B5910" s="1">
        <v>6.65</v>
      </c>
      <c r="C5910" s="1">
        <v>5.76</v>
      </c>
      <c r="D5910" s="1">
        <v>0.56000000000000005</v>
      </c>
      <c r="E5910" s="1" t="s">
        <v>121</v>
      </c>
      <c r="F5910" s="1" t="s">
        <v>121</v>
      </c>
      <c r="G5910" s="1" t="s">
        <v>121</v>
      </c>
      <c r="H5910" s="1" t="str">
        <f>VLOOKUP(F5910,Countries!$A$1:$B$161,2,0)</f>
        <v>Japan</v>
      </c>
    </row>
    <row r="5911" spans="1:8" x14ac:dyDescent="0.3">
      <c r="A5911" s="3">
        <v>46239.71</v>
      </c>
      <c r="B5911" s="1">
        <v>29.57</v>
      </c>
      <c r="C5911" s="1">
        <v>25.61</v>
      </c>
      <c r="D5911" s="1">
        <v>1.59</v>
      </c>
      <c r="E5911" s="1" t="s">
        <v>175</v>
      </c>
      <c r="F5911" s="1" t="s">
        <v>113</v>
      </c>
      <c r="G5911" s="1" t="s">
        <v>113</v>
      </c>
      <c r="H5911" s="1" t="str">
        <f>VLOOKUP(F5911,Countries!$A$1:$B$161,2,0)</f>
        <v>United States of America</v>
      </c>
    </row>
    <row r="5912" spans="1:8" x14ac:dyDescent="0.3">
      <c r="A5912" s="3">
        <v>46239.703622685192</v>
      </c>
      <c r="B5912" s="1">
        <v>1.99</v>
      </c>
      <c r="C5912" s="1">
        <v>1.72</v>
      </c>
      <c r="D5912" s="1">
        <v>0.34</v>
      </c>
      <c r="E5912" s="1" t="s">
        <v>175</v>
      </c>
      <c r="F5912" s="1" t="s">
        <v>113</v>
      </c>
      <c r="G5912" s="1" t="s">
        <v>113</v>
      </c>
      <c r="H5912" s="1" t="str">
        <f>VLOOKUP(F5912,Countries!$A$1:$B$161,2,0)</f>
        <v>United States of America</v>
      </c>
    </row>
    <row r="5913" spans="1:8" x14ac:dyDescent="0.3">
      <c r="A5913" s="3">
        <v>46239.700532407413</v>
      </c>
      <c r="B5913" s="1">
        <v>6.37</v>
      </c>
      <c r="C5913" s="1">
        <v>5.52</v>
      </c>
      <c r="D5913" s="1">
        <v>0.54</v>
      </c>
      <c r="E5913" s="1" t="s">
        <v>113</v>
      </c>
      <c r="F5913" s="1" t="s">
        <v>113</v>
      </c>
      <c r="G5913" s="1" t="s">
        <v>113</v>
      </c>
      <c r="H5913" s="1" t="str">
        <f>VLOOKUP(F5913,Countries!$A$1:$B$161,2,0)</f>
        <v>United States of America</v>
      </c>
    </row>
    <row r="5914" spans="1:8" x14ac:dyDescent="0.3">
      <c r="A5914" s="3">
        <v>46239.689571759263</v>
      </c>
      <c r="B5914" s="1">
        <v>6.37</v>
      </c>
      <c r="C5914" s="1">
        <v>5.52</v>
      </c>
      <c r="D5914" s="1">
        <v>0.54</v>
      </c>
      <c r="E5914" s="1" t="s">
        <v>113</v>
      </c>
      <c r="F5914" s="1" t="s">
        <v>113</v>
      </c>
      <c r="G5914" s="1" t="s">
        <v>113</v>
      </c>
      <c r="H5914" s="1" t="str">
        <f>VLOOKUP(F5914,Countries!$A$1:$B$161,2,0)</f>
        <v>United States of America</v>
      </c>
    </row>
    <row r="5915" spans="1:8" x14ac:dyDescent="0.3">
      <c r="A5915" s="3">
        <v>46239.689143518517</v>
      </c>
      <c r="B5915" s="1">
        <v>51.21</v>
      </c>
      <c r="C5915" s="1">
        <v>44.35</v>
      </c>
      <c r="D5915" s="1">
        <v>2.58</v>
      </c>
      <c r="E5915" s="1" t="s">
        <v>143</v>
      </c>
      <c r="F5915" s="1" t="s">
        <v>143</v>
      </c>
      <c r="G5915" s="1" t="s">
        <v>143</v>
      </c>
      <c r="H5915" s="1" t="str">
        <f>VLOOKUP(F5915,Countries!$A$1:$B$161,2,0)</f>
        <v>United Arab Emirates</v>
      </c>
    </row>
    <row r="5916" spans="1:8" x14ac:dyDescent="0.3">
      <c r="A5916" s="3">
        <v>46239.688611111109</v>
      </c>
      <c r="B5916" s="1">
        <v>2.99</v>
      </c>
      <c r="C5916" s="1">
        <v>2.59</v>
      </c>
      <c r="D5916" s="1">
        <v>0.36</v>
      </c>
      <c r="E5916" s="1" t="s">
        <v>119</v>
      </c>
      <c r="F5916" s="1" t="s">
        <v>119</v>
      </c>
      <c r="G5916" s="1" t="s">
        <v>119</v>
      </c>
      <c r="H5916" s="1" t="str">
        <f>VLOOKUP(F5916,Countries!$A$1:$B$161,2,0)</f>
        <v>Great Britain (United Kingdom)</v>
      </c>
    </row>
    <row r="5917" spans="1:8" x14ac:dyDescent="0.3">
      <c r="A5917" s="3">
        <v>46239.688402777778</v>
      </c>
      <c r="B5917" s="1">
        <v>6.37</v>
      </c>
      <c r="C5917" s="1">
        <v>5.52</v>
      </c>
      <c r="D5917" s="1">
        <v>0.54</v>
      </c>
      <c r="E5917" s="1" t="s">
        <v>113</v>
      </c>
      <c r="F5917" s="1" t="s">
        <v>113</v>
      </c>
      <c r="G5917" s="1" t="s">
        <v>113</v>
      </c>
      <c r="H5917" s="1" t="str">
        <f>VLOOKUP(F5917,Countries!$A$1:$B$161,2,0)</f>
        <v>United States of America</v>
      </c>
    </row>
    <row r="5918" spans="1:8" x14ac:dyDescent="0.3">
      <c r="A5918" s="3">
        <v>46239.685347222221</v>
      </c>
      <c r="B5918" s="1">
        <v>14.62</v>
      </c>
      <c r="C5918" s="1">
        <v>12.66</v>
      </c>
      <c r="D5918" s="1">
        <v>0.91</v>
      </c>
      <c r="E5918" s="1" t="s">
        <v>143</v>
      </c>
      <c r="F5918" s="1" t="s">
        <v>143</v>
      </c>
      <c r="G5918" s="1" t="s">
        <v>143</v>
      </c>
      <c r="H5918" s="1" t="str">
        <f>VLOOKUP(F5918,Countries!$A$1:$B$161,2,0)</f>
        <v>United Arab Emirates</v>
      </c>
    </row>
    <row r="5919" spans="1:8" x14ac:dyDescent="0.3">
      <c r="A5919" s="3">
        <v>46239.683078703703</v>
      </c>
      <c r="B5919" s="1">
        <v>17.55</v>
      </c>
      <c r="C5919" s="1">
        <v>15.2</v>
      </c>
      <c r="D5919" s="1">
        <v>1.04</v>
      </c>
      <c r="E5919" s="1" t="s">
        <v>143</v>
      </c>
      <c r="F5919" s="1" t="s">
        <v>143</v>
      </c>
      <c r="G5919" s="1" t="s">
        <v>143</v>
      </c>
      <c r="H5919" s="1" t="str">
        <f>VLOOKUP(F5919,Countries!$A$1:$B$161,2,0)</f>
        <v>United Arab Emirates</v>
      </c>
    </row>
    <row r="5920" spans="1:8" x14ac:dyDescent="0.3">
      <c r="A5920" s="3">
        <v>46239.67900462963</v>
      </c>
      <c r="B5920" s="1">
        <v>14.62</v>
      </c>
      <c r="C5920" s="1">
        <v>12.66</v>
      </c>
      <c r="D5920" s="1">
        <v>0.91</v>
      </c>
      <c r="E5920" s="1" t="s">
        <v>143</v>
      </c>
      <c r="F5920" s="1" t="s">
        <v>143</v>
      </c>
      <c r="G5920" s="1" t="s">
        <v>143</v>
      </c>
      <c r="H5920" s="1" t="str">
        <f>VLOOKUP(F5920,Countries!$A$1:$B$161,2,0)</f>
        <v>United Arab Emirates</v>
      </c>
    </row>
    <row r="5921" spans="1:8" x14ac:dyDescent="0.3">
      <c r="A5921" s="3">
        <v>46239.678344907406</v>
      </c>
      <c r="B5921" s="1">
        <v>6.37</v>
      </c>
      <c r="C5921" s="1">
        <v>5.52</v>
      </c>
      <c r="D5921" s="1">
        <v>0.54</v>
      </c>
      <c r="E5921" s="1" t="s">
        <v>113</v>
      </c>
      <c r="F5921" s="1" t="s">
        <v>113</v>
      </c>
      <c r="G5921" s="1" t="s">
        <v>113</v>
      </c>
      <c r="H5921" s="1" t="str">
        <f>VLOOKUP(F5921,Countries!$A$1:$B$161,2,0)</f>
        <v>United States of America</v>
      </c>
    </row>
    <row r="5922" spans="1:8" x14ac:dyDescent="0.3">
      <c r="A5922" s="3">
        <v>46239.675358796303</v>
      </c>
      <c r="B5922" s="1">
        <v>6.37</v>
      </c>
      <c r="C5922" s="1">
        <v>5.52</v>
      </c>
      <c r="D5922" s="1">
        <v>0.54</v>
      </c>
      <c r="E5922" s="1" t="s">
        <v>113</v>
      </c>
      <c r="F5922" s="1" t="s">
        <v>113</v>
      </c>
      <c r="G5922" s="1" t="s">
        <v>113</v>
      </c>
      <c r="H5922" s="1" t="str">
        <f>VLOOKUP(F5922,Countries!$A$1:$B$161,2,0)</f>
        <v>United States of America</v>
      </c>
    </row>
    <row r="5923" spans="1:8" x14ac:dyDescent="0.3">
      <c r="A5923" s="3">
        <v>46239.675358796303</v>
      </c>
      <c r="B5923" s="1">
        <v>21.94</v>
      </c>
      <c r="C5923" s="1">
        <v>19</v>
      </c>
      <c r="D5923" s="1">
        <v>1.25</v>
      </c>
      <c r="E5923" s="1" t="s">
        <v>143</v>
      </c>
      <c r="F5923" s="1" t="s">
        <v>143</v>
      </c>
      <c r="G5923" s="1" t="s">
        <v>143</v>
      </c>
      <c r="H5923" s="1" t="str">
        <f>VLOOKUP(F5923,Countries!$A$1:$B$161,2,0)</f>
        <v>United Arab Emirates</v>
      </c>
    </row>
    <row r="5924" spans="1:8" x14ac:dyDescent="0.3">
      <c r="A5924" s="3">
        <v>46239.668402777781</v>
      </c>
      <c r="B5924" s="1">
        <v>6.37</v>
      </c>
      <c r="C5924" s="1">
        <v>5.51</v>
      </c>
      <c r="D5924" s="1">
        <v>0.54</v>
      </c>
      <c r="E5924" s="1" t="s">
        <v>113</v>
      </c>
      <c r="F5924" s="1" t="s">
        <v>113</v>
      </c>
      <c r="G5924" s="1" t="s">
        <v>113</v>
      </c>
      <c r="H5924" s="1" t="str">
        <f>VLOOKUP(F5924,Countries!$A$1:$B$161,2,0)</f>
        <v>United States of America</v>
      </c>
    </row>
    <row r="5925" spans="1:8" x14ac:dyDescent="0.3">
      <c r="A5925" s="3">
        <v>46239.659050925933</v>
      </c>
      <c r="B5925" s="1">
        <v>6.3</v>
      </c>
      <c r="C5925" s="1">
        <v>5.45</v>
      </c>
      <c r="D5925" s="1">
        <v>0.54</v>
      </c>
      <c r="E5925" s="1" t="s">
        <v>143</v>
      </c>
      <c r="F5925" s="1" t="s">
        <v>143</v>
      </c>
      <c r="G5925" s="1" t="s">
        <v>143</v>
      </c>
      <c r="H5925" s="1" t="str">
        <f>VLOOKUP(F5925,Countries!$A$1:$B$161,2,0)</f>
        <v>United Arab Emirates</v>
      </c>
    </row>
    <row r="5926" spans="1:8" x14ac:dyDescent="0.3">
      <c r="A5926" s="3">
        <v>46239.656423611108</v>
      </c>
      <c r="B5926" s="1">
        <v>18.03</v>
      </c>
      <c r="C5926" s="1">
        <v>15.61</v>
      </c>
      <c r="D5926" s="1">
        <v>0.79</v>
      </c>
      <c r="E5926" s="1" t="s">
        <v>117</v>
      </c>
      <c r="F5926" s="1" t="s">
        <v>117</v>
      </c>
      <c r="G5926" s="1" t="s">
        <v>117</v>
      </c>
      <c r="H5926" s="1" t="str">
        <f>VLOOKUP(F5926,Countries!$A$1:$B$161,2,0)</f>
        <v>Slovak Republic</v>
      </c>
    </row>
    <row r="5927" spans="1:8" x14ac:dyDescent="0.3">
      <c r="A5927" s="3">
        <v>46239.65084490741</v>
      </c>
      <c r="B5927" s="1">
        <v>3.88</v>
      </c>
      <c r="C5927" s="1">
        <v>3.36</v>
      </c>
      <c r="D5927" s="1">
        <v>0.37</v>
      </c>
      <c r="E5927" s="1" t="s">
        <v>117</v>
      </c>
      <c r="F5927" s="1" t="s">
        <v>117</v>
      </c>
      <c r="G5927" s="1" t="s">
        <v>117</v>
      </c>
      <c r="H5927" s="1" t="str">
        <f>VLOOKUP(F5927,Countries!$A$1:$B$161,2,0)</f>
        <v>Slovak Republic</v>
      </c>
    </row>
    <row r="5928" spans="1:8" x14ac:dyDescent="0.3">
      <c r="A5928" s="3">
        <v>46239.64644675926</v>
      </c>
      <c r="B5928" s="1">
        <v>2.09</v>
      </c>
      <c r="C5928" s="1">
        <v>1.81</v>
      </c>
      <c r="D5928" s="1">
        <v>0.35</v>
      </c>
      <c r="E5928" s="1" t="s">
        <v>132</v>
      </c>
      <c r="F5928" s="1" t="s">
        <v>132</v>
      </c>
      <c r="G5928" s="1" t="s">
        <v>132</v>
      </c>
      <c r="H5928" s="1" t="str">
        <f>VLOOKUP(F5928,Countries!$A$1:$B$161,2,0)</f>
        <v>Canada</v>
      </c>
    </row>
    <row r="5929" spans="1:8" x14ac:dyDescent="0.3">
      <c r="A5929" s="3">
        <v>46239.639930555553</v>
      </c>
      <c r="B5929" s="1">
        <v>14.77</v>
      </c>
      <c r="C5929" s="1">
        <v>12.78</v>
      </c>
      <c r="D5929" s="1">
        <v>0.93</v>
      </c>
      <c r="E5929" s="1" t="s">
        <v>113</v>
      </c>
      <c r="F5929" s="1" t="s">
        <v>113</v>
      </c>
      <c r="G5929" s="1" t="s">
        <v>113</v>
      </c>
      <c r="H5929" s="1" t="str">
        <f>VLOOKUP(F5929,Countries!$A$1:$B$161,2,0)</f>
        <v>United States of America</v>
      </c>
    </row>
    <row r="5930" spans="1:8" x14ac:dyDescent="0.3">
      <c r="A5930" s="3">
        <v>46239.633518518523</v>
      </c>
      <c r="B5930" s="1">
        <v>6.37</v>
      </c>
      <c r="C5930" s="1">
        <v>5.51</v>
      </c>
      <c r="D5930" s="1">
        <v>0.54</v>
      </c>
      <c r="E5930" s="1" t="s">
        <v>113</v>
      </c>
      <c r="F5930" s="1" t="s">
        <v>113</v>
      </c>
      <c r="G5930" s="1" t="s">
        <v>113</v>
      </c>
      <c r="H5930" s="1" t="str">
        <f>VLOOKUP(F5930,Countries!$A$1:$B$161,2,0)</f>
        <v>United States of America</v>
      </c>
    </row>
    <row r="5931" spans="1:8" x14ac:dyDescent="0.3">
      <c r="A5931" s="3">
        <v>46239.632071759261</v>
      </c>
      <c r="B5931" s="1">
        <v>15</v>
      </c>
      <c r="C5931" s="1">
        <v>12.98</v>
      </c>
      <c r="D5931" s="1">
        <v>0.93</v>
      </c>
      <c r="E5931" s="1" t="s">
        <v>113</v>
      </c>
      <c r="F5931" s="1" t="s">
        <v>113</v>
      </c>
      <c r="G5931" s="1" t="s">
        <v>113</v>
      </c>
      <c r="H5931" s="1" t="str">
        <f>VLOOKUP(F5931,Countries!$A$1:$B$161,2,0)</f>
        <v>United States of America</v>
      </c>
    </row>
    <row r="5932" spans="1:8" x14ac:dyDescent="0.3">
      <c r="A5932" s="3">
        <v>46239.616990740738</v>
      </c>
      <c r="B5932" s="1">
        <v>14.77</v>
      </c>
      <c r="C5932" s="1">
        <v>12.79</v>
      </c>
      <c r="D5932" s="1">
        <v>0.93</v>
      </c>
      <c r="E5932" s="1" t="s">
        <v>113</v>
      </c>
      <c r="F5932" s="1" t="s">
        <v>113</v>
      </c>
      <c r="G5932" s="1" t="s">
        <v>113</v>
      </c>
      <c r="H5932" s="1" t="str">
        <f>VLOOKUP(F5932,Countries!$A$1:$B$161,2,0)</f>
        <v>United States of America</v>
      </c>
    </row>
    <row r="5933" spans="1:8" x14ac:dyDescent="0.3">
      <c r="A5933" s="3">
        <v>46239.616388888891</v>
      </c>
      <c r="B5933" s="1">
        <v>6.3</v>
      </c>
      <c r="C5933" s="1">
        <v>5.46</v>
      </c>
      <c r="D5933" s="1">
        <v>0.54</v>
      </c>
      <c r="E5933" s="1" t="s">
        <v>143</v>
      </c>
      <c r="F5933" s="1" t="s">
        <v>143</v>
      </c>
      <c r="G5933" s="1" t="s">
        <v>143</v>
      </c>
      <c r="H5933" s="1" t="str">
        <f>VLOOKUP(F5933,Countries!$A$1:$B$161,2,0)</f>
        <v>United Arab Emirates</v>
      </c>
    </row>
    <row r="5934" spans="1:8" x14ac:dyDescent="0.3">
      <c r="A5934" s="3">
        <v>46239.615428240737</v>
      </c>
      <c r="B5934" s="1">
        <v>18.03</v>
      </c>
      <c r="C5934" s="1">
        <v>15.62</v>
      </c>
      <c r="D5934" s="1">
        <v>0.79</v>
      </c>
      <c r="E5934" s="1" t="s">
        <v>117</v>
      </c>
      <c r="F5934" s="1" t="s">
        <v>117</v>
      </c>
      <c r="G5934" s="1" t="s">
        <v>117</v>
      </c>
      <c r="H5934" s="1" t="str">
        <f>VLOOKUP(F5934,Countries!$A$1:$B$161,2,0)</f>
        <v>Slovak Republic</v>
      </c>
    </row>
    <row r="5935" spans="1:8" x14ac:dyDescent="0.3">
      <c r="A5935" s="3">
        <v>46239.609513888892</v>
      </c>
      <c r="B5935" s="1">
        <v>36.1</v>
      </c>
      <c r="C5935" s="1">
        <v>31.27</v>
      </c>
      <c r="D5935" s="1">
        <v>1.35</v>
      </c>
      <c r="E5935" s="1" t="s">
        <v>117</v>
      </c>
      <c r="F5935" s="1" t="s">
        <v>117</v>
      </c>
      <c r="G5935" s="1" t="s">
        <v>117</v>
      </c>
      <c r="H5935" s="1" t="str">
        <f>VLOOKUP(F5935,Countries!$A$1:$B$161,2,0)</f>
        <v>Slovak Republic</v>
      </c>
    </row>
    <row r="5936" spans="1:8" x14ac:dyDescent="0.3">
      <c r="A5936" s="3">
        <v>46239.598611111112</v>
      </c>
      <c r="B5936" s="1">
        <v>6.37</v>
      </c>
      <c r="C5936" s="1">
        <v>5.52</v>
      </c>
      <c r="D5936" s="1">
        <v>0.54</v>
      </c>
      <c r="E5936" s="1" t="s">
        <v>113</v>
      </c>
      <c r="F5936" s="1" t="s">
        <v>113</v>
      </c>
      <c r="G5936" s="1" t="s">
        <v>113</v>
      </c>
      <c r="H5936" s="1" t="str">
        <f>VLOOKUP(F5936,Countries!$A$1:$B$161,2,0)</f>
        <v>United States of America</v>
      </c>
    </row>
    <row r="5937" spans="1:8" x14ac:dyDescent="0.3">
      <c r="A5937" s="3">
        <v>46239.594305555547</v>
      </c>
      <c r="B5937" s="1">
        <v>7.58</v>
      </c>
      <c r="C5937" s="1">
        <v>6.57</v>
      </c>
      <c r="D5937" s="1">
        <v>0.48</v>
      </c>
      <c r="E5937" s="1" t="s">
        <v>116</v>
      </c>
      <c r="F5937" s="1" t="s">
        <v>116</v>
      </c>
      <c r="G5937" s="1" t="s">
        <v>116</v>
      </c>
      <c r="H5937" s="1" t="str">
        <f>VLOOKUP(F5937,Countries!$A$1:$B$161,2,0)</f>
        <v>Spain</v>
      </c>
    </row>
    <row r="5938" spans="1:8" x14ac:dyDescent="0.3">
      <c r="A5938" s="3">
        <v>46239.58898148148</v>
      </c>
      <c r="B5938" s="1">
        <v>14.77</v>
      </c>
      <c r="C5938" s="1">
        <v>12.79</v>
      </c>
      <c r="D5938" s="1">
        <v>0.93</v>
      </c>
      <c r="E5938" s="1" t="s">
        <v>113</v>
      </c>
      <c r="F5938" s="1" t="s">
        <v>113</v>
      </c>
      <c r="G5938" s="1" t="s">
        <v>113</v>
      </c>
      <c r="H5938" s="1" t="str">
        <f>VLOOKUP(F5938,Countries!$A$1:$B$161,2,0)</f>
        <v>United States of America</v>
      </c>
    </row>
    <row r="5939" spans="1:8" x14ac:dyDescent="0.3">
      <c r="A5939" s="3">
        <v>46239.586226851847</v>
      </c>
      <c r="B5939" s="1">
        <v>2.99</v>
      </c>
      <c r="C5939" s="1">
        <v>2.59</v>
      </c>
      <c r="D5939" s="1">
        <v>0.38</v>
      </c>
      <c r="E5939" s="1" t="s">
        <v>135</v>
      </c>
      <c r="F5939" s="1" t="s">
        <v>135</v>
      </c>
      <c r="G5939" s="1" t="s">
        <v>135</v>
      </c>
      <c r="H5939" s="1" t="str">
        <f>VLOOKUP(F5939,Countries!$A$1:$B$161,2,0)</f>
        <v>Kuwait</v>
      </c>
    </row>
    <row r="5940" spans="1:8" x14ac:dyDescent="0.3">
      <c r="A5940" s="3">
        <v>46239.586215277777</v>
      </c>
      <c r="B5940" s="1">
        <v>14.77</v>
      </c>
      <c r="C5940" s="1">
        <v>12.79</v>
      </c>
      <c r="D5940" s="1">
        <v>0.93</v>
      </c>
      <c r="E5940" s="1" t="s">
        <v>113</v>
      </c>
      <c r="F5940" s="1" t="s">
        <v>113</v>
      </c>
      <c r="G5940" s="1" t="s">
        <v>113</v>
      </c>
      <c r="H5940" s="1" t="str">
        <f>VLOOKUP(F5940,Countries!$A$1:$B$161,2,0)</f>
        <v>United States of America</v>
      </c>
    </row>
    <row r="5941" spans="1:8" x14ac:dyDescent="0.3">
      <c r="A5941" s="3">
        <v>46239.572453703702</v>
      </c>
      <c r="B5941" s="1">
        <v>2.99</v>
      </c>
      <c r="C5941" s="1">
        <v>2.59</v>
      </c>
      <c r="D5941" s="1">
        <v>0.38</v>
      </c>
      <c r="E5941" s="1" t="s">
        <v>135</v>
      </c>
      <c r="F5941" s="1" t="s">
        <v>135</v>
      </c>
      <c r="G5941" s="1" t="s">
        <v>135</v>
      </c>
      <c r="H5941" s="1" t="str">
        <f>VLOOKUP(F5941,Countries!$A$1:$B$161,2,0)</f>
        <v>Kuwait</v>
      </c>
    </row>
    <row r="5942" spans="1:8" x14ac:dyDescent="0.3">
      <c r="A5942" s="3">
        <v>46239.552337962959</v>
      </c>
      <c r="B5942" s="1">
        <v>7.04</v>
      </c>
      <c r="C5942" s="1">
        <v>6.1</v>
      </c>
      <c r="D5942" s="1">
        <v>0.56999999999999995</v>
      </c>
      <c r="E5942" s="1" t="s">
        <v>163</v>
      </c>
      <c r="F5942" s="1" t="s">
        <v>163</v>
      </c>
      <c r="G5942" s="1" t="s">
        <v>163</v>
      </c>
      <c r="H5942" s="1" t="str">
        <f>VLOOKUP(F5942,Countries!$A$1:$B$161,2,0)</f>
        <v>Saudi Arabia</v>
      </c>
    </row>
    <row r="5943" spans="1:8" x14ac:dyDescent="0.3">
      <c r="A5943" s="3">
        <v>46239.539293981477</v>
      </c>
      <c r="B5943" s="1">
        <v>2.99</v>
      </c>
      <c r="C5943" s="1">
        <v>2.59</v>
      </c>
      <c r="D5943" s="1">
        <v>0.38</v>
      </c>
      <c r="E5943" s="1" t="s">
        <v>113</v>
      </c>
      <c r="F5943" s="1" t="s">
        <v>113</v>
      </c>
      <c r="G5943" s="1" t="s">
        <v>113</v>
      </c>
      <c r="H5943" s="1" t="str">
        <f>VLOOKUP(F5943,Countries!$A$1:$B$161,2,0)</f>
        <v>United States of America</v>
      </c>
    </row>
    <row r="5944" spans="1:8" x14ac:dyDescent="0.3">
      <c r="A5944" s="3">
        <v>46239.538506944453</v>
      </c>
      <c r="B5944" s="1">
        <v>6.37</v>
      </c>
      <c r="C5944" s="1">
        <v>5.51</v>
      </c>
      <c r="D5944" s="1">
        <v>0.54</v>
      </c>
      <c r="E5944" s="1" t="s">
        <v>113</v>
      </c>
      <c r="F5944" s="1" t="s">
        <v>113</v>
      </c>
      <c r="G5944" s="1" t="s">
        <v>113</v>
      </c>
      <c r="H5944" s="1" t="str">
        <f>VLOOKUP(F5944,Countries!$A$1:$B$161,2,0)</f>
        <v>United States of America</v>
      </c>
    </row>
    <row r="5945" spans="1:8" x14ac:dyDescent="0.3">
      <c r="A5945" s="3">
        <v>46239.533414351848</v>
      </c>
      <c r="B5945" s="1">
        <v>3.18</v>
      </c>
      <c r="C5945" s="1">
        <v>2.75</v>
      </c>
      <c r="D5945" s="1">
        <v>0.4</v>
      </c>
      <c r="E5945" s="1" t="s">
        <v>113</v>
      </c>
      <c r="F5945" s="1" t="s">
        <v>113</v>
      </c>
      <c r="G5945" s="1" t="s">
        <v>113</v>
      </c>
      <c r="H5945" s="1" t="str">
        <f>VLOOKUP(F5945,Countries!$A$1:$B$161,2,0)</f>
        <v>United States of America</v>
      </c>
    </row>
    <row r="5946" spans="1:8" x14ac:dyDescent="0.3">
      <c r="A5946" s="3">
        <v>46239.532511574071</v>
      </c>
      <c r="B5946" s="1">
        <v>16.25</v>
      </c>
      <c r="C5946" s="1">
        <v>14.07</v>
      </c>
      <c r="D5946" s="1">
        <v>0.74</v>
      </c>
      <c r="E5946" s="1" t="s">
        <v>123</v>
      </c>
      <c r="F5946" s="1" t="s">
        <v>123</v>
      </c>
      <c r="G5946" s="1" t="s">
        <v>123</v>
      </c>
      <c r="H5946" s="1" t="str">
        <f>VLOOKUP(F5946,Countries!$A$1:$B$161,2,0)</f>
        <v>France</v>
      </c>
    </row>
    <row r="5947" spans="1:8" x14ac:dyDescent="0.3">
      <c r="A5947" s="3">
        <v>46239.519270833327</v>
      </c>
      <c r="B5947" s="1">
        <v>6.3</v>
      </c>
      <c r="C5947" s="1">
        <v>5.45</v>
      </c>
      <c r="D5947" s="1">
        <v>0.54</v>
      </c>
      <c r="E5947" s="1" t="s">
        <v>221</v>
      </c>
      <c r="F5947" s="1" t="s">
        <v>221</v>
      </c>
      <c r="G5947" s="1" t="s">
        <v>221</v>
      </c>
      <c r="H5947" s="1" t="str">
        <f>VLOOKUP(F5947,Countries!$A$1:$B$161,2,0)</f>
        <v>Jordan</v>
      </c>
    </row>
    <row r="5948" spans="1:8" x14ac:dyDescent="0.3">
      <c r="A5948" s="3">
        <v>46239.50513888889</v>
      </c>
      <c r="B5948" s="1">
        <v>30.88</v>
      </c>
      <c r="C5948" s="1">
        <v>26.73</v>
      </c>
      <c r="D5948" s="1">
        <v>1.65</v>
      </c>
      <c r="E5948" s="1" t="s">
        <v>121</v>
      </c>
      <c r="F5948" s="1" t="s">
        <v>121</v>
      </c>
      <c r="G5948" s="1" t="s">
        <v>121</v>
      </c>
      <c r="H5948" s="1" t="str">
        <f>VLOOKUP(F5948,Countries!$A$1:$B$161,2,0)</f>
        <v>Japan</v>
      </c>
    </row>
    <row r="5949" spans="1:8" x14ac:dyDescent="0.3">
      <c r="A5949" s="3">
        <v>46239.500219907408</v>
      </c>
      <c r="B5949" s="1">
        <v>17.760000000000002</v>
      </c>
      <c r="C5949" s="1">
        <v>15.39</v>
      </c>
      <c r="D5949" s="1">
        <v>1.06</v>
      </c>
      <c r="E5949" s="1" t="s">
        <v>121</v>
      </c>
      <c r="F5949" s="1" t="s">
        <v>121</v>
      </c>
      <c r="G5949" s="1" t="s">
        <v>121</v>
      </c>
      <c r="H5949" s="1" t="str">
        <f>VLOOKUP(F5949,Countries!$A$1:$B$161,2,0)</f>
        <v>Japan</v>
      </c>
    </row>
    <row r="5950" spans="1:8" x14ac:dyDescent="0.3">
      <c r="A5950" s="3">
        <v>46239.496423611112</v>
      </c>
      <c r="B5950" s="1">
        <v>7.48</v>
      </c>
      <c r="C5950" s="1">
        <v>6.48</v>
      </c>
      <c r="D5950" s="1">
        <v>0.54</v>
      </c>
      <c r="E5950" s="1" t="s">
        <v>119</v>
      </c>
      <c r="F5950" s="1" t="s">
        <v>119</v>
      </c>
      <c r="G5950" s="1" t="s">
        <v>119</v>
      </c>
      <c r="H5950" s="1" t="str">
        <f>VLOOKUP(F5950,Countries!$A$1:$B$161,2,0)</f>
        <v>Great Britain (United Kingdom)</v>
      </c>
    </row>
    <row r="5951" spans="1:8" x14ac:dyDescent="0.3">
      <c r="A5951" s="3">
        <v>46239.49113425926</v>
      </c>
      <c r="B5951" s="1">
        <v>6.65</v>
      </c>
      <c r="C5951" s="1">
        <v>5.76</v>
      </c>
      <c r="D5951" s="1">
        <v>0.56000000000000005</v>
      </c>
      <c r="E5951" s="1" t="s">
        <v>130</v>
      </c>
      <c r="F5951" s="1" t="s">
        <v>130</v>
      </c>
      <c r="G5951" s="1" t="s">
        <v>130</v>
      </c>
      <c r="H5951" s="1" t="str">
        <f>VLOOKUP(F5951,Countries!$A$1:$B$161,2,0)</f>
        <v>Australia</v>
      </c>
    </row>
    <row r="5952" spans="1:8" x14ac:dyDescent="0.3">
      <c r="A5952" s="3">
        <v>46239.490914351853</v>
      </c>
      <c r="B5952" s="1">
        <v>7.58</v>
      </c>
      <c r="C5952" s="1">
        <v>6.57</v>
      </c>
      <c r="D5952" s="1">
        <v>0.48</v>
      </c>
      <c r="E5952" s="1" t="s">
        <v>116</v>
      </c>
      <c r="F5952" s="1" t="s">
        <v>116</v>
      </c>
      <c r="G5952" s="1" t="s">
        <v>116</v>
      </c>
      <c r="H5952" s="1" t="str">
        <f>VLOOKUP(F5952,Countries!$A$1:$B$161,2,0)</f>
        <v>Spain</v>
      </c>
    </row>
    <row r="5953" spans="1:8" x14ac:dyDescent="0.3">
      <c r="A5953" s="3">
        <v>46239.483958333331</v>
      </c>
      <c r="B5953" s="1">
        <v>6.37</v>
      </c>
      <c r="C5953" s="1">
        <v>5.52</v>
      </c>
      <c r="D5953" s="1">
        <v>0.54</v>
      </c>
      <c r="E5953" s="1" t="s">
        <v>113</v>
      </c>
      <c r="F5953" s="1" t="s">
        <v>113</v>
      </c>
      <c r="G5953" s="1" t="s">
        <v>113</v>
      </c>
      <c r="H5953" s="1" t="str">
        <f>VLOOKUP(F5953,Countries!$A$1:$B$161,2,0)</f>
        <v>United States of America</v>
      </c>
    </row>
    <row r="5954" spans="1:8" x14ac:dyDescent="0.3">
      <c r="A5954" s="3">
        <v>46239.464942129627</v>
      </c>
      <c r="B5954" s="1">
        <v>15.43</v>
      </c>
      <c r="C5954" s="1">
        <v>13.37</v>
      </c>
      <c r="D5954" s="1">
        <v>0.95</v>
      </c>
      <c r="E5954" s="1" t="s">
        <v>130</v>
      </c>
      <c r="F5954" s="1" t="s">
        <v>130</v>
      </c>
      <c r="G5954" s="1" t="s">
        <v>130</v>
      </c>
      <c r="H5954" s="1" t="str">
        <f>VLOOKUP(F5954,Countries!$A$1:$B$161,2,0)</f>
        <v>Australia</v>
      </c>
    </row>
    <row r="5955" spans="1:8" x14ac:dyDescent="0.3">
      <c r="A5955" s="3">
        <v>46239.463807870372</v>
      </c>
      <c r="B5955" s="1">
        <v>20.239999999999998</v>
      </c>
      <c r="C5955" s="1">
        <v>17.54</v>
      </c>
      <c r="D5955" s="1">
        <v>0.86</v>
      </c>
      <c r="E5955" s="1" t="s">
        <v>151</v>
      </c>
      <c r="F5955" s="1" t="s">
        <v>151</v>
      </c>
      <c r="G5955" s="1" t="s">
        <v>151</v>
      </c>
      <c r="H5955" s="1" t="str">
        <f>VLOOKUP(F5955,Countries!$A$1:$B$161,2,0)</f>
        <v>Netherlands (Holland)</v>
      </c>
    </row>
    <row r="5956" spans="1:8" x14ac:dyDescent="0.3">
      <c r="A5956" s="3">
        <v>46239.461122685178</v>
      </c>
      <c r="B5956" s="1">
        <v>18.53</v>
      </c>
      <c r="C5956" s="1">
        <v>16.059999999999999</v>
      </c>
      <c r="D5956" s="1">
        <v>1.0900000000000001</v>
      </c>
      <c r="E5956" s="1" t="s">
        <v>130</v>
      </c>
      <c r="F5956" s="1" t="s">
        <v>130</v>
      </c>
      <c r="G5956" s="1" t="s">
        <v>130</v>
      </c>
      <c r="H5956" s="1" t="str">
        <f>VLOOKUP(F5956,Countries!$A$1:$B$161,2,0)</f>
        <v>Australia</v>
      </c>
    </row>
    <row r="5957" spans="1:8" x14ac:dyDescent="0.3">
      <c r="A5957" s="3">
        <v>46239.460474537038</v>
      </c>
      <c r="B5957" s="1">
        <v>6.65</v>
      </c>
      <c r="C5957" s="1">
        <v>5.76</v>
      </c>
      <c r="D5957" s="1">
        <v>0.56000000000000005</v>
      </c>
      <c r="E5957" s="1" t="s">
        <v>130</v>
      </c>
      <c r="F5957" s="1" t="s">
        <v>130</v>
      </c>
      <c r="G5957" s="1" t="s">
        <v>130</v>
      </c>
      <c r="H5957" s="1" t="str">
        <f>VLOOKUP(F5957,Countries!$A$1:$B$161,2,0)</f>
        <v>Australia</v>
      </c>
    </row>
    <row r="5958" spans="1:8" x14ac:dyDescent="0.3">
      <c r="A5958" s="3">
        <v>46239.456678240742</v>
      </c>
      <c r="B5958" s="1">
        <v>6.37</v>
      </c>
      <c r="C5958" s="1">
        <v>5.52</v>
      </c>
      <c r="D5958" s="1">
        <v>0.54</v>
      </c>
      <c r="E5958" s="1" t="s">
        <v>113</v>
      </c>
      <c r="F5958" s="1" t="s">
        <v>113</v>
      </c>
      <c r="G5958" s="1" t="s">
        <v>113</v>
      </c>
      <c r="H5958" s="1" t="str">
        <f>VLOOKUP(F5958,Countries!$A$1:$B$161,2,0)</f>
        <v>United States of America</v>
      </c>
    </row>
    <row r="5959" spans="1:8" x14ac:dyDescent="0.3">
      <c r="A5959" s="3">
        <v>46239.451608796298</v>
      </c>
      <c r="B5959" s="1">
        <v>2.99</v>
      </c>
      <c r="C5959" s="1">
        <v>2.59</v>
      </c>
      <c r="D5959" s="1">
        <v>0.38</v>
      </c>
      <c r="E5959" s="1" t="s">
        <v>113</v>
      </c>
      <c r="F5959" s="1" t="s">
        <v>113</v>
      </c>
      <c r="G5959" s="1" t="s">
        <v>113</v>
      </c>
      <c r="H5959" s="1" t="str">
        <f>VLOOKUP(F5959,Countries!$A$1:$B$161,2,0)</f>
        <v>United States of America</v>
      </c>
    </row>
    <row r="5960" spans="1:8" x14ac:dyDescent="0.3">
      <c r="A5960" s="3">
        <v>46239.449502314812</v>
      </c>
      <c r="B5960" s="1">
        <v>18.03</v>
      </c>
      <c r="C5960" s="1">
        <v>15.62</v>
      </c>
      <c r="D5960" s="1">
        <v>0.79</v>
      </c>
      <c r="E5960" s="1" t="s">
        <v>117</v>
      </c>
      <c r="F5960" s="1" t="s">
        <v>117</v>
      </c>
      <c r="G5960" s="1" t="s">
        <v>117</v>
      </c>
      <c r="H5960" s="1" t="str">
        <f>VLOOKUP(F5960,Countries!$A$1:$B$161,2,0)</f>
        <v>Slovak Republic</v>
      </c>
    </row>
    <row r="5961" spans="1:8" x14ac:dyDescent="0.3">
      <c r="A5961" s="3">
        <v>46239.436296296299</v>
      </c>
      <c r="B5961" s="1">
        <v>6.37</v>
      </c>
      <c r="C5961" s="1">
        <v>5.52</v>
      </c>
      <c r="D5961" s="1">
        <v>0.54</v>
      </c>
      <c r="E5961" s="1" t="s">
        <v>113</v>
      </c>
      <c r="F5961" s="1" t="s">
        <v>113</v>
      </c>
      <c r="G5961" s="1" t="s">
        <v>113</v>
      </c>
      <c r="H5961" s="1" t="str">
        <f>VLOOKUP(F5961,Countries!$A$1:$B$161,2,0)</f>
        <v>United States of America</v>
      </c>
    </row>
    <row r="5962" spans="1:8" x14ac:dyDescent="0.3">
      <c r="A5962" s="3">
        <v>46239.432835648149</v>
      </c>
      <c r="B5962" s="1">
        <v>2.11</v>
      </c>
      <c r="C5962" s="1">
        <v>1.83</v>
      </c>
      <c r="D5962" s="1">
        <v>0.35</v>
      </c>
      <c r="E5962" s="1" t="s">
        <v>113</v>
      </c>
      <c r="F5962" s="1" t="s">
        <v>113</v>
      </c>
      <c r="G5962" s="1" t="s">
        <v>113</v>
      </c>
      <c r="H5962" s="1" t="str">
        <f>VLOOKUP(F5962,Countries!$A$1:$B$161,2,0)</f>
        <v>United States of America</v>
      </c>
    </row>
    <row r="5963" spans="1:8" x14ac:dyDescent="0.3">
      <c r="A5963" s="3">
        <v>46239.428090277783</v>
      </c>
      <c r="B5963" s="1">
        <v>2.5499999999999998</v>
      </c>
      <c r="C5963" s="1">
        <v>2.21</v>
      </c>
      <c r="D5963" s="1">
        <v>0.32</v>
      </c>
      <c r="E5963" s="1" t="s">
        <v>124</v>
      </c>
      <c r="F5963" s="1" t="s">
        <v>124</v>
      </c>
      <c r="G5963" s="1" t="s">
        <v>124</v>
      </c>
      <c r="H5963" s="1" t="str">
        <f>VLOOKUP(F5963,Countries!$A$1:$B$161,2,0)</f>
        <v>Italy</v>
      </c>
    </row>
    <row r="5964" spans="1:8" x14ac:dyDescent="0.3">
      <c r="A5964" s="3">
        <v>46239.427662037036</v>
      </c>
      <c r="B5964" s="1">
        <v>15.43</v>
      </c>
      <c r="C5964" s="1">
        <v>13.37</v>
      </c>
      <c r="D5964" s="1">
        <v>0.95</v>
      </c>
      <c r="E5964" s="1" t="s">
        <v>130</v>
      </c>
      <c r="F5964" s="1" t="s">
        <v>130</v>
      </c>
      <c r="G5964" s="1" t="s">
        <v>130</v>
      </c>
      <c r="H5964" s="1" t="str">
        <f>VLOOKUP(F5964,Countries!$A$1:$B$161,2,0)</f>
        <v>Australia</v>
      </c>
    </row>
    <row r="5965" spans="1:8" x14ac:dyDescent="0.3">
      <c r="A5965" s="3">
        <v>46239.422858796293</v>
      </c>
      <c r="B5965" s="1">
        <v>7.58</v>
      </c>
      <c r="C5965" s="1">
        <v>6.57</v>
      </c>
      <c r="D5965" s="1">
        <v>0.48</v>
      </c>
      <c r="E5965" s="1" t="s">
        <v>116</v>
      </c>
      <c r="F5965" s="1" t="s">
        <v>116</v>
      </c>
      <c r="G5965" s="1" t="s">
        <v>116</v>
      </c>
      <c r="H5965" s="1" t="str">
        <f>VLOOKUP(F5965,Countries!$A$1:$B$161,2,0)</f>
        <v>Spain</v>
      </c>
    </row>
    <row r="5966" spans="1:8" x14ac:dyDescent="0.3">
      <c r="A5966" s="3">
        <v>46239.417511574073</v>
      </c>
      <c r="B5966" s="1">
        <v>12.48</v>
      </c>
      <c r="C5966" s="1">
        <v>10.82</v>
      </c>
      <c r="D5966" s="1">
        <v>0.74</v>
      </c>
      <c r="E5966" s="1" t="s">
        <v>119</v>
      </c>
      <c r="F5966" s="1" t="s">
        <v>119</v>
      </c>
      <c r="G5966" s="1" t="s">
        <v>119</v>
      </c>
      <c r="H5966" s="1" t="str">
        <f>VLOOKUP(F5966,Countries!$A$1:$B$161,2,0)</f>
        <v>Great Britain (United Kingdom)</v>
      </c>
    </row>
    <row r="5967" spans="1:8" x14ac:dyDescent="0.3">
      <c r="A5967" s="3">
        <v>46239.414178240739</v>
      </c>
      <c r="B5967" s="1">
        <v>15.43</v>
      </c>
      <c r="C5967" s="1">
        <v>13.38</v>
      </c>
      <c r="D5967" s="1">
        <v>0.95</v>
      </c>
      <c r="E5967" s="1" t="s">
        <v>130</v>
      </c>
      <c r="F5967" s="1" t="s">
        <v>130</v>
      </c>
      <c r="G5967" s="1" t="s">
        <v>130</v>
      </c>
      <c r="H5967" s="1" t="str">
        <f>VLOOKUP(F5967,Countries!$A$1:$B$161,2,0)</f>
        <v>Australia</v>
      </c>
    </row>
    <row r="5968" spans="1:8" x14ac:dyDescent="0.3">
      <c r="A5968" s="3">
        <v>46239.405266203707</v>
      </c>
      <c r="B5968" s="1">
        <v>6.37</v>
      </c>
      <c r="C5968" s="1">
        <v>5.52</v>
      </c>
      <c r="D5968" s="1">
        <v>0.54</v>
      </c>
      <c r="E5968" s="1" t="s">
        <v>113</v>
      </c>
      <c r="F5968" s="1" t="s">
        <v>113</v>
      </c>
      <c r="G5968" s="1" t="s">
        <v>113</v>
      </c>
      <c r="H5968" s="1" t="str">
        <f>VLOOKUP(F5968,Countries!$A$1:$B$161,2,0)</f>
        <v>United States of America</v>
      </c>
    </row>
    <row r="5969" spans="1:8" x14ac:dyDescent="0.3">
      <c r="A5969" s="3">
        <v>46239.399780092594</v>
      </c>
      <c r="B5969" s="1">
        <v>14.77</v>
      </c>
      <c r="C5969" s="1">
        <v>12.8</v>
      </c>
      <c r="D5969" s="1">
        <v>0.93</v>
      </c>
      <c r="E5969" s="1" t="s">
        <v>113</v>
      </c>
      <c r="F5969" s="1" t="s">
        <v>113</v>
      </c>
      <c r="G5969" s="1" t="s">
        <v>113</v>
      </c>
      <c r="H5969" s="1" t="str">
        <f>VLOOKUP(F5969,Countries!$A$1:$B$161,2,0)</f>
        <v>United States of America</v>
      </c>
    </row>
    <row r="5970" spans="1:8" x14ac:dyDescent="0.3">
      <c r="A5970" s="3">
        <v>46239.398668981477</v>
      </c>
      <c r="B5970" s="1">
        <v>4.99</v>
      </c>
      <c r="C5970" s="1">
        <v>4.33</v>
      </c>
      <c r="D5970" s="1">
        <v>0.48</v>
      </c>
      <c r="E5970" s="1" t="s">
        <v>150</v>
      </c>
      <c r="F5970" s="1" t="s">
        <v>150</v>
      </c>
      <c r="G5970" s="1" t="s">
        <v>150</v>
      </c>
      <c r="H5970" s="1" t="str">
        <f>VLOOKUP(F5970,Countries!$A$1:$B$161,2,0)</f>
        <v>El Salvador</v>
      </c>
    </row>
    <row r="5971" spans="1:8" x14ac:dyDescent="0.3">
      <c r="A5971" s="3">
        <v>46239.397291666668</v>
      </c>
      <c r="B5971" s="1">
        <v>14.77</v>
      </c>
      <c r="C5971" s="1">
        <v>12.8</v>
      </c>
      <c r="D5971" s="1">
        <v>0.93</v>
      </c>
      <c r="E5971" s="1" t="s">
        <v>113</v>
      </c>
      <c r="F5971" s="1" t="s">
        <v>113</v>
      </c>
      <c r="G5971" s="1" t="s">
        <v>113</v>
      </c>
      <c r="H5971" s="1" t="str">
        <f>VLOOKUP(F5971,Countries!$A$1:$B$161,2,0)</f>
        <v>United States of America</v>
      </c>
    </row>
    <row r="5972" spans="1:8" x14ac:dyDescent="0.3">
      <c r="A5972" s="3">
        <v>46239.39167824074</v>
      </c>
      <c r="B5972" s="1">
        <v>6.37</v>
      </c>
      <c r="C5972" s="1">
        <v>5.52</v>
      </c>
      <c r="D5972" s="1">
        <v>0.54</v>
      </c>
      <c r="E5972" s="1" t="s">
        <v>113</v>
      </c>
      <c r="F5972" s="1" t="s">
        <v>113</v>
      </c>
      <c r="G5972" s="1" t="s">
        <v>113</v>
      </c>
      <c r="H5972" s="1" t="str">
        <f>VLOOKUP(F5972,Countries!$A$1:$B$161,2,0)</f>
        <v>United States of America</v>
      </c>
    </row>
    <row r="5973" spans="1:8" x14ac:dyDescent="0.3">
      <c r="A5973" s="3">
        <v>46239.385752314818</v>
      </c>
      <c r="B5973" s="1">
        <v>7.98</v>
      </c>
      <c r="C5973" s="1">
        <v>6.92</v>
      </c>
      <c r="D5973" s="1">
        <v>0.49</v>
      </c>
      <c r="E5973" s="1" t="s">
        <v>125</v>
      </c>
      <c r="F5973" s="1" t="s">
        <v>125</v>
      </c>
      <c r="G5973" s="1" t="s">
        <v>125</v>
      </c>
      <c r="H5973" s="1" t="str">
        <f>VLOOKUP(F5973,Countries!$A$1:$B$161,2,0)</f>
        <v>Norway</v>
      </c>
    </row>
    <row r="5974" spans="1:8" x14ac:dyDescent="0.3">
      <c r="A5974" s="3">
        <v>46239.383379629631</v>
      </c>
      <c r="B5974" s="1">
        <v>3.28</v>
      </c>
      <c r="C5974" s="1">
        <v>2.84</v>
      </c>
      <c r="D5974" s="1">
        <v>0.4</v>
      </c>
      <c r="E5974" s="1" t="s">
        <v>199</v>
      </c>
      <c r="F5974" s="1" t="s">
        <v>152</v>
      </c>
      <c r="G5974" s="1" t="s">
        <v>152</v>
      </c>
      <c r="H5974" s="1" t="str">
        <f>VLOOKUP(F5974,Countries!$A$1:$B$161,2,0)</f>
        <v>Singapore</v>
      </c>
    </row>
    <row r="5975" spans="1:8" x14ac:dyDescent="0.3">
      <c r="A5975" s="3">
        <v>46239.382488425923</v>
      </c>
      <c r="B5975" s="1">
        <v>3.28</v>
      </c>
      <c r="C5975" s="1">
        <v>2.84</v>
      </c>
      <c r="D5975" s="1">
        <v>0.4</v>
      </c>
      <c r="E5975" s="1" t="s">
        <v>199</v>
      </c>
      <c r="F5975" s="1" t="s">
        <v>152</v>
      </c>
      <c r="G5975" s="1" t="s">
        <v>152</v>
      </c>
      <c r="H5975" s="1" t="str">
        <f>VLOOKUP(F5975,Countries!$A$1:$B$161,2,0)</f>
        <v>Singapore</v>
      </c>
    </row>
    <row r="5976" spans="1:8" x14ac:dyDescent="0.3">
      <c r="A5976" s="3">
        <v>46239.376493055563</v>
      </c>
      <c r="B5976" s="1">
        <v>6.37</v>
      </c>
      <c r="C5976" s="1">
        <v>5.52</v>
      </c>
      <c r="D5976" s="1">
        <v>0.54</v>
      </c>
      <c r="E5976" s="1" t="s">
        <v>113</v>
      </c>
      <c r="F5976" s="1" t="s">
        <v>113</v>
      </c>
      <c r="G5976" s="1" t="s">
        <v>113</v>
      </c>
      <c r="H5976" s="1" t="str">
        <f>VLOOKUP(F5976,Countries!$A$1:$B$161,2,0)</f>
        <v>United States of America</v>
      </c>
    </row>
    <row r="5977" spans="1:8" x14ac:dyDescent="0.3">
      <c r="A5977" s="3">
        <v>46239.376018518517</v>
      </c>
      <c r="B5977" s="1">
        <v>6.37</v>
      </c>
      <c r="C5977" s="1">
        <v>5.52</v>
      </c>
      <c r="D5977" s="1">
        <v>0.54</v>
      </c>
      <c r="E5977" s="1" t="s">
        <v>113</v>
      </c>
      <c r="F5977" s="1" t="s">
        <v>113</v>
      </c>
      <c r="G5977" s="1" t="s">
        <v>113</v>
      </c>
      <c r="H5977" s="1" t="str">
        <f>VLOOKUP(F5977,Countries!$A$1:$B$161,2,0)</f>
        <v>United States of America</v>
      </c>
    </row>
    <row r="5978" spans="1:8" x14ac:dyDescent="0.3">
      <c r="A5978" s="3">
        <v>46239.364560185182</v>
      </c>
      <c r="B5978" s="1">
        <v>3.18</v>
      </c>
      <c r="C5978" s="1">
        <v>2.76</v>
      </c>
      <c r="D5978" s="1">
        <v>0.4</v>
      </c>
      <c r="E5978" s="1" t="s">
        <v>113</v>
      </c>
      <c r="F5978" s="1" t="s">
        <v>113</v>
      </c>
      <c r="G5978" s="1" t="s">
        <v>113</v>
      </c>
      <c r="H5978" s="1" t="str">
        <f>VLOOKUP(F5978,Countries!$A$1:$B$161,2,0)</f>
        <v>United States of America</v>
      </c>
    </row>
    <row r="5979" spans="1:8" x14ac:dyDescent="0.3">
      <c r="A5979" s="3">
        <v>46239.355393518519</v>
      </c>
      <c r="B5979" s="1">
        <v>61.65</v>
      </c>
      <c r="C5979" s="1">
        <v>53.44</v>
      </c>
      <c r="D5979" s="1">
        <v>3.06</v>
      </c>
      <c r="E5979" s="1" t="s">
        <v>130</v>
      </c>
      <c r="F5979" s="1" t="s">
        <v>130</v>
      </c>
      <c r="G5979" s="1" t="s">
        <v>130</v>
      </c>
      <c r="H5979" s="1" t="str">
        <f>VLOOKUP(F5979,Countries!$A$1:$B$161,2,0)</f>
        <v>Australia</v>
      </c>
    </row>
    <row r="5980" spans="1:8" x14ac:dyDescent="0.3">
      <c r="A5980" s="3">
        <v>46239.349664351852</v>
      </c>
      <c r="B5980" s="1">
        <v>7.39</v>
      </c>
      <c r="C5980" s="1">
        <v>6.41</v>
      </c>
      <c r="D5980" s="1">
        <v>0.48</v>
      </c>
      <c r="E5980" s="1" t="s">
        <v>147</v>
      </c>
      <c r="F5980" s="1" t="s">
        <v>147</v>
      </c>
      <c r="G5980" s="1" t="s">
        <v>147</v>
      </c>
      <c r="H5980" s="1" t="str">
        <f>VLOOKUP(F5980,Countries!$A$1:$B$161,2,0)</f>
        <v>Germany</v>
      </c>
    </row>
    <row r="5981" spans="1:8" x14ac:dyDescent="0.3">
      <c r="A5981" s="3">
        <v>46239.349421296298</v>
      </c>
      <c r="B5981" s="1">
        <v>61.65</v>
      </c>
      <c r="C5981" s="1">
        <v>53.44</v>
      </c>
      <c r="D5981" s="1">
        <v>3.06</v>
      </c>
      <c r="E5981" s="1" t="s">
        <v>130</v>
      </c>
      <c r="F5981" s="1" t="s">
        <v>130</v>
      </c>
      <c r="G5981" s="1" t="s">
        <v>130</v>
      </c>
      <c r="H5981" s="1" t="str">
        <f>VLOOKUP(F5981,Countries!$A$1:$B$161,2,0)</f>
        <v>Australia</v>
      </c>
    </row>
    <row r="5982" spans="1:8" x14ac:dyDescent="0.3">
      <c r="A5982" s="3">
        <v>46239.349340277768</v>
      </c>
      <c r="B5982" s="1">
        <v>6.37</v>
      </c>
      <c r="C5982" s="1">
        <v>5.52</v>
      </c>
      <c r="D5982" s="1">
        <v>0.54</v>
      </c>
      <c r="E5982" s="1" t="s">
        <v>113</v>
      </c>
      <c r="F5982" s="1" t="s">
        <v>113</v>
      </c>
      <c r="G5982" s="1" t="s">
        <v>113</v>
      </c>
      <c r="H5982" s="1" t="str">
        <f>VLOOKUP(F5982,Countries!$A$1:$B$161,2,0)</f>
        <v>United States of America</v>
      </c>
    </row>
    <row r="5983" spans="1:8" x14ac:dyDescent="0.3">
      <c r="A5983" s="3">
        <v>46239.348298611112</v>
      </c>
      <c r="B5983" s="1">
        <v>46.33</v>
      </c>
      <c r="C5983" s="1">
        <v>40.159999999999997</v>
      </c>
      <c r="D5983" s="1">
        <v>2.36</v>
      </c>
      <c r="E5983" s="1" t="s">
        <v>130</v>
      </c>
      <c r="F5983" s="1" t="s">
        <v>130</v>
      </c>
      <c r="G5983" s="1" t="s">
        <v>130</v>
      </c>
      <c r="H5983" s="1" t="str">
        <f>VLOOKUP(F5983,Countries!$A$1:$B$161,2,0)</f>
        <v>Australia</v>
      </c>
    </row>
    <row r="5984" spans="1:8" x14ac:dyDescent="0.3">
      <c r="A5984" s="3">
        <v>46239.348043981481</v>
      </c>
      <c r="B5984" s="1">
        <v>6.37</v>
      </c>
      <c r="C5984" s="1">
        <v>5.52</v>
      </c>
      <c r="D5984" s="1">
        <v>0.54</v>
      </c>
      <c r="E5984" s="1" t="s">
        <v>113</v>
      </c>
      <c r="F5984" s="1" t="s">
        <v>113</v>
      </c>
      <c r="G5984" s="1" t="s">
        <v>113</v>
      </c>
      <c r="H5984" s="1" t="str">
        <f>VLOOKUP(F5984,Countries!$A$1:$B$161,2,0)</f>
        <v>United States of America</v>
      </c>
    </row>
    <row r="5985" spans="1:8" x14ac:dyDescent="0.3">
      <c r="A5985" s="3">
        <v>46239.347766203697</v>
      </c>
      <c r="B5985" s="1">
        <v>6.3</v>
      </c>
      <c r="C5985" s="1">
        <v>5.46</v>
      </c>
      <c r="D5985" s="1">
        <v>0.54</v>
      </c>
      <c r="E5985" s="1" t="s">
        <v>132</v>
      </c>
      <c r="F5985" s="1" t="s">
        <v>132</v>
      </c>
      <c r="G5985" s="1" t="s">
        <v>132</v>
      </c>
      <c r="H5985" s="1" t="str">
        <f>VLOOKUP(F5985,Countries!$A$1:$B$161,2,0)</f>
        <v>Canada</v>
      </c>
    </row>
    <row r="5986" spans="1:8" x14ac:dyDescent="0.3">
      <c r="A5986" s="3">
        <v>46239.345752314817</v>
      </c>
      <c r="B5986" s="1">
        <v>46.33</v>
      </c>
      <c r="C5986" s="1">
        <v>40.159999999999997</v>
      </c>
      <c r="D5986" s="1">
        <v>2.36</v>
      </c>
      <c r="E5986" s="1" t="s">
        <v>130</v>
      </c>
      <c r="F5986" s="1" t="s">
        <v>130</v>
      </c>
      <c r="G5986" s="1" t="s">
        <v>130</v>
      </c>
      <c r="H5986" s="1" t="str">
        <f>VLOOKUP(F5986,Countries!$A$1:$B$161,2,0)</f>
        <v>Australia</v>
      </c>
    </row>
    <row r="5987" spans="1:8" x14ac:dyDescent="0.3">
      <c r="A5987" s="3">
        <v>46239.340567129628</v>
      </c>
      <c r="B5987" s="1">
        <v>6.37</v>
      </c>
      <c r="C5987" s="1">
        <v>5.52</v>
      </c>
      <c r="D5987" s="1">
        <v>0.54</v>
      </c>
      <c r="E5987" s="1" t="s">
        <v>113</v>
      </c>
      <c r="F5987" s="1" t="s">
        <v>113</v>
      </c>
      <c r="G5987" s="1" t="s">
        <v>113</v>
      </c>
      <c r="H5987" s="1" t="str">
        <f>VLOOKUP(F5987,Countries!$A$1:$B$161,2,0)</f>
        <v>United States of America</v>
      </c>
    </row>
    <row r="5988" spans="1:8" x14ac:dyDescent="0.3">
      <c r="A5988" s="3">
        <v>46239.339305555557</v>
      </c>
      <c r="B5988" s="1">
        <v>1.99</v>
      </c>
      <c r="C5988" s="1">
        <v>1.72</v>
      </c>
      <c r="D5988" s="1">
        <v>0.34</v>
      </c>
      <c r="E5988" s="1" t="s">
        <v>182</v>
      </c>
      <c r="F5988" s="1" t="s">
        <v>182</v>
      </c>
      <c r="G5988" s="1" t="s">
        <v>182</v>
      </c>
      <c r="H5988" s="1" t="str">
        <f>VLOOKUP(F5988,Countries!$A$1:$B$161,2,0)</f>
        <v>Guatemala</v>
      </c>
    </row>
    <row r="5989" spans="1:8" x14ac:dyDescent="0.3">
      <c r="A5989" s="3">
        <v>46239.33761574074</v>
      </c>
      <c r="B5989" s="1">
        <v>7.48</v>
      </c>
      <c r="C5989" s="1">
        <v>6.48</v>
      </c>
      <c r="D5989" s="1">
        <v>0.54</v>
      </c>
      <c r="E5989" s="1" t="s">
        <v>119</v>
      </c>
      <c r="F5989" s="1" t="s">
        <v>119</v>
      </c>
      <c r="G5989" s="1" t="s">
        <v>119</v>
      </c>
      <c r="H5989" s="1" t="str">
        <f>VLOOKUP(F5989,Countries!$A$1:$B$161,2,0)</f>
        <v>Great Britain (United Kingdom)</v>
      </c>
    </row>
    <row r="5990" spans="1:8" x14ac:dyDescent="0.3">
      <c r="A5990" s="3">
        <v>46239.337256944447</v>
      </c>
      <c r="B5990" s="1">
        <v>10.62</v>
      </c>
      <c r="C5990" s="1">
        <v>9.2100000000000009</v>
      </c>
      <c r="D5990" s="1">
        <v>0.73</v>
      </c>
      <c r="E5990" s="1" t="s">
        <v>113</v>
      </c>
      <c r="F5990" s="1" t="s">
        <v>113</v>
      </c>
      <c r="G5990" s="1" t="s">
        <v>113</v>
      </c>
      <c r="H5990" s="1" t="str">
        <f>VLOOKUP(F5990,Countries!$A$1:$B$161,2,0)</f>
        <v>United States of America</v>
      </c>
    </row>
    <row r="5991" spans="1:8" x14ac:dyDescent="0.3">
      <c r="A5991" s="3">
        <v>46239.337199074071</v>
      </c>
      <c r="B5991" s="1">
        <v>6.3</v>
      </c>
      <c r="C5991" s="1">
        <v>5.46</v>
      </c>
      <c r="D5991" s="1">
        <v>0.54</v>
      </c>
      <c r="E5991" s="1" t="s">
        <v>132</v>
      </c>
      <c r="F5991" s="1" t="s">
        <v>132</v>
      </c>
      <c r="G5991" s="1" t="s">
        <v>132</v>
      </c>
      <c r="H5991" s="1" t="str">
        <f>VLOOKUP(F5991,Countries!$A$1:$B$161,2,0)</f>
        <v>Canada</v>
      </c>
    </row>
    <row r="5992" spans="1:8" x14ac:dyDescent="0.3">
      <c r="A5992" s="3">
        <v>46239.334189814806</v>
      </c>
      <c r="B5992" s="1">
        <v>6.37</v>
      </c>
      <c r="C5992" s="1">
        <v>5.52</v>
      </c>
      <c r="D5992" s="1">
        <v>0.54</v>
      </c>
      <c r="E5992" s="1" t="s">
        <v>113</v>
      </c>
      <c r="F5992" s="1" t="s">
        <v>113</v>
      </c>
      <c r="G5992" s="1" t="s">
        <v>113</v>
      </c>
      <c r="H5992" s="1" t="str">
        <f>VLOOKUP(F5992,Countries!$A$1:$B$161,2,0)</f>
        <v>United States of America</v>
      </c>
    </row>
    <row r="5993" spans="1:8" x14ac:dyDescent="0.3">
      <c r="A5993" s="3">
        <v>46239.33384259259</v>
      </c>
      <c r="B5993" s="1">
        <v>6.37</v>
      </c>
      <c r="C5993" s="1">
        <v>5.52</v>
      </c>
      <c r="D5993" s="1">
        <v>0.54</v>
      </c>
      <c r="E5993" s="1" t="s">
        <v>113</v>
      </c>
      <c r="F5993" s="1" t="s">
        <v>113</v>
      </c>
      <c r="G5993" s="1" t="s">
        <v>113</v>
      </c>
      <c r="H5993" s="1" t="str">
        <f>VLOOKUP(F5993,Countries!$A$1:$B$161,2,0)</f>
        <v>United States of America</v>
      </c>
    </row>
    <row r="5994" spans="1:8" x14ac:dyDescent="0.3">
      <c r="A5994" s="3">
        <v>46239.323310185187</v>
      </c>
      <c r="B5994" s="1">
        <v>5.99</v>
      </c>
      <c r="C5994" s="1">
        <v>5.19</v>
      </c>
      <c r="D5994" s="1">
        <v>0.52</v>
      </c>
      <c r="E5994" s="1" t="s">
        <v>129</v>
      </c>
      <c r="F5994" s="1" t="s">
        <v>129</v>
      </c>
      <c r="G5994" s="1" t="s">
        <v>129</v>
      </c>
      <c r="H5994" s="1" t="str">
        <f>VLOOKUP(F5994,Countries!$A$1:$B$161,2,0)</f>
        <v>Qatar</v>
      </c>
    </row>
    <row r="5995" spans="1:8" x14ac:dyDescent="0.3">
      <c r="A5995" s="3">
        <v>46239.322106481479</v>
      </c>
      <c r="B5995" s="1">
        <v>38.61</v>
      </c>
      <c r="C5995" s="1">
        <v>33.44</v>
      </c>
      <c r="D5995" s="1">
        <v>2.0099999999999998</v>
      </c>
      <c r="E5995" s="1" t="s">
        <v>171</v>
      </c>
      <c r="F5995" s="1" t="s">
        <v>171</v>
      </c>
      <c r="G5995" s="1" t="s">
        <v>171</v>
      </c>
      <c r="H5995" s="1" t="str">
        <f>VLOOKUP(F5995,Countries!$A$1:$B$161,2,0)</f>
        <v>Korea (South)</v>
      </c>
    </row>
    <row r="5996" spans="1:8" x14ac:dyDescent="0.3">
      <c r="A5996" s="3">
        <v>46239.321782407409</v>
      </c>
      <c r="B5996" s="1">
        <v>18.53</v>
      </c>
      <c r="C5996" s="1">
        <v>16.05</v>
      </c>
      <c r="D5996" s="1">
        <v>1.0900000000000001</v>
      </c>
      <c r="E5996" s="1" t="s">
        <v>171</v>
      </c>
      <c r="F5996" s="1" t="s">
        <v>171</v>
      </c>
      <c r="G5996" s="1" t="s">
        <v>171</v>
      </c>
      <c r="H5996" s="1" t="str">
        <f>VLOOKUP(F5996,Countries!$A$1:$B$161,2,0)</f>
        <v>Korea (South)</v>
      </c>
    </row>
    <row r="5997" spans="1:8" x14ac:dyDescent="0.3">
      <c r="A5997" s="3">
        <v>46239.320717592593</v>
      </c>
      <c r="B5997" s="1">
        <v>11.1</v>
      </c>
      <c r="C5997" s="1">
        <v>9.61</v>
      </c>
      <c r="D5997" s="1">
        <v>0.75</v>
      </c>
      <c r="E5997" s="1" t="s">
        <v>171</v>
      </c>
      <c r="F5997" s="1" t="s">
        <v>171</v>
      </c>
      <c r="G5997" s="1" t="s">
        <v>171</v>
      </c>
      <c r="H5997" s="1" t="str">
        <f>VLOOKUP(F5997,Countries!$A$1:$B$161,2,0)</f>
        <v>Korea (South)</v>
      </c>
    </row>
    <row r="5998" spans="1:8" x14ac:dyDescent="0.3">
      <c r="A5998" s="3">
        <v>46239.319675925923</v>
      </c>
      <c r="B5998" s="1">
        <v>7.48</v>
      </c>
      <c r="C5998" s="1">
        <v>6.48</v>
      </c>
      <c r="D5998" s="1">
        <v>0.48</v>
      </c>
      <c r="E5998" s="1" t="s">
        <v>123</v>
      </c>
      <c r="F5998" s="1" t="s">
        <v>123</v>
      </c>
      <c r="G5998" s="1" t="s">
        <v>123</v>
      </c>
      <c r="H5998" s="1" t="str">
        <f>VLOOKUP(F5998,Countries!$A$1:$B$161,2,0)</f>
        <v>France</v>
      </c>
    </row>
    <row r="5999" spans="1:8" x14ac:dyDescent="0.3">
      <c r="A5999" s="3">
        <v>46239.315891203703</v>
      </c>
      <c r="B5999" s="1">
        <v>6.37</v>
      </c>
      <c r="C5999" s="1">
        <v>5.52</v>
      </c>
      <c r="D5999" s="1">
        <v>0.54</v>
      </c>
      <c r="E5999" s="1" t="s">
        <v>113</v>
      </c>
      <c r="F5999" s="1" t="s">
        <v>113</v>
      </c>
      <c r="G5999" s="1" t="s">
        <v>113</v>
      </c>
      <c r="H5999" s="1" t="str">
        <f>VLOOKUP(F5999,Countries!$A$1:$B$161,2,0)</f>
        <v>United States of America</v>
      </c>
    </row>
    <row r="6000" spans="1:8" x14ac:dyDescent="0.3">
      <c r="A6000" s="3">
        <v>46239.314930555563</v>
      </c>
      <c r="B6000" s="1">
        <v>17.010000000000002</v>
      </c>
      <c r="C6000" s="1">
        <v>14.73</v>
      </c>
      <c r="D6000" s="1">
        <v>1.02</v>
      </c>
      <c r="E6000" s="1" t="s">
        <v>113</v>
      </c>
      <c r="F6000" s="1" t="s">
        <v>113</v>
      </c>
      <c r="G6000" s="1" t="s">
        <v>113</v>
      </c>
      <c r="H6000" s="1" t="str">
        <f>VLOOKUP(F6000,Countries!$A$1:$B$161,2,0)</f>
        <v>United States of America</v>
      </c>
    </row>
    <row r="6001" spans="1:8" x14ac:dyDescent="0.3">
      <c r="A6001" s="3">
        <v>46239.312789351847</v>
      </c>
      <c r="B6001" s="1">
        <v>6.65</v>
      </c>
      <c r="C6001" s="1">
        <v>5.76</v>
      </c>
      <c r="D6001" s="1">
        <v>0.56000000000000005</v>
      </c>
      <c r="E6001" s="1" t="s">
        <v>171</v>
      </c>
      <c r="F6001" s="1" t="s">
        <v>171</v>
      </c>
      <c r="G6001" s="1" t="s">
        <v>171</v>
      </c>
      <c r="H6001" s="1" t="str">
        <f>VLOOKUP(F6001,Countries!$A$1:$B$161,2,0)</f>
        <v>Korea (South)</v>
      </c>
    </row>
    <row r="6002" spans="1:8" x14ac:dyDescent="0.3">
      <c r="A6002" s="3">
        <v>46239.308854166673</v>
      </c>
      <c r="B6002" s="1">
        <v>3.39</v>
      </c>
      <c r="C6002" s="1">
        <v>2.94</v>
      </c>
      <c r="D6002" s="1">
        <v>0.41</v>
      </c>
      <c r="E6002" s="1" t="s">
        <v>114</v>
      </c>
      <c r="F6002" s="1" t="s">
        <v>114</v>
      </c>
      <c r="G6002" s="1" t="s">
        <v>114</v>
      </c>
      <c r="H6002" s="1" t="str">
        <f>VLOOKUP(F6002,Countries!$A$1:$B$161,2,0)</f>
        <v>Philippines</v>
      </c>
    </row>
    <row r="6003" spans="1:8" x14ac:dyDescent="0.3">
      <c r="A6003" s="3">
        <v>46239.304837962962</v>
      </c>
      <c r="B6003" s="1">
        <v>61.65</v>
      </c>
      <c r="C6003" s="1">
        <v>53.4</v>
      </c>
      <c r="D6003" s="1">
        <v>3.06</v>
      </c>
      <c r="E6003" s="1" t="s">
        <v>130</v>
      </c>
      <c r="F6003" s="1" t="s">
        <v>130</v>
      </c>
      <c r="G6003" s="1" t="s">
        <v>130</v>
      </c>
      <c r="H6003" s="1" t="str">
        <f>VLOOKUP(F6003,Countries!$A$1:$B$161,2,0)</f>
        <v>Australia</v>
      </c>
    </row>
    <row r="6004" spans="1:8" x14ac:dyDescent="0.3">
      <c r="A6004" s="3">
        <v>46239.302094907413</v>
      </c>
      <c r="B6004" s="1">
        <v>6.65</v>
      </c>
      <c r="C6004" s="1">
        <v>5.76</v>
      </c>
      <c r="D6004" s="1">
        <v>0.56000000000000005</v>
      </c>
      <c r="E6004" s="1" t="s">
        <v>130</v>
      </c>
      <c r="F6004" s="1" t="s">
        <v>130</v>
      </c>
      <c r="G6004" s="1" t="s">
        <v>130</v>
      </c>
      <c r="H6004" s="1" t="str">
        <f>VLOOKUP(F6004,Countries!$A$1:$B$161,2,0)</f>
        <v>Australia</v>
      </c>
    </row>
    <row r="6005" spans="1:8" x14ac:dyDescent="0.3">
      <c r="A6005" s="3">
        <v>46239.298506944448</v>
      </c>
      <c r="B6005" s="1">
        <v>16.34</v>
      </c>
      <c r="C6005" s="1">
        <v>14.15</v>
      </c>
      <c r="D6005" s="1">
        <v>0.99</v>
      </c>
      <c r="E6005" s="1" t="s">
        <v>113</v>
      </c>
      <c r="F6005" s="1" t="s">
        <v>160</v>
      </c>
      <c r="G6005" s="1" t="s">
        <v>160</v>
      </c>
      <c r="H6005" s="1" t="str">
        <f>VLOOKUP(F6005,Countries!$A$1:$B$161,2,0)</f>
        <v>New Zealand</v>
      </c>
    </row>
    <row r="6006" spans="1:8" x14ac:dyDescent="0.3">
      <c r="A6006" s="3">
        <v>46239.272141203714</v>
      </c>
      <c r="B6006" s="1">
        <v>3.73</v>
      </c>
      <c r="C6006" s="1">
        <v>3.23</v>
      </c>
      <c r="D6006" s="1">
        <v>0.41</v>
      </c>
      <c r="E6006" s="1" t="s">
        <v>223</v>
      </c>
      <c r="F6006" s="1" t="s">
        <v>223</v>
      </c>
      <c r="G6006" s="1" t="s">
        <v>223</v>
      </c>
      <c r="H6006" s="1" t="str">
        <f>VLOOKUP(F6006,Countries!$A$1:$B$161,2,0)</f>
        <v>Marocco</v>
      </c>
    </row>
    <row r="6007" spans="1:8" x14ac:dyDescent="0.3">
      <c r="A6007" s="3">
        <v>46239.268750000003</v>
      </c>
      <c r="B6007" s="1">
        <v>65.28</v>
      </c>
      <c r="C6007" s="1">
        <v>56.59</v>
      </c>
      <c r="D6007" s="1">
        <v>3.22</v>
      </c>
      <c r="E6007" s="1" t="s">
        <v>113</v>
      </c>
      <c r="F6007" s="1" t="s">
        <v>160</v>
      </c>
      <c r="G6007" s="1" t="s">
        <v>160</v>
      </c>
      <c r="H6007" s="1" t="str">
        <f>VLOOKUP(F6007,Countries!$A$1:$B$161,2,0)</f>
        <v>New Zealand</v>
      </c>
    </row>
    <row r="6008" spans="1:8" x14ac:dyDescent="0.3">
      <c r="A6008" s="3">
        <v>46239.262499999997</v>
      </c>
      <c r="B6008" s="1">
        <v>6.37</v>
      </c>
      <c r="C6008" s="1">
        <v>5.52</v>
      </c>
      <c r="D6008" s="1">
        <v>0.54</v>
      </c>
      <c r="E6008" s="1" t="s">
        <v>113</v>
      </c>
      <c r="F6008" s="1" t="s">
        <v>113</v>
      </c>
      <c r="G6008" s="1" t="s">
        <v>113</v>
      </c>
      <c r="H6008" s="1" t="str">
        <f>VLOOKUP(F6008,Countries!$A$1:$B$161,2,0)</f>
        <v>United States of America</v>
      </c>
    </row>
    <row r="6009" spans="1:8" x14ac:dyDescent="0.3">
      <c r="A6009" s="3">
        <v>46239.258425925917</v>
      </c>
      <c r="B6009" s="1">
        <v>4.24</v>
      </c>
      <c r="C6009" s="1">
        <v>3.68</v>
      </c>
      <c r="D6009" s="1">
        <v>0.44</v>
      </c>
      <c r="E6009" s="1" t="s">
        <v>113</v>
      </c>
      <c r="F6009" s="1" t="s">
        <v>113</v>
      </c>
      <c r="G6009" s="1" t="s">
        <v>113</v>
      </c>
      <c r="H6009" s="1" t="str">
        <f>VLOOKUP(F6009,Countries!$A$1:$B$161,2,0)</f>
        <v>United States of America</v>
      </c>
    </row>
    <row r="6010" spans="1:8" x14ac:dyDescent="0.3">
      <c r="A6010" s="3">
        <v>46239.258252314823</v>
      </c>
      <c r="B6010" s="1">
        <v>16.34</v>
      </c>
      <c r="C6010" s="1">
        <v>14.16</v>
      </c>
      <c r="D6010" s="1">
        <v>0.99</v>
      </c>
      <c r="E6010" s="1" t="s">
        <v>113</v>
      </c>
      <c r="F6010" s="1" t="s">
        <v>160</v>
      </c>
      <c r="G6010" s="1" t="s">
        <v>160</v>
      </c>
      <c r="H6010" s="1" t="str">
        <f>VLOOKUP(F6010,Countries!$A$1:$B$161,2,0)</f>
        <v>New Zealand</v>
      </c>
    </row>
    <row r="6011" spans="1:8" x14ac:dyDescent="0.3">
      <c r="A6011" s="3">
        <v>46239.257337962961</v>
      </c>
      <c r="B6011" s="1">
        <v>1.99</v>
      </c>
      <c r="C6011" s="1">
        <v>1.73</v>
      </c>
      <c r="D6011" s="1">
        <v>0.34</v>
      </c>
      <c r="E6011" s="1" t="s">
        <v>150</v>
      </c>
      <c r="F6011" s="1" t="s">
        <v>150</v>
      </c>
      <c r="G6011" s="1" t="s">
        <v>150</v>
      </c>
      <c r="H6011" s="1" t="str">
        <f>VLOOKUP(F6011,Countries!$A$1:$B$161,2,0)</f>
        <v>El Salvador</v>
      </c>
    </row>
    <row r="6012" spans="1:8" x14ac:dyDescent="0.3">
      <c r="A6012" s="3">
        <v>46239.257025462961</v>
      </c>
      <c r="B6012" s="1">
        <v>16.350000000000001</v>
      </c>
      <c r="C6012" s="1">
        <v>14.17</v>
      </c>
      <c r="D6012" s="1">
        <v>0.99</v>
      </c>
      <c r="E6012" s="1" t="s">
        <v>113</v>
      </c>
      <c r="F6012" s="1" t="s">
        <v>160</v>
      </c>
      <c r="G6012" s="1" t="s">
        <v>160</v>
      </c>
      <c r="H6012" s="1" t="str">
        <f>VLOOKUP(F6012,Countries!$A$1:$B$161,2,0)</f>
        <v>New Zealand</v>
      </c>
    </row>
    <row r="6013" spans="1:8" x14ac:dyDescent="0.3">
      <c r="A6013" s="3">
        <v>46239.251493055563</v>
      </c>
      <c r="B6013" s="1">
        <v>7.48</v>
      </c>
      <c r="C6013" s="1">
        <v>6.48</v>
      </c>
      <c r="D6013" s="1">
        <v>0.48</v>
      </c>
      <c r="E6013" s="1" t="s">
        <v>123</v>
      </c>
      <c r="F6013" s="1" t="s">
        <v>123</v>
      </c>
      <c r="G6013" s="1" t="s">
        <v>123</v>
      </c>
      <c r="H6013" s="1" t="str">
        <f>VLOOKUP(F6013,Countries!$A$1:$B$161,2,0)</f>
        <v>France</v>
      </c>
    </row>
    <row r="6014" spans="1:8" x14ac:dyDescent="0.3">
      <c r="A6014" s="3">
        <v>46239.245648148149</v>
      </c>
      <c r="B6014" s="1">
        <v>16.34</v>
      </c>
      <c r="C6014" s="1">
        <v>14.16</v>
      </c>
      <c r="D6014" s="1">
        <v>0.99</v>
      </c>
      <c r="E6014" s="1" t="s">
        <v>113</v>
      </c>
      <c r="F6014" s="1" t="s">
        <v>160</v>
      </c>
      <c r="G6014" s="1" t="s">
        <v>160</v>
      </c>
      <c r="H6014" s="1" t="str">
        <f>VLOOKUP(F6014,Countries!$A$1:$B$161,2,0)</f>
        <v>New Zealand</v>
      </c>
    </row>
    <row r="6015" spans="1:8" x14ac:dyDescent="0.3">
      <c r="A6015" s="3">
        <v>46239.244895833333</v>
      </c>
      <c r="B6015" s="1">
        <v>29.57</v>
      </c>
      <c r="C6015" s="1">
        <v>25.63</v>
      </c>
      <c r="D6015" s="1">
        <v>1.59</v>
      </c>
      <c r="E6015" s="1" t="s">
        <v>113</v>
      </c>
      <c r="F6015" s="1" t="s">
        <v>113</v>
      </c>
      <c r="G6015" s="1" t="s">
        <v>113</v>
      </c>
      <c r="H6015" s="1" t="str">
        <f>VLOOKUP(F6015,Countries!$A$1:$B$161,2,0)</f>
        <v>United States of America</v>
      </c>
    </row>
    <row r="6016" spans="1:8" x14ac:dyDescent="0.3">
      <c r="A6016" s="3">
        <v>46239.242199074077</v>
      </c>
      <c r="B6016" s="1">
        <v>29.57</v>
      </c>
      <c r="C6016" s="1">
        <v>25.63</v>
      </c>
      <c r="D6016" s="1">
        <v>1.59</v>
      </c>
      <c r="E6016" s="1" t="s">
        <v>113</v>
      </c>
      <c r="F6016" s="1" t="s">
        <v>113</v>
      </c>
      <c r="G6016" s="1" t="s">
        <v>113</v>
      </c>
      <c r="H6016" s="1" t="str">
        <f>VLOOKUP(F6016,Countries!$A$1:$B$161,2,0)</f>
        <v>United States of America</v>
      </c>
    </row>
    <row r="6017" spans="1:8" x14ac:dyDescent="0.3">
      <c r="A6017" s="3">
        <v>46239.241701388892</v>
      </c>
      <c r="B6017" s="1">
        <v>6.37</v>
      </c>
      <c r="C6017" s="1">
        <v>5.52</v>
      </c>
      <c r="D6017" s="1">
        <v>0.54</v>
      </c>
      <c r="E6017" s="1" t="s">
        <v>113</v>
      </c>
      <c r="F6017" s="1" t="s">
        <v>113</v>
      </c>
      <c r="G6017" s="1" t="s">
        <v>113</v>
      </c>
      <c r="H6017" s="1" t="str">
        <f>VLOOKUP(F6017,Countries!$A$1:$B$161,2,0)</f>
        <v>United States of America</v>
      </c>
    </row>
    <row r="6018" spans="1:8" x14ac:dyDescent="0.3">
      <c r="A6018" s="3">
        <v>46239.234189814822</v>
      </c>
      <c r="B6018" s="1">
        <v>16.34</v>
      </c>
      <c r="C6018" s="1">
        <v>14.16</v>
      </c>
      <c r="D6018" s="1">
        <v>0.99</v>
      </c>
      <c r="E6018" s="1" t="s">
        <v>113</v>
      </c>
      <c r="F6018" s="1" t="s">
        <v>160</v>
      </c>
      <c r="G6018" s="1" t="s">
        <v>160</v>
      </c>
      <c r="H6018" s="1" t="str">
        <f>VLOOKUP(F6018,Countries!$A$1:$B$161,2,0)</f>
        <v>New Zealand</v>
      </c>
    </row>
    <row r="6019" spans="1:8" x14ac:dyDescent="0.3">
      <c r="A6019" s="3">
        <v>46239.231527777767</v>
      </c>
      <c r="B6019" s="1">
        <v>3.99</v>
      </c>
      <c r="C6019" s="1">
        <v>3.46</v>
      </c>
      <c r="D6019" s="1">
        <v>0.43</v>
      </c>
      <c r="E6019" s="1" t="s">
        <v>113</v>
      </c>
      <c r="F6019" s="1" t="s">
        <v>113</v>
      </c>
      <c r="G6019" s="1" t="s">
        <v>113</v>
      </c>
      <c r="H6019" s="1" t="str">
        <f>VLOOKUP(F6019,Countries!$A$1:$B$161,2,0)</f>
        <v>United States of America</v>
      </c>
    </row>
    <row r="6020" spans="1:8" x14ac:dyDescent="0.3">
      <c r="A6020" s="3">
        <v>46239.226840277777</v>
      </c>
      <c r="B6020" s="1">
        <v>5.99</v>
      </c>
      <c r="C6020" s="1">
        <v>5.19</v>
      </c>
      <c r="D6020" s="1">
        <v>0.52</v>
      </c>
      <c r="E6020" s="1" t="s">
        <v>113</v>
      </c>
      <c r="F6020" s="1" t="s">
        <v>113</v>
      </c>
      <c r="G6020" s="1" t="s">
        <v>113</v>
      </c>
      <c r="H6020" s="1" t="str">
        <f>VLOOKUP(F6020,Countries!$A$1:$B$161,2,0)</f>
        <v>United States of America</v>
      </c>
    </row>
    <row r="6021" spans="1:8" x14ac:dyDescent="0.3">
      <c r="A6021" s="3">
        <v>46239.226631944453</v>
      </c>
      <c r="B6021" s="1">
        <v>6.37</v>
      </c>
      <c r="C6021" s="1">
        <v>5.52</v>
      </c>
      <c r="D6021" s="1">
        <v>0.54</v>
      </c>
      <c r="E6021" s="1" t="s">
        <v>113</v>
      </c>
      <c r="F6021" s="1" t="s">
        <v>113</v>
      </c>
      <c r="G6021" s="1" t="s">
        <v>113</v>
      </c>
      <c r="H6021" s="1" t="str">
        <f>VLOOKUP(F6021,Countries!$A$1:$B$161,2,0)</f>
        <v>United States of America</v>
      </c>
    </row>
    <row r="6022" spans="1:8" x14ac:dyDescent="0.3">
      <c r="A6022" s="3">
        <v>46239.225057870368</v>
      </c>
      <c r="B6022" s="1">
        <v>16.34</v>
      </c>
      <c r="C6022" s="1">
        <v>14.16</v>
      </c>
      <c r="D6022" s="1">
        <v>0.99</v>
      </c>
      <c r="E6022" s="1" t="s">
        <v>113</v>
      </c>
      <c r="F6022" s="1" t="s">
        <v>160</v>
      </c>
      <c r="G6022" s="1" t="s">
        <v>160</v>
      </c>
      <c r="H6022" s="1" t="str">
        <f>VLOOKUP(F6022,Countries!$A$1:$B$161,2,0)</f>
        <v>New Zealand</v>
      </c>
    </row>
    <row r="6023" spans="1:8" x14ac:dyDescent="0.3">
      <c r="A6023" s="3">
        <v>46239.215196759258</v>
      </c>
      <c r="B6023" s="1">
        <v>2.21</v>
      </c>
      <c r="C6023" s="1">
        <v>1.92</v>
      </c>
      <c r="D6023" s="1">
        <v>0.35</v>
      </c>
      <c r="E6023" s="1" t="s">
        <v>171</v>
      </c>
      <c r="F6023" s="1" t="s">
        <v>171</v>
      </c>
      <c r="G6023" s="1" t="s">
        <v>171</v>
      </c>
      <c r="H6023" s="1" t="str">
        <f>VLOOKUP(F6023,Countries!$A$1:$B$161,2,0)</f>
        <v>Korea (South)</v>
      </c>
    </row>
    <row r="6024" spans="1:8" x14ac:dyDescent="0.3">
      <c r="A6024" s="3">
        <v>46239.202210648153</v>
      </c>
      <c r="B6024" s="1">
        <v>6.37</v>
      </c>
      <c r="C6024" s="1">
        <v>5.52</v>
      </c>
      <c r="D6024" s="1">
        <v>0.54</v>
      </c>
      <c r="E6024" s="1" t="s">
        <v>113</v>
      </c>
      <c r="F6024" s="1" t="s">
        <v>113</v>
      </c>
      <c r="G6024" s="1" t="s">
        <v>113</v>
      </c>
      <c r="H6024" s="1" t="str">
        <f>VLOOKUP(F6024,Countries!$A$1:$B$161,2,0)</f>
        <v>United States of America</v>
      </c>
    </row>
    <row r="6025" spans="1:8" x14ac:dyDescent="0.3">
      <c r="A6025" s="3">
        <v>46239.187881944446</v>
      </c>
      <c r="B6025" s="1">
        <v>6.37</v>
      </c>
      <c r="C6025" s="1">
        <v>5.52</v>
      </c>
      <c r="D6025" s="1">
        <v>0.54</v>
      </c>
      <c r="E6025" s="1" t="s">
        <v>113</v>
      </c>
      <c r="F6025" s="1" t="s">
        <v>113</v>
      </c>
      <c r="G6025" s="1" t="s">
        <v>113</v>
      </c>
      <c r="H6025" s="1" t="str">
        <f>VLOOKUP(F6025,Countries!$A$1:$B$161,2,0)</f>
        <v>United States of America</v>
      </c>
    </row>
    <row r="6026" spans="1:8" x14ac:dyDescent="0.3">
      <c r="A6026" s="3">
        <v>46239.187731481477</v>
      </c>
      <c r="B6026" s="1">
        <v>17.010000000000002</v>
      </c>
      <c r="C6026" s="1">
        <v>14.74</v>
      </c>
      <c r="D6026" s="1">
        <v>1.02</v>
      </c>
      <c r="E6026" s="1" t="s">
        <v>113</v>
      </c>
      <c r="F6026" s="1" t="s">
        <v>113</v>
      </c>
      <c r="G6026" s="1" t="s">
        <v>113</v>
      </c>
      <c r="H6026" s="1" t="str">
        <f>VLOOKUP(F6026,Countries!$A$1:$B$161,2,0)</f>
        <v>United States of America</v>
      </c>
    </row>
    <row r="6027" spans="1:8" x14ac:dyDescent="0.3">
      <c r="A6027" s="3">
        <v>46239.180358796293</v>
      </c>
      <c r="B6027" s="1">
        <v>10.62</v>
      </c>
      <c r="C6027" s="1">
        <v>9.1999999999999993</v>
      </c>
      <c r="D6027" s="1">
        <v>0.73</v>
      </c>
      <c r="E6027" s="1" t="s">
        <v>113</v>
      </c>
      <c r="F6027" s="1" t="s">
        <v>160</v>
      </c>
      <c r="G6027" s="1" t="s">
        <v>160</v>
      </c>
      <c r="H6027" s="1" t="str">
        <f>VLOOKUP(F6027,Countries!$A$1:$B$161,2,0)</f>
        <v>New Zealand</v>
      </c>
    </row>
    <row r="6028" spans="1:8" x14ac:dyDescent="0.3">
      <c r="A6028" s="3">
        <v>46239.175844907397</v>
      </c>
      <c r="B6028" s="1">
        <v>6.37</v>
      </c>
      <c r="C6028" s="1">
        <v>5.52</v>
      </c>
      <c r="D6028" s="1">
        <v>0.54</v>
      </c>
      <c r="E6028" s="1" t="s">
        <v>113</v>
      </c>
      <c r="F6028" s="1" t="s">
        <v>113</v>
      </c>
      <c r="G6028" s="1" t="s">
        <v>113</v>
      </c>
      <c r="H6028" s="1" t="str">
        <f>VLOOKUP(F6028,Countries!$A$1:$B$161,2,0)</f>
        <v>United States of America</v>
      </c>
    </row>
    <row r="6029" spans="1:8" x14ac:dyDescent="0.3">
      <c r="A6029" s="3">
        <v>46239.173796296287</v>
      </c>
      <c r="B6029" s="1">
        <v>7.58</v>
      </c>
      <c r="C6029" s="1">
        <v>6.57</v>
      </c>
      <c r="D6029" s="1">
        <v>0.48</v>
      </c>
      <c r="E6029" s="1" t="s">
        <v>116</v>
      </c>
      <c r="F6029" s="1" t="s">
        <v>116</v>
      </c>
      <c r="G6029" s="1" t="s">
        <v>116</v>
      </c>
      <c r="H6029" s="1" t="str">
        <f>VLOOKUP(F6029,Countries!$A$1:$B$161,2,0)</f>
        <v>Spain</v>
      </c>
    </row>
    <row r="6030" spans="1:8" x14ac:dyDescent="0.3">
      <c r="A6030" s="3">
        <v>46239.163518518522</v>
      </c>
      <c r="B6030" s="1">
        <v>3.51</v>
      </c>
      <c r="C6030" s="1">
        <v>3.04</v>
      </c>
      <c r="D6030" s="1">
        <v>0.41</v>
      </c>
      <c r="E6030" s="1" t="s">
        <v>163</v>
      </c>
      <c r="F6030" s="1" t="s">
        <v>163</v>
      </c>
      <c r="G6030" s="1" t="s">
        <v>163</v>
      </c>
      <c r="H6030" s="1" t="str">
        <f>VLOOKUP(F6030,Countries!$A$1:$B$161,2,0)</f>
        <v>Saudi Arabia</v>
      </c>
    </row>
    <row r="6031" spans="1:8" x14ac:dyDescent="0.3">
      <c r="A6031" s="3">
        <v>46239.162465277783</v>
      </c>
      <c r="B6031" s="1">
        <v>6.37</v>
      </c>
      <c r="C6031" s="1">
        <v>5.52</v>
      </c>
      <c r="D6031" s="1">
        <v>0.54</v>
      </c>
      <c r="E6031" s="1" t="s">
        <v>113</v>
      </c>
      <c r="F6031" s="1" t="s">
        <v>113</v>
      </c>
      <c r="G6031" s="1" t="s">
        <v>113</v>
      </c>
      <c r="H6031" s="1" t="str">
        <f>VLOOKUP(F6031,Countries!$A$1:$B$161,2,0)</f>
        <v>United States of America</v>
      </c>
    </row>
    <row r="6032" spans="1:8" x14ac:dyDescent="0.3">
      <c r="A6032" s="3">
        <v>46239.153449074067</v>
      </c>
      <c r="B6032" s="1">
        <v>7.99</v>
      </c>
      <c r="C6032" s="1">
        <v>6.93</v>
      </c>
      <c r="D6032" s="1">
        <v>0.56000000000000005</v>
      </c>
      <c r="E6032" s="1" t="s">
        <v>119</v>
      </c>
      <c r="F6032" s="1" t="s">
        <v>119</v>
      </c>
      <c r="G6032" s="1" t="s">
        <v>119</v>
      </c>
      <c r="H6032" s="1" t="str">
        <f>VLOOKUP(F6032,Countries!$A$1:$B$161,2,0)</f>
        <v>Great Britain (United Kingdom)</v>
      </c>
    </row>
    <row r="6033" spans="1:8" x14ac:dyDescent="0.3">
      <c r="A6033" s="3">
        <v>46239.13553240741</v>
      </c>
      <c r="B6033" s="1">
        <v>6.37</v>
      </c>
      <c r="C6033" s="1">
        <v>5.52</v>
      </c>
      <c r="D6033" s="1">
        <v>0.54</v>
      </c>
      <c r="E6033" s="1" t="s">
        <v>132</v>
      </c>
      <c r="F6033" s="1" t="s">
        <v>132</v>
      </c>
      <c r="G6033" s="1" t="s">
        <v>132</v>
      </c>
      <c r="H6033" s="1" t="str">
        <f>VLOOKUP(F6033,Countries!$A$1:$B$161,2,0)</f>
        <v>Canada</v>
      </c>
    </row>
    <row r="6034" spans="1:8" x14ac:dyDescent="0.3">
      <c r="A6034" s="3">
        <v>46239.132557870369</v>
      </c>
      <c r="B6034" s="1">
        <v>17.36</v>
      </c>
      <c r="C6034" s="1">
        <v>15.05</v>
      </c>
      <c r="D6034" s="1">
        <v>0.78</v>
      </c>
      <c r="E6034" s="1" t="s">
        <v>212</v>
      </c>
      <c r="F6034" s="1" t="s">
        <v>123</v>
      </c>
      <c r="G6034" s="1" t="s">
        <v>123</v>
      </c>
      <c r="H6034" s="1" t="str">
        <f>VLOOKUP(F6034,Countries!$A$1:$B$161,2,0)</f>
        <v>France</v>
      </c>
    </row>
    <row r="6035" spans="1:8" x14ac:dyDescent="0.3">
      <c r="A6035" s="3">
        <v>46239.129687499997</v>
      </c>
      <c r="B6035" s="1">
        <v>12.48</v>
      </c>
      <c r="C6035" s="1">
        <v>10.82</v>
      </c>
      <c r="D6035" s="1">
        <v>0.63</v>
      </c>
      <c r="E6035" s="1" t="s">
        <v>212</v>
      </c>
      <c r="F6035" s="1" t="s">
        <v>123</v>
      </c>
      <c r="G6035" s="1" t="s">
        <v>123</v>
      </c>
      <c r="H6035" s="1" t="str">
        <f>VLOOKUP(F6035,Countries!$A$1:$B$161,2,0)</f>
        <v>France</v>
      </c>
    </row>
    <row r="6036" spans="1:8" x14ac:dyDescent="0.3">
      <c r="A6036" s="3">
        <v>46239.1250462963</v>
      </c>
      <c r="B6036" s="1">
        <v>2.11</v>
      </c>
      <c r="C6036" s="1">
        <v>1.83</v>
      </c>
      <c r="D6036" s="1">
        <v>0.35</v>
      </c>
      <c r="E6036" s="1" t="s">
        <v>113</v>
      </c>
      <c r="F6036" s="1" t="s">
        <v>113</v>
      </c>
      <c r="G6036" s="1" t="s">
        <v>113</v>
      </c>
      <c r="H6036" s="1" t="str">
        <f>VLOOKUP(F6036,Countries!$A$1:$B$161,2,0)</f>
        <v>United States of America</v>
      </c>
    </row>
    <row r="6037" spans="1:8" x14ac:dyDescent="0.3">
      <c r="A6037" s="3">
        <v>46239.121087962973</v>
      </c>
      <c r="B6037" s="1">
        <v>6.65</v>
      </c>
      <c r="C6037" s="1">
        <v>5.77</v>
      </c>
      <c r="D6037" s="1">
        <v>0.56000000000000005</v>
      </c>
      <c r="E6037" s="1" t="s">
        <v>130</v>
      </c>
      <c r="F6037" s="1" t="s">
        <v>130</v>
      </c>
      <c r="G6037" s="1" t="s">
        <v>130</v>
      </c>
      <c r="H6037" s="1" t="str">
        <f>VLOOKUP(F6037,Countries!$A$1:$B$161,2,0)</f>
        <v>Australia</v>
      </c>
    </row>
    <row r="6038" spans="1:8" x14ac:dyDescent="0.3">
      <c r="A6038" s="3">
        <v>46239.118842592587</v>
      </c>
      <c r="B6038" s="1">
        <v>2.48</v>
      </c>
      <c r="C6038" s="1">
        <v>2.15</v>
      </c>
      <c r="D6038" s="1">
        <v>0.32</v>
      </c>
      <c r="E6038" s="1" t="s">
        <v>212</v>
      </c>
      <c r="F6038" s="1" t="s">
        <v>123</v>
      </c>
      <c r="G6038" s="1" t="s">
        <v>123</v>
      </c>
      <c r="H6038" s="1" t="str">
        <f>VLOOKUP(F6038,Countries!$A$1:$B$161,2,0)</f>
        <v>France</v>
      </c>
    </row>
    <row r="6039" spans="1:8" x14ac:dyDescent="0.3">
      <c r="A6039" s="3">
        <v>46239.107233796298</v>
      </c>
      <c r="B6039" s="1">
        <v>6.37</v>
      </c>
      <c r="C6039" s="1">
        <v>5.53</v>
      </c>
      <c r="D6039" s="1">
        <v>0.54</v>
      </c>
      <c r="E6039" s="1" t="s">
        <v>113</v>
      </c>
      <c r="F6039" s="1" t="s">
        <v>113</v>
      </c>
      <c r="G6039" s="1" t="s">
        <v>113</v>
      </c>
      <c r="H6039" s="1" t="str">
        <f>VLOOKUP(F6039,Countries!$A$1:$B$161,2,0)</f>
        <v>United States of America</v>
      </c>
    </row>
    <row r="6040" spans="1:8" x14ac:dyDescent="0.3">
      <c r="A6040" s="3">
        <v>46239.101863425924</v>
      </c>
      <c r="B6040" s="1">
        <v>17.760000000000002</v>
      </c>
      <c r="C6040" s="1">
        <v>15.41</v>
      </c>
      <c r="D6040" s="1">
        <v>1.06</v>
      </c>
      <c r="E6040" s="1" t="s">
        <v>171</v>
      </c>
      <c r="F6040" s="1" t="s">
        <v>171</v>
      </c>
      <c r="G6040" s="1" t="s">
        <v>171</v>
      </c>
      <c r="H6040" s="1" t="str">
        <f>VLOOKUP(F6040,Countries!$A$1:$B$161,2,0)</f>
        <v>Korea (South)</v>
      </c>
    </row>
    <row r="6041" spans="1:8" x14ac:dyDescent="0.3">
      <c r="A6041" s="3">
        <v>46239.097118055557</v>
      </c>
      <c r="B6041" s="1">
        <v>7.98</v>
      </c>
      <c r="C6041" s="1">
        <v>6.92</v>
      </c>
      <c r="D6041" s="1">
        <v>0.49</v>
      </c>
      <c r="E6041" s="1" t="s">
        <v>125</v>
      </c>
      <c r="F6041" s="1" t="s">
        <v>125</v>
      </c>
      <c r="G6041" s="1" t="s">
        <v>125</v>
      </c>
      <c r="H6041" s="1" t="str">
        <f>VLOOKUP(F6041,Countries!$A$1:$B$161,2,0)</f>
        <v>Norway</v>
      </c>
    </row>
    <row r="6042" spans="1:8" x14ac:dyDescent="0.3">
      <c r="A6042" s="3">
        <v>46239.095810185187</v>
      </c>
      <c r="B6042" s="1">
        <v>6.37</v>
      </c>
      <c r="C6042" s="1">
        <v>5.53</v>
      </c>
      <c r="D6042" s="1">
        <v>0.54</v>
      </c>
      <c r="E6042" s="1" t="s">
        <v>113</v>
      </c>
      <c r="F6042" s="1" t="s">
        <v>113</v>
      </c>
      <c r="G6042" s="1" t="s">
        <v>113</v>
      </c>
      <c r="H6042" s="1" t="str">
        <f>VLOOKUP(F6042,Countries!$A$1:$B$161,2,0)</f>
        <v>United States of America</v>
      </c>
    </row>
    <row r="6043" spans="1:8" x14ac:dyDescent="0.3">
      <c r="A6043" s="3">
        <v>46239.08090277778</v>
      </c>
      <c r="B6043" s="1">
        <v>6.37</v>
      </c>
      <c r="C6043" s="1">
        <v>5.52</v>
      </c>
      <c r="D6043" s="1">
        <v>0.54</v>
      </c>
      <c r="E6043" s="1" t="s">
        <v>183</v>
      </c>
      <c r="F6043" s="1" t="s">
        <v>183</v>
      </c>
      <c r="G6043" s="1" t="s">
        <v>183</v>
      </c>
      <c r="H6043" s="1" t="str">
        <f>VLOOKUP(F6043,Countries!$A$1:$B$161,2,0)</f>
        <v>Malaysia</v>
      </c>
    </row>
    <row r="6044" spans="1:8" x14ac:dyDescent="0.3">
      <c r="A6044" s="3">
        <v>46239.079791666663</v>
      </c>
      <c r="B6044" s="1">
        <v>7.58</v>
      </c>
      <c r="C6044" s="1">
        <v>6.57</v>
      </c>
      <c r="D6044" s="1">
        <v>0.48</v>
      </c>
      <c r="E6044" s="1" t="s">
        <v>116</v>
      </c>
      <c r="F6044" s="1" t="s">
        <v>116</v>
      </c>
      <c r="G6044" s="1" t="s">
        <v>116</v>
      </c>
      <c r="H6044" s="1" t="str">
        <f>VLOOKUP(F6044,Countries!$A$1:$B$161,2,0)</f>
        <v>Spain</v>
      </c>
    </row>
    <row r="6045" spans="1:8" x14ac:dyDescent="0.3">
      <c r="A6045" s="3">
        <v>46239.074155092603</v>
      </c>
      <c r="B6045" s="1">
        <v>7.58</v>
      </c>
      <c r="C6045" s="1">
        <v>6.57</v>
      </c>
      <c r="D6045" s="1">
        <v>0.48</v>
      </c>
      <c r="E6045" s="1" t="s">
        <v>116</v>
      </c>
      <c r="F6045" s="1" t="s">
        <v>116</v>
      </c>
      <c r="G6045" s="1" t="s">
        <v>116</v>
      </c>
      <c r="H6045" s="1" t="str">
        <f>VLOOKUP(F6045,Countries!$A$1:$B$161,2,0)</f>
        <v>Spain</v>
      </c>
    </row>
    <row r="6046" spans="1:8" x14ac:dyDescent="0.3">
      <c r="A6046" s="3">
        <v>46239.071388888893</v>
      </c>
      <c r="B6046" s="1">
        <v>29.02</v>
      </c>
      <c r="C6046" s="1">
        <v>25.17</v>
      </c>
      <c r="D6046" s="1">
        <v>1.57</v>
      </c>
      <c r="E6046" s="1" t="s">
        <v>152</v>
      </c>
      <c r="F6046" s="1" t="s">
        <v>152</v>
      </c>
      <c r="G6046" s="1" t="s">
        <v>152</v>
      </c>
      <c r="H6046" s="1" t="str">
        <f>VLOOKUP(F6046,Countries!$A$1:$B$161,2,0)</f>
        <v>Singapore</v>
      </c>
    </row>
    <row r="6047" spans="1:8" x14ac:dyDescent="0.3">
      <c r="A6047" s="3">
        <v>46239.070983796293</v>
      </c>
      <c r="B6047" s="1">
        <v>15.26</v>
      </c>
      <c r="C6047" s="1">
        <v>13.23</v>
      </c>
      <c r="D6047" s="1">
        <v>0.94</v>
      </c>
      <c r="E6047" s="1" t="s">
        <v>152</v>
      </c>
      <c r="F6047" s="1" t="s">
        <v>152</v>
      </c>
      <c r="G6047" s="1" t="s">
        <v>152</v>
      </c>
      <c r="H6047" s="1" t="str">
        <f>VLOOKUP(F6047,Countries!$A$1:$B$161,2,0)</f>
        <v>Singapore</v>
      </c>
    </row>
    <row r="6048" spans="1:8" x14ac:dyDescent="0.3">
      <c r="A6048" s="3">
        <v>46239.070821759262</v>
      </c>
      <c r="B6048" s="1">
        <v>4.43</v>
      </c>
      <c r="C6048" s="1">
        <v>3.84</v>
      </c>
      <c r="D6048" s="1">
        <v>0.45</v>
      </c>
      <c r="E6048" s="1" t="s">
        <v>121</v>
      </c>
      <c r="F6048" s="1" t="s">
        <v>121</v>
      </c>
      <c r="G6048" s="1" t="s">
        <v>121</v>
      </c>
      <c r="H6048" s="1" t="str">
        <f>VLOOKUP(F6048,Countries!$A$1:$B$161,2,0)</f>
        <v>Japan</v>
      </c>
    </row>
    <row r="6049" spans="1:8" x14ac:dyDescent="0.3">
      <c r="A6049" s="3">
        <v>46239.055150462962</v>
      </c>
      <c r="B6049" s="1">
        <v>7.48</v>
      </c>
      <c r="C6049" s="1">
        <v>6.49</v>
      </c>
      <c r="D6049" s="1">
        <v>0.48</v>
      </c>
      <c r="E6049" s="1" t="s">
        <v>123</v>
      </c>
      <c r="F6049" s="1" t="s">
        <v>123</v>
      </c>
      <c r="G6049" s="1" t="s">
        <v>123</v>
      </c>
      <c r="H6049" s="1" t="str">
        <f>VLOOKUP(F6049,Countries!$A$1:$B$161,2,0)</f>
        <v>France</v>
      </c>
    </row>
    <row r="6050" spans="1:8" x14ac:dyDescent="0.3">
      <c r="A6050" s="3">
        <v>46239.048854166656</v>
      </c>
      <c r="B6050" s="1">
        <v>2.99</v>
      </c>
      <c r="C6050" s="1">
        <v>2.59</v>
      </c>
      <c r="D6050" s="1">
        <v>0.38</v>
      </c>
      <c r="E6050" s="1" t="s">
        <v>129</v>
      </c>
      <c r="F6050" s="1" t="s">
        <v>129</v>
      </c>
      <c r="G6050" s="1" t="s">
        <v>129</v>
      </c>
      <c r="H6050" s="1" t="str">
        <f>VLOOKUP(F6050,Countries!$A$1:$B$161,2,0)</f>
        <v>Qatar</v>
      </c>
    </row>
    <row r="6051" spans="1:8" x14ac:dyDescent="0.3">
      <c r="A6051" s="3">
        <v>46239.048298611109</v>
      </c>
      <c r="B6051" s="1">
        <v>6.37</v>
      </c>
      <c r="C6051" s="1">
        <v>5.52</v>
      </c>
      <c r="D6051" s="1">
        <v>0.54</v>
      </c>
      <c r="E6051" s="1" t="s">
        <v>113</v>
      </c>
      <c r="F6051" s="1" t="s">
        <v>113</v>
      </c>
      <c r="G6051" s="1" t="s">
        <v>113</v>
      </c>
      <c r="H6051" s="1" t="str">
        <f>VLOOKUP(F6051,Countries!$A$1:$B$161,2,0)</f>
        <v>United States of America</v>
      </c>
    </row>
    <row r="6052" spans="1:8" x14ac:dyDescent="0.3">
      <c r="A6052" s="3">
        <v>46239.042349537027</v>
      </c>
      <c r="B6052" s="1">
        <v>3.99</v>
      </c>
      <c r="C6052" s="1">
        <v>3.46</v>
      </c>
      <c r="D6052" s="1">
        <v>0.43</v>
      </c>
      <c r="E6052" s="1" t="s">
        <v>165</v>
      </c>
      <c r="F6052" s="1" t="s">
        <v>165</v>
      </c>
      <c r="G6052" s="1" t="s">
        <v>165</v>
      </c>
      <c r="H6052" s="1" t="str">
        <f>VLOOKUP(F6052,Countries!$A$1:$B$161,2,0)</f>
        <v>Israel</v>
      </c>
    </row>
    <row r="6053" spans="1:8" x14ac:dyDescent="0.3">
      <c r="A6053" s="3">
        <v>46239.041921296302</v>
      </c>
      <c r="B6053" s="1">
        <v>2.99</v>
      </c>
      <c r="C6053" s="1">
        <v>2.59</v>
      </c>
      <c r="D6053" s="1">
        <v>0.38</v>
      </c>
      <c r="E6053" s="1" t="s">
        <v>167</v>
      </c>
      <c r="F6053" s="1" t="s">
        <v>136</v>
      </c>
      <c r="G6053" s="1" t="s">
        <v>136</v>
      </c>
      <c r="H6053" s="1" t="str">
        <f>VLOOKUP(F6053,Countries!$A$1:$B$161,2,0)</f>
        <v>Turkey</v>
      </c>
    </row>
    <row r="6054" spans="1:8" x14ac:dyDescent="0.3">
      <c r="A6054" s="3">
        <v>46239.039351851847</v>
      </c>
      <c r="B6054" s="1">
        <v>6.37</v>
      </c>
      <c r="C6054" s="1">
        <v>5.52</v>
      </c>
      <c r="D6054" s="1">
        <v>0.54</v>
      </c>
      <c r="E6054" s="1" t="s">
        <v>113</v>
      </c>
      <c r="F6054" s="1" t="s">
        <v>113</v>
      </c>
      <c r="G6054" s="1" t="s">
        <v>113</v>
      </c>
      <c r="H6054" s="1" t="str">
        <f>VLOOKUP(F6054,Countries!$A$1:$B$161,2,0)</f>
        <v>United States of America</v>
      </c>
    </row>
    <row r="6055" spans="1:8" x14ac:dyDescent="0.3">
      <c r="A6055" s="3">
        <v>46239.035370370373</v>
      </c>
      <c r="B6055" s="1">
        <v>17.579999999999998</v>
      </c>
      <c r="C6055" s="1">
        <v>15.24</v>
      </c>
      <c r="D6055" s="1">
        <v>0.78</v>
      </c>
      <c r="E6055" s="1" t="s">
        <v>113</v>
      </c>
      <c r="F6055" s="1" t="s">
        <v>113</v>
      </c>
      <c r="G6055" s="1" t="s">
        <v>113</v>
      </c>
      <c r="H6055" s="1" t="str">
        <f>VLOOKUP(F6055,Countries!$A$1:$B$161,2,0)</f>
        <v>United States of America</v>
      </c>
    </row>
    <row r="6056" spans="1:8" x14ac:dyDescent="0.3">
      <c r="A6056" s="3">
        <v>46239.034432870372</v>
      </c>
      <c r="B6056" s="1">
        <v>12.64</v>
      </c>
      <c r="C6056" s="1">
        <v>10.96</v>
      </c>
      <c r="D6056" s="1">
        <v>0.63</v>
      </c>
      <c r="E6056" s="1" t="s">
        <v>113</v>
      </c>
      <c r="F6056" s="1" t="s">
        <v>113</v>
      </c>
      <c r="G6056" s="1" t="s">
        <v>113</v>
      </c>
      <c r="H6056" s="1" t="str">
        <f>VLOOKUP(F6056,Countries!$A$1:$B$161,2,0)</f>
        <v>United States of America</v>
      </c>
    </row>
    <row r="6057" spans="1:8" x14ac:dyDescent="0.3">
      <c r="A6057" s="3">
        <v>46239.029513888891</v>
      </c>
      <c r="B6057" s="1">
        <v>3.69</v>
      </c>
      <c r="C6057" s="1">
        <v>3.2</v>
      </c>
      <c r="D6057" s="1">
        <v>0.36</v>
      </c>
      <c r="E6057" s="1" t="s">
        <v>159</v>
      </c>
      <c r="F6057" s="1" t="s">
        <v>159</v>
      </c>
      <c r="G6057" s="1" t="s">
        <v>159</v>
      </c>
      <c r="H6057" s="1" t="str">
        <f>VLOOKUP(F6057,Countries!$A$1:$B$161,2,0)</f>
        <v>Romania</v>
      </c>
    </row>
    <row r="6058" spans="1:8" x14ac:dyDescent="0.3">
      <c r="A6058" s="3">
        <v>46239.028749999998</v>
      </c>
      <c r="B6058" s="1">
        <v>5.99</v>
      </c>
      <c r="C6058" s="1">
        <v>5.19</v>
      </c>
      <c r="D6058" s="1">
        <v>0.52</v>
      </c>
      <c r="E6058" s="1" t="s">
        <v>129</v>
      </c>
      <c r="F6058" s="1" t="s">
        <v>129</v>
      </c>
      <c r="G6058" s="1" t="s">
        <v>129</v>
      </c>
      <c r="H6058" s="1" t="str">
        <f>VLOOKUP(F6058,Countries!$A$1:$B$161,2,0)</f>
        <v>Qatar</v>
      </c>
    </row>
    <row r="6059" spans="1:8" x14ac:dyDescent="0.3">
      <c r="A6059" s="3">
        <v>46239.023668981477</v>
      </c>
      <c r="B6059" s="1">
        <v>7.39</v>
      </c>
      <c r="C6059" s="1">
        <v>6.41</v>
      </c>
      <c r="D6059" s="1">
        <v>0.48</v>
      </c>
      <c r="E6059" s="1" t="s">
        <v>147</v>
      </c>
      <c r="F6059" s="1" t="s">
        <v>147</v>
      </c>
      <c r="G6059" s="1" t="s">
        <v>147</v>
      </c>
      <c r="H6059" s="1" t="str">
        <f>VLOOKUP(F6059,Countries!$A$1:$B$161,2,0)</f>
        <v>Germany</v>
      </c>
    </row>
    <row r="6060" spans="1:8" x14ac:dyDescent="0.3">
      <c r="A6060" s="3">
        <v>46239.023425925923</v>
      </c>
      <c r="B6060" s="1">
        <v>3.73</v>
      </c>
      <c r="C6060" s="1">
        <v>3.23</v>
      </c>
      <c r="D6060" s="1">
        <v>0.39</v>
      </c>
      <c r="E6060" s="1" t="s">
        <v>119</v>
      </c>
      <c r="F6060" s="1" t="s">
        <v>119</v>
      </c>
      <c r="G6060" s="1" t="s">
        <v>119</v>
      </c>
      <c r="H6060" s="1" t="str">
        <f>VLOOKUP(F6060,Countries!$A$1:$B$161,2,0)</f>
        <v>Great Britain (United Kingdom)</v>
      </c>
    </row>
    <row r="6061" spans="1:8" x14ac:dyDescent="0.3">
      <c r="A6061" s="3">
        <v>46239.013356481482</v>
      </c>
      <c r="B6061" s="1">
        <v>3.51</v>
      </c>
      <c r="C6061" s="1">
        <v>3.04</v>
      </c>
      <c r="D6061" s="1">
        <v>0.41</v>
      </c>
      <c r="E6061" s="1" t="s">
        <v>160</v>
      </c>
      <c r="F6061" s="1" t="s">
        <v>160</v>
      </c>
      <c r="G6061" s="1" t="s">
        <v>160</v>
      </c>
      <c r="H6061" s="1" t="str">
        <f>VLOOKUP(F6061,Countries!$A$1:$B$161,2,0)</f>
        <v>New Zealand</v>
      </c>
    </row>
    <row r="6062" spans="1:8" x14ac:dyDescent="0.3">
      <c r="A6062" s="3">
        <v>46239.008356481478</v>
      </c>
      <c r="B6062" s="1">
        <v>7.48</v>
      </c>
      <c r="C6062" s="1">
        <v>6.49</v>
      </c>
      <c r="D6062" s="1">
        <v>0.54</v>
      </c>
      <c r="E6062" s="1" t="s">
        <v>119</v>
      </c>
      <c r="F6062" s="1" t="s">
        <v>119</v>
      </c>
      <c r="G6062" s="1" t="s">
        <v>119</v>
      </c>
      <c r="H6062" s="1" t="str">
        <f>VLOOKUP(F6062,Countries!$A$1:$B$161,2,0)</f>
        <v>Great Britain (United Kingdom)</v>
      </c>
    </row>
    <row r="6063" spans="1:8" x14ac:dyDescent="0.3">
      <c r="A6063" s="3">
        <v>46239.004953703698</v>
      </c>
      <c r="B6063" s="1">
        <v>61.58</v>
      </c>
      <c r="C6063" s="1">
        <v>53.4</v>
      </c>
      <c r="D6063" s="1">
        <v>2.12</v>
      </c>
      <c r="E6063" s="1" t="s">
        <v>113</v>
      </c>
      <c r="F6063" s="1" t="s">
        <v>113</v>
      </c>
      <c r="G6063" s="1" t="s">
        <v>113</v>
      </c>
      <c r="H6063" s="1" t="str">
        <f>VLOOKUP(F6063,Countries!$A$1:$B$161,2,0)</f>
        <v>United States of America</v>
      </c>
    </row>
    <row r="6064" spans="1:8" x14ac:dyDescent="0.3">
      <c r="A6064" s="3">
        <v>46239.004583333342</v>
      </c>
      <c r="B6064" s="1">
        <v>12.64</v>
      </c>
      <c r="C6064" s="1">
        <v>10.96</v>
      </c>
      <c r="D6064" s="1">
        <v>0.63</v>
      </c>
      <c r="E6064" s="1" t="s">
        <v>113</v>
      </c>
      <c r="F6064" s="1" t="s">
        <v>113</v>
      </c>
      <c r="G6064" s="1" t="s">
        <v>113</v>
      </c>
      <c r="H6064" s="1" t="str">
        <f>VLOOKUP(F6064,Countries!$A$1:$B$161,2,0)</f>
        <v>United States of America</v>
      </c>
    </row>
    <row r="6065" spans="1:8" x14ac:dyDescent="0.3">
      <c r="A6065" s="3">
        <v>46239.003506944442</v>
      </c>
      <c r="B6065" s="1">
        <v>6.37</v>
      </c>
      <c r="C6065" s="1">
        <v>5.52</v>
      </c>
      <c r="D6065" s="1">
        <v>0.54</v>
      </c>
      <c r="E6065" s="1" t="s">
        <v>113</v>
      </c>
      <c r="F6065" s="1" t="s">
        <v>113</v>
      </c>
      <c r="G6065" s="1" t="s">
        <v>113</v>
      </c>
      <c r="H6065" s="1" t="str">
        <f>VLOOKUP(F6065,Countries!$A$1:$B$161,2,0)</f>
        <v>United States of America</v>
      </c>
    </row>
    <row r="6066" spans="1:8" x14ac:dyDescent="0.3">
      <c r="A6066" s="3">
        <v>46239.000636574077</v>
      </c>
      <c r="B6066" s="1">
        <v>17.579999999999998</v>
      </c>
      <c r="C6066" s="1">
        <v>15.24</v>
      </c>
      <c r="D6066" s="1">
        <v>0.78</v>
      </c>
      <c r="E6066" s="1" t="s">
        <v>113</v>
      </c>
      <c r="F6066" s="1" t="s">
        <v>113</v>
      </c>
      <c r="G6066" s="1" t="s">
        <v>113</v>
      </c>
      <c r="H6066" s="1" t="str">
        <f>VLOOKUP(F6066,Countries!$A$1:$B$161,2,0)</f>
        <v>United States of America</v>
      </c>
    </row>
    <row r="6067" spans="1:8" x14ac:dyDescent="0.3">
      <c r="A6067" s="3">
        <v>46238.999224537038</v>
      </c>
      <c r="B6067" s="1">
        <v>79.17</v>
      </c>
      <c r="C6067" s="1">
        <v>68.650000000000006</v>
      </c>
      <c r="D6067" s="1">
        <v>2.65</v>
      </c>
      <c r="E6067" s="1" t="s">
        <v>113</v>
      </c>
      <c r="F6067" s="1" t="s">
        <v>113</v>
      </c>
      <c r="G6067" s="1" t="s">
        <v>113</v>
      </c>
      <c r="H6067" s="1" t="str">
        <f>VLOOKUP(F6067,Countries!$A$1:$B$161,2,0)</f>
        <v>United States of America</v>
      </c>
    </row>
    <row r="6068" spans="1:8" x14ac:dyDescent="0.3">
      <c r="A6068" s="3">
        <v>46238.997824074067</v>
      </c>
      <c r="B6068" s="1">
        <v>6.37</v>
      </c>
      <c r="C6068" s="1">
        <v>5.52</v>
      </c>
      <c r="D6068" s="1">
        <v>0.5</v>
      </c>
      <c r="E6068" s="1" t="s">
        <v>119</v>
      </c>
      <c r="F6068" s="1" t="s">
        <v>119</v>
      </c>
      <c r="G6068" s="1" t="s">
        <v>119</v>
      </c>
      <c r="H6068" s="1" t="str">
        <f>VLOOKUP(F6068,Countries!$A$1:$B$161,2,0)</f>
        <v>Great Britain (United Kingdom)</v>
      </c>
    </row>
    <row r="6069" spans="1:8" x14ac:dyDescent="0.3">
      <c r="A6069" s="3">
        <v>46238.997349537043</v>
      </c>
      <c r="B6069" s="1">
        <v>6.37</v>
      </c>
      <c r="C6069" s="1">
        <v>5.52</v>
      </c>
      <c r="D6069" s="1">
        <v>0.54</v>
      </c>
      <c r="E6069" s="1" t="s">
        <v>113</v>
      </c>
      <c r="F6069" s="1" t="s">
        <v>113</v>
      </c>
      <c r="G6069" s="1" t="s">
        <v>113</v>
      </c>
      <c r="H6069" s="1" t="str">
        <f>VLOOKUP(F6069,Countries!$A$1:$B$161,2,0)</f>
        <v>United States of America</v>
      </c>
    </row>
    <row r="6070" spans="1:8" x14ac:dyDescent="0.3">
      <c r="A6070" s="3">
        <v>46238.993449074071</v>
      </c>
      <c r="B6070" s="1">
        <v>17.579999999999998</v>
      </c>
      <c r="C6070" s="1">
        <v>15.24</v>
      </c>
      <c r="D6070" s="1">
        <v>0.78</v>
      </c>
      <c r="E6070" s="1" t="s">
        <v>113</v>
      </c>
      <c r="F6070" s="1" t="s">
        <v>113</v>
      </c>
      <c r="G6070" s="1" t="s">
        <v>113</v>
      </c>
      <c r="H6070" s="1" t="str">
        <f>VLOOKUP(F6070,Countries!$A$1:$B$161,2,0)</f>
        <v>United States of America</v>
      </c>
    </row>
    <row r="6071" spans="1:8" x14ac:dyDescent="0.3">
      <c r="A6071" s="3">
        <v>46238.993113425917</v>
      </c>
      <c r="B6071" s="1">
        <v>43.98</v>
      </c>
      <c r="C6071" s="1">
        <v>38.130000000000003</v>
      </c>
      <c r="D6071" s="1">
        <v>1.58</v>
      </c>
      <c r="E6071" s="1" t="s">
        <v>113</v>
      </c>
      <c r="F6071" s="1" t="s">
        <v>113</v>
      </c>
      <c r="G6071" s="1" t="s">
        <v>113</v>
      </c>
      <c r="H6071" s="1" t="str">
        <f>VLOOKUP(F6071,Countries!$A$1:$B$161,2,0)</f>
        <v>United States of America</v>
      </c>
    </row>
    <row r="6072" spans="1:8" x14ac:dyDescent="0.3">
      <c r="A6072" s="3">
        <v>46238.992060185177</v>
      </c>
      <c r="B6072" s="1">
        <v>12.64</v>
      </c>
      <c r="C6072" s="1">
        <v>10.96</v>
      </c>
      <c r="D6072" s="1">
        <v>0.63</v>
      </c>
      <c r="E6072" s="1" t="s">
        <v>113</v>
      </c>
      <c r="F6072" s="1" t="s">
        <v>113</v>
      </c>
      <c r="G6072" s="1" t="s">
        <v>113</v>
      </c>
      <c r="H6072" s="1" t="str">
        <f>VLOOKUP(F6072,Countries!$A$1:$B$161,2,0)</f>
        <v>United States of America</v>
      </c>
    </row>
    <row r="6073" spans="1:8" x14ac:dyDescent="0.3">
      <c r="A6073" s="3">
        <v>46238.986076388886</v>
      </c>
      <c r="B6073" s="1">
        <v>6.37</v>
      </c>
      <c r="C6073" s="1">
        <v>5.52</v>
      </c>
      <c r="D6073" s="1">
        <v>0.54</v>
      </c>
      <c r="E6073" s="1" t="s">
        <v>113</v>
      </c>
      <c r="F6073" s="1" t="s">
        <v>113</v>
      </c>
      <c r="G6073" s="1" t="s">
        <v>113</v>
      </c>
      <c r="H6073" s="1" t="str">
        <f>VLOOKUP(F6073,Countries!$A$1:$B$161,2,0)</f>
        <v>United States of America</v>
      </c>
    </row>
    <row r="6074" spans="1:8" x14ac:dyDescent="0.3">
      <c r="A6074" s="3">
        <v>46238.985555555562</v>
      </c>
      <c r="B6074" s="1">
        <v>21.11</v>
      </c>
      <c r="C6074" s="1">
        <v>18.3</v>
      </c>
      <c r="D6074" s="1">
        <v>0.89</v>
      </c>
      <c r="E6074" s="1" t="s">
        <v>113</v>
      </c>
      <c r="F6074" s="1" t="s">
        <v>113</v>
      </c>
      <c r="G6074" s="1" t="s">
        <v>113</v>
      </c>
      <c r="H6074" s="1" t="str">
        <f>VLOOKUP(F6074,Countries!$A$1:$B$161,2,0)</f>
        <v>United States of America</v>
      </c>
    </row>
    <row r="6075" spans="1:8" x14ac:dyDescent="0.3">
      <c r="A6075" s="3">
        <v>46238.985497685193</v>
      </c>
      <c r="B6075" s="1">
        <v>12.64</v>
      </c>
      <c r="C6075" s="1">
        <v>10.96</v>
      </c>
      <c r="D6075" s="1">
        <v>0.63</v>
      </c>
      <c r="E6075" s="1" t="s">
        <v>113</v>
      </c>
      <c r="F6075" s="1" t="s">
        <v>113</v>
      </c>
      <c r="G6075" s="1" t="s">
        <v>113</v>
      </c>
      <c r="H6075" s="1" t="str">
        <f>VLOOKUP(F6075,Countries!$A$1:$B$161,2,0)</f>
        <v>United States of America</v>
      </c>
    </row>
    <row r="6076" spans="1:8" x14ac:dyDescent="0.3">
      <c r="A6076" s="3">
        <v>46238.985254629632</v>
      </c>
      <c r="B6076" s="1">
        <v>6.3</v>
      </c>
      <c r="C6076" s="1">
        <v>5.46</v>
      </c>
      <c r="D6076" s="1">
        <v>0.54</v>
      </c>
      <c r="E6076" s="1" t="s">
        <v>132</v>
      </c>
      <c r="F6076" s="1" t="s">
        <v>132</v>
      </c>
      <c r="G6076" s="1" t="s">
        <v>132</v>
      </c>
      <c r="H6076" s="1" t="str">
        <f>VLOOKUP(F6076,Countries!$A$1:$B$161,2,0)</f>
        <v>Canada</v>
      </c>
    </row>
    <row r="6077" spans="1:8" x14ac:dyDescent="0.3">
      <c r="A6077" s="3">
        <v>46238.983854166669</v>
      </c>
      <c r="B6077" s="1">
        <v>10.99</v>
      </c>
      <c r="C6077" s="1">
        <v>9.5299999999999994</v>
      </c>
      <c r="D6077" s="1">
        <v>0.57999999999999996</v>
      </c>
      <c r="E6077" s="1" t="s">
        <v>177</v>
      </c>
      <c r="F6077" s="1" t="s">
        <v>177</v>
      </c>
      <c r="G6077" s="1" t="s">
        <v>177</v>
      </c>
      <c r="H6077" s="1" t="str">
        <f>VLOOKUP(F6077,Countries!$A$1:$B$161,2,0)</f>
        <v>Hungary</v>
      </c>
    </row>
    <row r="6078" spans="1:8" x14ac:dyDescent="0.3">
      <c r="A6078" s="3">
        <v>46238.982812499999</v>
      </c>
      <c r="B6078" s="1">
        <v>17.579999999999998</v>
      </c>
      <c r="C6078" s="1">
        <v>15.24</v>
      </c>
      <c r="D6078" s="1">
        <v>0.78</v>
      </c>
      <c r="E6078" s="1" t="s">
        <v>113</v>
      </c>
      <c r="F6078" s="1" t="s">
        <v>113</v>
      </c>
      <c r="G6078" s="1" t="s">
        <v>113</v>
      </c>
      <c r="H6078" s="1" t="str">
        <f>VLOOKUP(F6078,Countries!$A$1:$B$161,2,0)</f>
        <v>United States of America</v>
      </c>
    </row>
    <row r="6079" spans="1:8" x14ac:dyDescent="0.3">
      <c r="A6079" s="3">
        <v>46238.979594907411</v>
      </c>
      <c r="B6079" s="1">
        <v>37.97</v>
      </c>
      <c r="C6079" s="1">
        <v>32.92</v>
      </c>
      <c r="D6079" s="1">
        <v>1.4</v>
      </c>
      <c r="E6079" s="1" t="s">
        <v>113</v>
      </c>
      <c r="F6079" s="1" t="s">
        <v>113</v>
      </c>
      <c r="G6079" s="1" t="s">
        <v>113</v>
      </c>
      <c r="H6079" s="1" t="str">
        <f>VLOOKUP(F6079,Countries!$A$1:$B$161,2,0)</f>
        <v>United States of America</v>
      </c>
    </row>
    <row r="6080" spans="1:8" x14ac:dyDescent="0.3">
      <c r="A6080" s="3">
        <v>46238.978321759263</v>
      </c>
      <c r="B6080" s="1">
        <v>1.99</v>
      </c>
      <c r="C6080" s="1">
        <v>1.73</v>
      </c>
      <c r="D6080" s="1">
        <v>0.31</v>
      </c>
      <c r="E6080" s="1" t="s">
        <v>147</v>
      </c>
      <c r="F6080" s="1" t="s">
        <v>147</v>
      </c>
      <c r="G6080" s="1" t="s">
        <v>147</v>
      </c>
      <c r="H6080" s="1" t="str">
        <f>VLOOKUP(F6080,Countries!$A$1:$B$161,2,0)</f>
        <v>Germany</v>
      </c>
    </row>
    <row r="6081" spans="1:8" x14ac:dyDescent="0.3">
      <c r="A6081" s="3">
        <v>46238.977824074071</v>
      </c>
      <c r="B6081" s="1">
        <v>12.64</v>
      </c>
      <c r="C6081" s="1">
        <v>10.96</v>
      </c>
      <c r="D6081" s="1">
        <v>0.63</v>
      </c>
      <c r="E6081" s="1" t="s">
        <v>113</v>
      </c>
      <c r="F6081" s="1" t="s">
        <v>113</v>
      </c>
      <c r="G6081" s="1" t="s">
        <v>113</v>
      </c>
      <c r="H6081" s="1" t="str">
        <f>VLOOKUP(F6081,Countries!$A$1:$B$161,2,0)</f>
        <v>United States of America</v>
      </c>
    </row>
    <row r="6082" spans="1:8" x14ac:dyDescent="0.3">
      <c r="A6082" s="3">
        <v>46238.972430555557</v>
      </c>
      <c r="B6082" s="1">
        <v>6.37</v>
      </c>
      <c r="C6082" s="1">
        <v>5.52</v>
      </c>
      <c r="D6082" s="1">
        <v>0.54</v>
      </c>
      <c r="E6082" s="1" t="s">
        <v>113</v>
      </c>
      <c r="F6082" s="1" t="s">
        <v>113</v>
      </c>
      <c r="G6082" s="1" t="s">
        <v>113</v>
      </c>
      <c r="H6082" s="1" t="str">
        <f>VLOOKUP(F6082,Countries!$A$1:$B$161,2,0)</f>
        <v>United States of America</v>
      </c>
    </row>
    <row r="6083" spans="1:8" x14ac:dyDescent="0.3">
      <c r="A6083" s="3">
        <v>46238.970208333332</v>
      </c>
      <c r="B6083" s="1">
        <v>10.85</v>
      </c>
      <c r="C6083" s="1">
        <v>9.41</v>
      </c>
      <c r="D6083" s="1">
        <v>0.75</v>
      </c>
      <c r="E6083" s="1" t="s">
        <v>115</v>
      </c>
      <c r="F6083" s="1" t="s">
        <v>115</v>
      </c>
      <c r="G6083" s="1" t="s">
        <v>115</v>
      </c>
      <c r="H6083" s="1" t="str">
        <f>VLOOKUP(F6083,Countries!$A$1:$B$161,2,0)</f>
        <v>Switzerland</v>
      </c>
    </row>
    <row r="6084" spans="1:8" x14ac:dyDescent="0.3">
      <c r="A6084" s="3">
        <v>46238.969166666669</v>
      </c>
      <c r="B6084" s="1">
        <v>14.77</v>
      </c>
      <c r="C6084" s="1">
        <v>12.81</v>
      </c>
      <c r="D6084" s="1">
        <v>0.93</v>
      </c>
      <c r="E6084" s="1" t="s">
        <v>113</v>
      </c>
      <c r="F6084" s="1" t="s">
        <v>113</v>
      </c>
      <c r="G6084" s="1" t="s">
        <v>113</v>
      </c>
      <c r="H6084" s="1" t="str">
        <f>VLOOKUP(F6084,Countries!$A$1:$B$161,2,0)</f>
        <v>United States of America</v>
      </c>
    </row>
    <row r="6085" spans="1:8" x14ac:dyDescent="0.3">
      <c r="A6085" s="3">
        <v>46238.966331018521</v>
      </c>
      <c r="B6085" s="1">
        <v>12.64</v>
      </c>
      <c r="C6085" s="1">
        <v>10.96</v>
      </c>
      <c r="D6085" s="1">
        <v>0.63</v>
      </c>
      <c r="E6085" s="1" t="s">
        <v>113</v>
      </c>
      <c r="F6085" s="1" t="s">
        <v>113</v>
      </c>
      <c r="G6085" s="1" t="s">
        <v>113</v>
      </c>
      <c r="H6085" s="1" t="str">
        <f>VLOOKUP(F6085,Countries!$A$1:$B$161,2,0)</f>
        <v>United States of America</v>
      </c>
    </row>
    <row r="6086" spans="1:8" x14ac:dyDescent="0.3">
      <c r="A6086" s="3">
        <v>46238.965729166674</v>
      </c>
      <c r="B6086" s="1">
        <v>6.37</v>
      </c>
      <c r="C6086" s="1">
        <v>5.52</v>
      </c>
      <c r="D6086" s="1">
        <v>0.54</v>
      </c>
      <c r="E6086" s="1" t="s">
        <v>113</v>
      </c>
      <c r="F6086" s="1" t="s">
        <v>113</v>
      </c>
      <c r="G6086" s="1" t="s">
        <v>113</v>
      </c>
      <c r="H6086" s="1" t="str">
        <f>VLOOKUP(F6086,Countries!$A$1:$B$161,2,0)</f>
        <v>United States of America</v>
      </c>
    </row>
    <row r="6087" spans="1:8" x14ac:dyDescent="0.3">
      <c r="A6087" s="3">
        <v>46238.964189814818</v>
      </c>
      <c r="B6087" s="1">
        <v>12.64</v>
      </c>
      <c r="C6087" s="1">
        <v>10.96</v>
      </c>
      <c r="D6087" s="1">
        <v>0.63</v>
      </c>
      <c r="E6087" s="1" t="s">
        <v>113</v>
      </c>
      <c r="F6087" s="1" t="s">
        <v>113</v>
      </c>
      <c r="G6087" s="1" t="s">
        <v>113</v>
      </c>
      <c r="H6087" s="1" t="str">
        <f>VLOOKUP(F6087,Countries!$A$1:$B$161,2,0)</f>
        <v>United States of America</v>
      </c>
    </row>
    <row r="6088" spans="1:8" x14ac:dyDescent="0.3">
      <c r="A6088" s="3">
        <v>46238.963993055557</v>
      </c>
      <c r="B6088" s="1">
        <v>10.85</v>
      </c>
      <c r="C6088" s="1">
        <v>9.41</v>
      </c>
      <c r="D6088" s="1">
        <v>0.75</v>
      </c>
      <c r="E6088" s="1" t="s">
        <v>115</v>
      </c>
      <c r="F6088" s="1" t="s">
        <v>115</v>
      </c>
      <c r="G6088" s="1" t="s">
        <v>115</v>
      </c>
      <c r="H6088" s="1" t="str">
        <f>VLOOKUP(F6088,Countries!$A$1:$B$161,2,0)</f>
        <v>Switzerland</v>
      </c>
    </row>
    <row r="6089" spans="1:8" x14ac:dyDescent="0.3">
      <c r="A6089" s="3">
        <v>46238.950787037043</v>
      </c>
      <c r="B6089" s="1">
        <v>10.85</v>
      </c>
      <c r="C6089" s="1">
        <v>9.41</v>
      </c>
      <c r="D6089" s="1">
        <v>0.75</v>
      </c>
      <c r="E6089" s="1" t="s">
        <v>115</v>
      </c>
      <c r="F6089" s="1" t="s">
        <v>115</v>
      </c>
      <c r="G6089" s="1" t="s">
        <v>115</v>
      </c>
      <c r="H6089" s="1" t="str">
        <f>VLOOKUP(F6089,Countries!$A$1:$B$161,2,0)</f>
        <v>Switzerland</v>
      </c>
    </row>
    <row r="6090" spans="1:8" x14ac:dyDescent="0.3">
      <c r="A6090" s="3">
        <v>46238.943877314807</v>
      </c>
      <c r="B6090" s="1">
        <v>7.48</v>
      </c>
      <c r="C6090" s="1">
        <v>6.49</v>
      </c>
      <c r="D6090" s="1">
        <v>0.48</v>
      </c>
      <c r="E6090" s="1" t="s">
        <v>123</v>
      </c>
      <c r="F6090" s="1" t="s">
        <v>123</v>
      </c>
      <c r="G6090" s="1" t="s">
        <v>123</v>
      </c>
      <c r="H6090" s="1" t="str">
        <f>VLOOKUP(F6090,Countries!$A$1:$B$161,2,0)</f>
        <v>France</v>
      </c>
    </row>
    <row r="6091" spans="1:8" x14ac:dyDescent="0.3">
      <c r="A6091" s="3">
        <v>46238.942569444444</v>
      </c>
      <c r="B6091" s="1">
        <v>6.37</v>
      </c>
      <c r="C6091" s="1">
        <v>5.52</v>
      </c>
      <c r="D6091" s="1">
        <v>0.54</v>
      </c>
      <c r="E6091" s="1" t="s">
        <v>113</v>
      </c>
      <c r="F6091" s="1" t="s">
        <v>113</v>
      </c>
      <c r="G6091" s="1" t="s">
        <v>113</v>
      </c>
      <c r="H6091" s="1" t="str">
        <f>VLOOKUP(F6091,Countries!$A$1:$B$161,2,0)</f>
        <v>United States of America</v>
      </c>
    </row>
    <row r="6092" spans="1:8" x14ac:dyDescent="0.3">
      <c r="A6092" s="3">
        <v>46238.940578703703</v>
      </c>
      <c r="B6092" s="1">
        <v>6.37</v>
      </c>
      <c r="C6092" s="1">
        <v>5.52</v>
      </c>
      <c r="D6092" s="1">
        <v>0.54</v>
      </c>
      <c r="E6092" s="1" t="s">
        <v>113</v>
      </c>
      <c r="F6092" s="1" t="s">
        <v>113</v>
      </c>
      <c r="G6092" s="1" t="s">
        <v>113</v>
      </c>
      <c r="H6092" s="1" t="str">
        <f>VLOOKUP(F6092,Countries!$A$1:$B$161,2,0)</f>
        <v>United States of America</v>
      </c>
    </row>
    <row r="6093" spans="1:8" x14ac:dyDescent="0.3">
      <c r="A6093" s="3">
        <v>46238.940011574072</v>
      </c>
      <c r="B6093" s="1">
        <v>59.03</v>
      </c>
      <c r="C6093" s="1">
        <v>51.2</v>
      </c>
      <c r="D6093" s="1">
        <v>2.93</v>
      </c>
      <c r="E6093" s="1" t="s">
        <v>113</v>
      </c>
      <c r="F6093" s="1" t="s">
        <v>113</v>
      </c>
      <c r="G6093" s="1" t="s">
        <v>113</v>
      </c>
      <c r="H6093" s="1" t="str">
        <f>VLOOKUP(F6093,Countries!$A$1:$B$161,2,0)</f>
        <v>United States of America</v>
      </c>
    </row>
    <row r="6094" spans="1:8" x14ac:dyDescent="0.3">
      <c r="A6094" s="3">
        <v>46238.936689814807</v>
      </c>
      <c r="B6094" s="1">
        <v>59.03</v>
      </c>
      <c r="C6094" s="1">
        <v>51.2</v>
      </c>
      <c r="D6094" s="1">
        <v>2.93</v>
      </c>
      <c r="E6094" s="1" t="s">
        <v>113</v>
      </c>
      <c r="F6094" s="1" t="s">
        <v>113</v>
      </c>
      <c r="G6094" s="1" t="s">
        <v>113</v>
      </c>
      <c r="H6094" s="1" t="str">
        <f>VLOOKUP(F6094,Countries!$A$1:$B$161,2,0)</f>
        <v>United States of America</v>
      </c>
    </row>
    <row r="6095" spans="1:8" x14ac:dyDescent="0.3">
      <c r="A6095" s="3">
        <v>46238.93377314815</v>
      </c>
      <c r="B6095" s="1">
        <v>6.37</v>
      </c>
      <c r="C6095" s="1">
        <v>5.52</v>
      </c>
      <c r="D6095" s="1">
        <v>0.54</v>
      </c>
      <c r="E6095" s="1" t="s">
        <v>113</v>
      </c>
      <c r="F6095" s="1" t="s">
        <v>113</v>
      </c>
      <c r="G6095" s="1" t="s">
        <v>113</v>
      </c>
      <c r="H6095" s="1" t="str">
        <f>VLOOKUP(F6095,Countries!$A$1:$B$161,2,0)</f>
        <v>United States of America</v>
      </c>
    </row>
    <row r="6096" spans="1:8" x14ac:dyDescent="0.3">
      <c r="A6096" s="3">
        <v>46238.930567129632</v>
      </c>
      <c r="B6096" s="1">
        <v>6.37</v>
      </c>
      <c r="C6096" s="1">
        <v>5.52</v>
      </c>
      <c r="D6096" s="1">
        <v>0.54</v>
      </c>
      <c r="E6096" s="1" t="s">
        <v>113</v>
      </c>
      <c r="F6096" s="1" t="s">
        <v>113</v>
      </c>
      <c r="G6096" s="1" t="s">
        <v>113</v>
      </c>
      <c r="H6096" s="1" t="str">
        <f>VLOOKUP(F6096,Countries!$A$1:$B$161,2,0)</f>
        <v>United States of America</v>
      </c>
    </row>
    <row r="6097" spans="1:8" x14ac:dyDescent="0.3">
      <c r="A6097" s="3">
        <v>46238.927222222221</v>
      </c>
      <c r="B6097" s="1">
        <v>4.99</v>
      </c>
      <c r="C6097" s="1">
        <v>4.33</v>
      </c>
      <c r="D6097" s="1">
        <v>0.48</v>
      </c>
      <c r="E6097" s="1" t="s">
        <v>113</v>
      </c>
      <c r="F6097" s="1" t="s">
        <v>113</v>
      </c>
      <c r="G6097" s="1" t="s">
        <v>113</v>
      </c>
      <c r="H6097" s="1" t="str">
        <f>VLOOKUP(F6097,Countries!$A$1:$B$161,2,0)</f>
        <v>United States of America</v>
      </c>
    </row>
    <row r="6098" spans="1:8" x14ac:dyDescent="0.3">
      <c r="A6098" s="3">
        <v>46238.922766203701</v>
      </c>
      <c r="B6098" s="1">
        <v>10.62</v>
      </c>
      <c r="C6098" s="1">
        <v>9.2100000000000009</v>
      </c>
      <c r="D6098" s="1">
        <v>0.73</v>
      </c>
      <c r="E6098" s="1" t="s">
        <v>113</v>
      </c>
      <c r="F6098" s="1" t="s">
        <v>113</v>
      </c>
      <c r="G6098" s="1" t="s">
        <v>113</v>
      </c>
      <c r="H6098" s="1" t="str">
        <f>VLOOKUP(F6098,Countries!$A$1:$B$161,2,0)</f>
        <v>United States of America</v>
      </c>
    </row>
    <row r="6099" spans="1:8" x14ac:dyDescent="0.3">
      <c r="A6099" s="3">
        <v>46238.920601851853</v>
      </c>
      <c r="B6099" s="1">
        <v>3.73</v>
      </c>
      <c r="C6099" s="1">
        <v>3.24</v>
      </c>
      <c r="D6099" s="1">
        <v>0.36</v>
      </c>
      <c r="E6099" s="1" t="s">
        <v>123</v>
      </c>
      <c r="F6099" s="1" t="s">
        <v>123</v>
      </c>
      <c r="G6099" s="1" t="s">
        <v>123</v>
      </c>
      <c r="H6099" s="1" t="str">
        <f>VLOOKUP(F6099,Countries!$A$1:$B$161,2,0)</f>
        <v>France</v>
      </c>
    </row>
    <row r="6100" spans="1:8" x14ac:dyDescent="0.3">
      <c r="A6100" s="3">
        <v>46238.918969907398</v>
      </c>
      <c r="B6100" s="1">
        <v>10.62</v>
      </c>
      <c r="C6100" s="1">
        <v>9.2100000000000009</v>
      </c>
      <c r="D6100" s="1">
        <v>0.73</v>
      </c>
      <c r="E6100" s="1" t="s">
        <v>113</v>
      </c>
      <c r="F6100" s="1" t="s">
        <v>113</v>
      </c>
      <c r="G6100" s="1" t="s">
        <v>113</v>
      </c>
      <c r="H6100" s="1" t="str">
        <f>VLOOKUP(F6100,Countries!$A$1:$B$161,2,0)</f>
        <v>United States of America</v>
      </c>
    </row>
    <row r="6101" spans="1:8" x14ac:dyDescent="0.3">
      <c r="A6101" s="3">
        <v>46238.916562500002</v>
      </c>
      <c r="B6101" s="1">
        <v>6.37</v>
      </c>
      <c r="C6101" s="1">
        <v>5.52</v>
      </c>
      <c r="D6101" s="1">
        <v>0.54</v>
      </c>
      <c r="E6101" s="1" t="s">
        <v>113</v>
      </c>
      <c r="F6101" s="1" t="s">
        <v>113</v>
      </c>
      <c r="G6101" s="1" t="s">
        <v>113</v>
      </c>
      <c r="H6101" s="1" t="str">
        <f>VLOOKUP(F6101,Countries!$A$1:$B$161,2,0)</f>
        <v>United States of America</v>
      </c>
    </row>
    <row r="6102" spans="1:8" x14ac:dyDescent="0.3">
      <c r="A6102" s="3">
        <v>46238.914155092592</v>
      </c>
      <c r="B6102" s="1">
        <v>7.04</v>
      </c>
      <c r="C6102" s="1">
        <v>6.1</v>
      </c>
      <c r="D6102" s="1">
        <v>0.56999999999999995</v>
      </c>
      <c r="E6102" s="1" t="s">
        <v>163</v>
      </c>
      <c r="F6102" s="1" t="s">
        <v>163</v>
      </c>
      <c r="G6102" s="1" t="s">
        <v>163</v>
      </c>
      <c r="H6102" s="1" t="str">
        <f>VLOOKUP(F6102,Countries!$A$1:$B$161,2,0)</f>
        <v>Saudi Arabia</v>
      </c>
    </row>
    <row r="6103" spans="1:8" x14ac:dyDescent="0.3">
      <c r="A6103" s="3">
        <v>46238.90929398148</v>
      </c>
      <c r="B6103" s="1">
        <v>10.51</v>
      </c>
      <c r="C6103" s="1">
        <v>9.11</v>
      </c>
      <c r="D6103" s="1">
        <v>0.73</v>
      </c>
      <c r="E6103" s="1" t="s">
        <v>132</v>
      </c>
      <c r="F6103" s="1" t="s">
        <v>132</v>
      </c>
      <c r="G6103" s="1" t="s">
        <v>132</v>
      </c>
      <c r="H6103" s="1" t="str">
        <f>VLOOKUP(F6103,Countries!$A$1:$B$161,2,0)</f>
        <v>Canada</v>
      </c>
    </row>
    <row r="6104" spans="1:8" x14ac:dyDescent="0.3">
      <c r="A6104" s="3">
        <v>46238.90896990741</v>
      </c>
      <c r="B6104" s="1">
        <v>159.56</v>
      </c>
      <c r="C6104" s="1">
        <v>138.36000000000001</v>
      </c>
      <c r="D6104" s="1">
        <v>7.52</v>
      </c>
      <c r="E6104" s="1" t="s">
        <v>113</v>
      </c>
      <c r="F6104" s="1" t="s">
        <v>113</v>
      </c>
      <c r="G6104" s="1" t="s">
        <v>113</v>
      </c>
      <c r="H6104" s="1" t="str">
        <f>VLOOKUP(F6104,Countries!$A$1:$B$161,2,0)</f>
        <v>United States of America</v>
      </c>
    </row>
    <row r="6105" spans="1:8" x14ac:dyDescent="0.3">
      <c r="A6105" s="3">
        <v>46238.90829861111</v>
      </c>
      <c r="B6105" s="1">
        <v>14.77</v>
      </c>
      <c r="C6105" s="1">
        <v>12.81</v>
      </c>
      <c r="D6105" s="1">
        <v>0.93</v>
      </c>
      <c r="E6105" s="1" t="s">
        <v>113</v>
      </c>
      <c r="F6105" s="1" t="s">
        <v>113</v>
      </c>
      <c r="G6105" s="1" t="s">
        <v>113</v>
      </c>
      <c r="H6105" s="1" t="str">
        <f>VLOOKUP(F6105,Countries!$A$1:$B$161,2,0)</f>
        <v>United States of America</v>
      </c>
    </row>
    <row r="6106" spans="1:8" x14ac:dyDescent="0.3">
      <c r="A6106" s="3">
        <v>46238.904953703714</v>
      </c>
      <c r="B6106" s="1">
        <v>14.77</v>
      </c>
      <c r="C6106" s="1">
        <v>12.81</v>
      </c>
      <c r="D6106" s="1">
        <v>0.93</v>
      </c>
      <c r="E6106" s="1" t="s">
        <v>113</v>
      </c>
      <c r="F6106" s="1" t="s">
        <v>113</v>
      </c>
      <c r="G6106" s="1" t="s">
        <v>113</v>
      </c>
      <c r="H6106" s="1" t="str">
        <f>VLOOKUP(F6106,Countries!$A$1:$B$161,2,0)</f>
        <v>United States of America</v>
      </c>
    </row>
    <row r="6107" spans="1:8" x14ac:dyDescent="0.3">
      <c r="A6107" s="3">
        <v>46238.903912037043</v>
      </c>
      <c r="B6107" s="1">
        <v>11.69</v>
      </c>
      <c r="C6107" s="1">
        <v>10.14</v>
      </c>
      <c r="D6107" s="1">
        <v>0.78</v>
      </c>
      <c r="E6107" s="1" t="s">
        <v>113</v>
      </c>
      <c r="F6107" s="1" t="s">
        <v>113</v>
      </c>
      <c r="G6107" s="1" t="s">
        <v>113</v>
      </c>
      <c r="H6107" s="1" t="str">
        <f>VLOOKUP(F6107,Countries!$A$1:$B$161,2,0)</f>
        <v>United States of America</v>
      </c>
    </row>
    <row r="6108" spans="1:8" x14ac:dyDescent="0.3">
      <c r="A6108" s="3">
        <v>46238.903391203698</v>
      </c>
      <c r="B6108" s="1">
        <v>10.85</v>
      </c>
      <c r="C6108" s="1">
        <v>9.41</v>
      </c>
      <c r="D6108" s="1">
        <v>0.75</v>
      </c>
      <c r="E6108" s="1" t="s">
        <v>115</v>
      </c>
      <c r="F6108" s="1" t="s">
        <v>115</v>
      </c>
      <c r="G6108" s="1" t="s">
        <v>115</v>
      </c>
      <c r="H6108" s="1" t="str">
        <f>VLOOKUP(F6108,Countries!$A$1:$B$161,2,0)</f>
        <v>Switzerland</v>
      </c>
    </row>
    <row r="6109" spans="1:8" x14ac:dyDescent="0.3">
      <c r="A6109" s="3">
        <v>46238.903148148151</v>
      </c>
      <c r="B6109" s="1">
        <v>159.56</v>
      </c>
      <c r="C6109" s="1">
        <v>138.36000000000001</v>
      </c>
      <c r="D6109" s="1">
        <v>7.52</v>
      </c>
      <c r="E6109" s="1" t="s">
        <v>113</v>
      </c>
      <c r="F6109" s="1" t="s">
        <v>113</v>
      </c>
      <c r="G6109" s="1" t="s">
        <v>113</v>
      </c>
      <c r="H6109" s="1" t="str">
        <f>VLOOKUP(F6109,Countries!$A$1:$B$161,2,0)</f>
        <v>United States of America</v>
      </c>
    </row>
    <row r="6110" spans="1:8" x14ac:dyDescent="0.3">
      <c r="A6110" s="3">
        <v>46238.894224537027</v>
      </c>
      <c r="B6110" s="1">
        <v>10.85</v>
      </c>
      <c r="C6110" s="1">
        <v>9.41</v>
      </c>
      <c r="D6110" s="1">
        <v>0.75</v>
      </c>
      <c r="E6110" s="1" t="s">
        <v>115</v>
      </c>
      <c r="F6110" s="1" t="s">
        <v>115</v>
      </c>
      <c r="G6110" s="1" t="s">
        <v>115</v>
      </c>
      <c r="H6110" s="1" t="str">
        <f>VLOOKUP(F6110,Countries!$A$1:$B$161,2,0)</f>
        <v>Switzerland</v>
      </c>
    </row>
    <row r="6111" spans="1:8" x14ac:dyDescent="0.3">
      <c r="A6111" s="3">
        <v>46238.893900462957</v>
      </c>
      <c r="B6111" s="1">
        <v>68.5</v>
      </c>
      <c r="C6111" s="1">
        <v>59.4</v>
      </c>
      <c r="D6111" s="1">
        <v>2.33</v>
      </c>
      <c r="E6111" s="1" t="s">
        <v>147</v>
      </c>
      <c r="F6111" s="1" t="s">
        <v>147</v>
      </c>
      <c r="G6111" s="1" t="s">
        <v>147</v>
      </c>
      <c r="H6111" s="1" t="str">
        <f>VLOOKUP(F6111,Countries!$A$1:$B$161,2,0)</f>
        <v>Germany</v>
      </c>
    </row>
    <row r="6112" spans="1:8" x14ac:dyDescent="0.3">
      <c r="A6112" s="3">
        <v>46238.892847222232</v>
      </c>
      <c r="B6112" s="1">
        <v>7.39</v>
      </c>
      <c r="C6112" s="1">
        <v>6.41</v>
      </c>
      <c r="D6112" s="1">
        <v>0.48</v>
      </c>
      <c r="E6112" s="1" t="s">
        <v>147</v>
      </c>
      <c r="F6112" s="1" t="s">
        <v>147</v>
      </c>
      <c r="G6112" s="1" t="s">
        <v>147</v>
      </c>
      <c r="H6112" s="1" t="str">
        <f>VLOOKUP(F6112,Countries!$A$1:$B$161,2,0)</f>
        <v>Germany</v>
      </c>
    </row>
    <row r="6113" spans="1:8" x14ac:dyDescent="0.3">
      <c r="A6113" s="3">
        <v>46238.891250000001</v>
      </c>
      <c r="B6113" s="1">
        <v>85.09</v>
      </c>
      <c r="C6113" s="1">
        <v>73.790000000000006</v>
      </c>
      <c r="D6113" s="1">
        <v>4.13</v>
      </c>
      <c r="E6113" s="1" t="s">
        <v>113</v>
      </c>
      <c r="F6113" s="1" t="s">
        <v>113</v>
      </c>
      <c r="G6113" s="1" t="s">
        <v>113</v>
      </c>
      <c r="H6113" s="1" t="str">
        <f>VLOOKUP(F6113,Countries!$A$1:$B$161,2,0)</f>
        <v>United States of America</v>
      </c>
    </row>
    <row r="6114" spans="1:8" x14ac:dyDescent="0.3">
      <c r="A6114" s="3">
        <v>46238.889872685177</v>
      </c>
      <c r="B6114" s="1">
        <v>12.33</v>
      </c>
      <c r="C6114" s="1">
        <v>10.69</v>
      </c>
      <c r="D6114" s="1">
        <v>0.62</v>
      </c>
      <c r="E6114" s="1" t="s">
        <v>147</v>
      </c>
      <c r="F6114" s="1" t="s">
        <v>147</v>
      </c>
      <c r="G6114" s="1" t="s">
        <v>147</v>
      </c>
      <c r="H6114" s="1" t="str">
        <f>VLOOKUP(F6114,Countries!$A$1:$B$161,2,0)</f>
        <v>Germany</v>
      </c>
    </row>
    <row r="6115" spans="1:8" x14ac:dyDescent="0.3">
      <c r="A6115" s="3">
        <v>46238.888356481482</v>
      </c>
      <c r="B6115" s="1">
        <v>7.39</v>
      </c>
      <c r="C6115" s="1">
        <v>6.41</v>
      </c>
      <c r="D6115" s="1">
        <v>0.48</v>
      </c>
      <c r="E6115" s="1" t="s">
        <v>147</v>
      </c>
      <c r="F6115" s="1" t="s">
        <v>147</v>
      </c>
      <c r="G6115" s="1" t="s">
        <v>147</v>
      </c>
      <c r="H6115" s="1" t="str">
        <f>VLOOKUP(F6115,Countries!$A$1:$B$161,2,0)</f>
        <v>Germany</v>
      </c>
    </row>
    <row r="6116" spans="1:8" x14ac:dyDescent="0.3">
      <c r="A6116" s="3">
        <v>46238.888067129628</v>
      </c>
      <c r="B6116" s="1">
        <v>6.37</v>
      </c>
      <c r="C6116" s="1">
        <v>5.52</v>
      </c>
      <c r="D6116" s="1">
        <v>0.54</v>
      </c>
      <c r="E6116" s="1" t="s">
        <v>113</v>
      </c>
      <c r="F6116" s="1" t="s">
        <v>113</v>
      </c>
      <c r="G6116" s="1" t="s">
        <v>113</v>
      </c>
      <c r="H6116" s="1" t="str">
        <f>VLOOKUP(F6116,Countries!$A$1:$B$161,2,0)</f>
        <v>United States of America</v>
      </c>
    </row>
    <row r="6117" spans="1:8" x14ac:dyDescent="0.3">
      <c r="A6117" s="3">
        <v>46238.887199074074</v>
      </c>
      <c r="B6117" s="1">
        <v>3.18</v>
      </c>
      <c r="C6117" s="1">
        <v>2.76</v>
      </c>
      <c r="D6117" s="1">
        <v>0.4</v>
      </c>
      <c r="E6117" s="1" t="s">
        <v>113</v>
      </c>
      <c r="F6117" s="1" t="s">
        <v>113</v>
      </c>
      <c r="G6117" s="1" t="s">
        <v>113</v>
      </c>
      <c r="H6117" s="1" t="str">
        <f>VLOOKUP(F6117,Countries!$A$1:$B$161,2,0)</f>
        <v>United States of America</v>
      </c>
    </row>
    <row r="6118" spans="1:8" x14ac:dyDescent="0.3">
      <c r="A6118" s="3">
        <v>46238.886678240742</v>
      </c>
      <c r="B6118" s="1">
        <v>2.99</v>
      </c>
      <c r="C6118" s="1">
        <v>2.59</v>
      </c>
      <c r="D6118" s="1">
        <v>0.38</v>
      </c>
      <c r="E6118" s="1" t="s">
        <v>113</v>
      </c>
      <c r="F6118" s="1" t="s">
        <v>113</v>
      </c>
      <c r="G6118" s="1" t="s">
        <v>113</v>
      </c>
      <c r="H6118" s="1" t="str">
        <f>VLOOKUP(F6118,Countries!$A$1:$B$161,2,0)</f>
        <v>United States of America</v>
      </c>
    </row>
    <row r="6119" spans="1:8" x14ac:dyDescent="0.3">
      <c r="A6119" s="3">
        <v>46238.879849537043</v>
      </c>
      <c r="B6119" s="1">
        <v>10.63</v>
      </c>
      <c r="C6119" s="1">
        <v>9.2200000000000006</v>
      </c>
      <c r="D6119" s="1">
        <v>0.56999999999999995</v>
      </c>
      <c r="E6119" s="1" t="s">
        <v>189</v>
      </c>
      <c r="F6119" s="1" t="s">
        <v>189</v>
      </c>
      <c r="G6119" s="1" t="s">
        <v>189</v>
      </c>
      <c r="H6119" s="1" t="str">
        <f>VLOOKUP(F6119,Countries!$A$1:$B$161,2,0)</f>
        <v>Austria</v>
      </c>
    </row>
    <row r="6120" spans="1:8" x14ac:dyDescent="0.3">
      <c r="A6120" s="3">
        <v>46238.878518518519</v>
      </c>
      <c r="B6120" s="1">
        <v>10.85</v>
      </c>
      <c r="C6120" s="1">
        <v>9.41</v>
      </c>
      <c r="D6120" s="1">
        <v>0.75</v>
      </c>
      <c r="E6120" s="1" t="s">
        <v>115</v>
      </c>
      <c r="F6120" s="1" t="s">
        <v>115</v>
      </c>
      <c r="G6120" s="1" t="s">
        <v>115</v>
      </c>
      <c r="H6120" s="1" t="str">
        <f>VLOOKUP(F6120,Countries!$A$1:$B$161,2,0)</f>
        <v>Switzerland</v>
      </c>
    </row>
    <row r="6121" spans="1:8" x14ac:dyDescent="0.3">
      <c r="A6121" s="3">
        <v>46238.86855324074</v>
      </c>
      <c r="B6121" s="1">
        <v>42.54</v>
      </c>
      <c r="C6121" s="1">
        <v>36.89</v>
      </c>
      <c r="D6121" s="1">
        <v>2.19</v>
      </c>
      <c r="E6121" s="1" t="s">
        <v>113</v>
      </c>
      <c r="F6121" s="1" t="s">
        <v>113</v>
      </c>
      <c r="G6121" s="1" t="s">
        <v>113</v>
      </c>
      <c r="H6121" s="1" t="str">
        <f>VLOOKUP(F6121,Countries!$A$1:$B$161,2,0)</f>
        <v>United States of America</v>
      </c>
    </row>
    <row r="6122" spans="1:8" x14ac:dyDescent="0.3">
      <c r="A6122" s="3">
        <v>46238.867384259262</v>
      </c>
      <c r="B6122" s="1">
        <v>14.77</v>
      </c>
      <c r="C6122" s="1">
        <v>12.81</v>
      </c>
      <c r="D6122" s="1">
        <v>0.93</v>
      </c>
      <c r="E6122" s="1" t="s">
        <v>113</v>
      </c>
      <c r="F6122" s="1" t="s">
        <v>113</v>
      </c>
      <c r="G6122" s="1" t="s">
        <v>113</v>
      </c>
      <c r="H6122" s="1" t="str">
        <f>VLOOKUP(F6122,Countries!$A$1:$B$161,2,0)</f>
        <v>United States of America</v>
      </c>
    </row>
    <row r="6123" spans="1:8" x14ac:dyDescent="0.3">
      <c r="A6123" s="3">
        <v>46238.864490740743</v>
      </c>
      <c r="B6123" s="1">
        <v>14.77</v>
      </c>
      <c r="C6123" s="1">
        <v>12.81</v>
      </c>
      <c r="D6123" s="1">
        <v>0.93</v>
      </c>
      <c r="E6123" s="1" t="s">
        <v>113</v>
      </c>
      <c r="F6123" s="1" t="s">
        <v>113</v>
      </c>
      <c r="G6123" s="1" t="s">
        <v>113</v>
      </c>
      <c r="H6123" s="1" t="str">
        <f>VLOOKUP(F6123,Countries!$A$1:$B$161,2,0)</f>
        <v>United States of America</v>
      </c>
    </row>
    <row r="6124" spans="1:8" x14ac:dyDescent="0.3">
      <c r="A6124" s="3">
        <v>46238.864155092589</v>
      </c>
      <c r="B6124" s="1">
        <v>10.85</v>
      </c>
      <c r="C6124" s="1">
        <v>9.41</v>
      </c>
      <c r="D6124" s="1">
        <v>0.75</v>
      </c>
      <c r="E6124" s="1" t="s">
        <v>115</v>
      </c>
      <c r="F6124" s="1" t="s">
        <v>115</v>
      </c>
      <c r="G6124" s="1" t="s">
        <v>115</v>
      </c>
      <c r="H6124" s="1" t="str">
        <f>VLOOKUP(F6124,Countries!$A$1:$B$161,2,0)</f>
        <v>Switzerland</v>
      </c>
    </row>
    <row r="6125" spans="1:8" x14ac:dyDescent="0.3">
      <c r="A6125" s="3">
        <v>46238.862835648149</v>
      </c>
      <c r="B6125" s="1">
        <v>6.37</v>
      </c>
      <c r="C6125" s="1">
        <v>5.52</v>
      </c>
      <c r="D6125" s="1">
        <v>0.54</v>
      </c>
      <c r="E6125" s="1" t="s">
        <v>113</v>
      </c>
      <c r="F6125" s="1" t="s">
        <v>113</v>
      </c>
      <c r="G6125" s="1" t="s">
        <v>113</v>
      </c>
      <c r="H6125" s="1" t="str">
        <f>VLOOKUP(F6125,Countries!$A$1:$B$161,2,0)</f>
        <v>United States of America</v>
      </c>
    </row>
    <row r="6126" spans="1:8" x14ac:dyDescent="0.3">
      <c r="A6126" s="3">
        <v>46238.862615740742</v>
      </c>
      <c r="B6126" s="1">
        <v>7.48</v>
      </c>
      <c r="C6126" s="1">
        <v>6.49</v>
      </c>
      <c r="D6126" s="1">
        <v>0.48</v>
      </c>
      <c r="E6126" s="1" t="s">
        <v>123</v>
      </c>
      <c r="F6126" s="1" t="s">
        <v>123</v>
      </c>
      <c r="G6126" s="1" t="s">
        <v>123</v>
      </c>
      <c r="H6126" s="1" t="str">
        <f>VLOOKUP(F6126,Countries!$A$1:$B$161,2,0)</f>
        <v>France</v>
      </c>
    </row>
    <row r="6127" spans="1:8" x14ac:dyDescent="0.3">
      <c r="A6127" s="3">
        <v>46238.856979166667</v>
      </c>
      <c r="B6127" s="1">
        <v>2.99</v>
      </c>
      <c r="C6127" s="1">
        <v>2.59</v>
      </c>
      <c r="D6127" s="1">
        <v>0.38</v>
      </c>
      <c r="E6127" s="1" t="s">
        <v>113</v>
      </c>
      <c r="F6127" s="1" t="s">
        <v>113</v>
      </c>
      <c r="G6127" s="1" t="s">
        <v>113</v>
      </c>
      <c r="H6127" s="1" t="str">
        <f>VLOOKUP(F6127,Countries!$A$1:$B$161,2,0)</f>
        <v>United States of America</v>
      </c>
    </row>
    <row r="6128" spans="1:8" x14ac:dyDescent="0.3">
      <c r="A6128" s="3">
        <v>46238.85596064815</v>
      </c>
      <c r="B6128" s="1">
        <v>10.85</v>
      </c>
      <c r="C6128" s="1">
        <v>9.41</v>
      </c>
      <c r="D6128" s="1">
        <v>0.75</v>
      </c>
      <c r="E6128" s="1" t="s">
        <v>115</v>
      </c>
      <c r="F6128" s="1" t="s">
        <v>115</v>
      </c>
      <c r="G6128" s="1" t="s">
        <v>115</v>
      </c>
      <c r="H6128" s="1" t="str">
        <f>VLOOKUP(F6128,Countries!$A$1:$B$161,2,0)</f>
        <v>Switzerland</v>
      </c>
    </row>
    <row r="6129" spans="1:8" x14ac:dyDescent="0.3">
      <c r="A6129" s="3">
        <v>46238.841863425929</v>
      </c>
      <c r="B6129" s="1">
        <v>10.85</v>
      </c>
      <c r="C6129" s="1">
        <v>9.41</v>
      </c>
      <c r="D6129" s="1">
        <v>0.75</v>
      </c>
      <c r="E6129" s="1" t="s">
        <v>115</v>
      </c>
      <c r="F6129" s="1" t="s">
        <v>115</v>
      </c>
      <c r="G6129" s="1" t="s">
        <v>115</v>
      </c>
      <c r="H6129" s="1" t="str">
        <f>VLOOKUP(F6129,Countries!$A$1:$B$161,2,0)</f>
        <v>Switzerland</v>
      </c>
    </row>
    <row r="6130" spans="1:8" x14ac:dyDescent="0.3">
      <c r="A6130" s="3">
        <v>46238.835324074083</v>
      </c>
      <c r="B6130" s="1">
        <v>6.37</v>
      </c>
      <c r="C6130" s="1">
        <v>5.52</v>
      </c>
      <c r="D6130" s="1">
        <v>0.54</v>
      </c>
      <c r="E6130" s="1" t="s">
        <v>113</v>
      </c>
      <c r="F6130" s="1" t="s">
        <v>113</v>
      </c>
      <c r="G6130" s="1" t="s">
        <v>113</v>
      </c>
      <c r="H6130" s="1" t="str">
        <f>VLOOKUP(F6130,Countries!$A$1:$B$161,2,0)</f>
        <v>United States of America</v>
      </c>
    </row>
    <row r="6131" spans="1:8" x14ac:dyDescent="0.3">
      <c r="A6131" s="3">
        <v>46238.827789351853</v>
      </c>
      <c r="B6131" s="1">
        <v>37.06</v>
      </c>
      <c r="C6131" s="1">
        <v>32.130000000000003</v>
      </c>
      <c r="D6131" s="1">
        <v>1.37</v>
      </c>
      <c r="E6131" s="1" t="s">
        <v>178</v>
      </c>
      <c r="F6131" s="1" t="s">
        <v>178</v>
      </c>
      <c r="G6131" s="1" t="s">
        <v>178</v>
      </c>
      <c r="H6131" s="1" t="str">
        <f>VLOOKUP(F6131,Countries!$A$1:$B$161,2,0)</f>
        <v>Sweden</v>
      </c>
    </row>
    <row r="6132" spans="1:8" x14ac:dyDescent="0.3">
      <c r="A6132" s="3">
        <v>46238.827523148153</v>
      </c>
      <c r="B6132" s="1">
        <v>7.98</v>
      </c>
      <c r="C6132" s="1">
        <v>6.92</v>
      </c>
      <c r="D6132" s="1">
        <v>0.49</v>
      </c>
      <c r="E6132" s="1" t="s">
        <v>178</v>
      </c>
      <c r="F6132" s="1" t="s">
        <v>178</v>
      </c>
      <c r="G6132" s="1" t="s">
        <v>178</v>
      </c>
      <c r="H6132" s="1" t="str">
        <f>VLOOKUP(F6132,Countries!$A$1:$B$161,2,0)</f>
        <v>Sweden</v>
      </c>
    </row>
    <row r="6133" spans="1:8" x14ac:dyDescent="0.3">
      <c r="A6133" s="3">
        <v>46238.82712962963</v>
      </c>
      <c r="B6133" s="1">
        <v>3.69</v>
      </c>
      <c r="C6133" s="1">
        <v>3.2</v>
      </c>
      <c r="D6133" s="1">
        <v>0.36</v>
      </c>
      <c r="E6133" s="1" t="s">
        <v>159</v>
      </c>
      <c r="F6133" s="1" t="s">
        <v>159</v>
      </c>
      <c r="G6133" s="1" t="s">
        <v>159</v>
      </c>
      <c r="H6133" s="1" t="str">
        <f>VLOOKUP(F6133,Countries!$A$1:$B$161,2,0)</f>
        <v>Romania</v>
      </c>
    </row>
    <row r="6134" spans="1:8" x14ac:dyDescent="0.3">
      <c r="A6134" s="3">
        <v>46238.825844907413</v>
      </c>
      <c r="B6134" s="1">
        <v>10.85</v>
      </c>
      <c r="C6134" s="1">
        <v>9.41</v>
      </c>
      <c r="D6134" s="1">
        <v>0.75</v>
      </c>
      <c r="E6134" s="1" t="s">
        <v>115</v>
      </c>
      <c r="F6134" s="1" t="s">
        <v>115</v>
      </c>
      <c r="G6134" s="1" t="s">
        <v>115</v>
      </c>
      <c r="H6134" s="1" t="str">
        <f>VLOOKUP(F6134,Countries!$A$1:$B$161,2,0)</f>
        <v>Switzerland</v>
      </c>
    </row>
    <row r="6135" spans="1:8" x14ac:dyDescent="0.3">
      <c r="A6135" s="3">
        <v>46238.816307870373</v>
      </c>
      <c r="B6135" s="1">
        <v>14.78</v>
      </c>
      <c r="C6135" s="1">
        <v>12.82</v>
      </c>
      <c r="D6135" s="1">
        <v>0.93</v>
      </c>
      <c r="E6135" s="1" t="s">
        <v>113</v>
      </c>
      <c r="F6135" s="1" t="s">
        <v>113</v>
      </c>
      <c r="G6135" s="1" t="s">
        <v>113</v>
      </c>
      <c r="H6135" s="1" t="str">
        <f>VLOOKUP(F6135,Countries!$A$1:$B$161,2,0)</f>
        <v>United States of America</v>
      </c>
    </row>
    <row r="6136" spans="1:8" x14ac:dyDescent="0.3">
      <c r="A6136" s="3">
        <v>46238.808738425927</v>
      </c>
      <c r="B6136" s="1">
        <v>3.73</v>
      </c>
      <c r="C6136" s="1">
        <v>3.23</v>
      </c>
      <c r="D6136" s="1">
        <v>0.41</v>
      </c>
      <c r="E6136" s="1" t="s">
        <v>131</v>
      </c>
      <c r="F6136" s="1" t="s">
        <v>131</v>
      </c>
      <c r="G6136" s="1" t="s">
        <v>131</v>
      </c>
      <c r="H6136" s="1" t="str">
        <f>VLOOKUP(F6136,Countries!$A$1:$B$161,2,0)</f>
        <v>Ukraine</v>
      </c>
    </row>
    <row r="6137" spans="1:8" x14ac:dyDescent="0.3">
      <c r="A6137" s="3">
        <v>46238.801979166667</v>
      </c>
      <c r="B6137" s="1">
        <v>45.12</v>
      </c>
      <c r="C6137" s="1">
        <v>39.119999999999997</v>
      </c>
      <c r="D6137" s="1">
        <v>1.62</v>
      </c>
      <c r="E6137" s="1" t="s">
        <v>180</v>
      </c>
      <c r="F6137" s="1" t="s">
        <v>180</v>
      </c>
      <c r="G6137" s="1" t="s">
        <v>180</v>
      </c>
      <c r="H6137" s="1" t="str">
        <f>VLOOKUP(F6137,Countries!$A$1:$B$161,2,0)</f>
        <v>Portugal</v>
      </c>
    </row>
    <row r="6138" spans="1:8" x14ac:dyDescent="0.3">
      <c r="A6138" s="3">
        <v>46238.800416666672</v>
      </c>
      <c r="B6138" s="1">
        <v>15.43</v>
      </c>
      <c r="C6138" s="1">
        <v>13.38</v>
      </c>
      <c r="D6138" s="1">
        <v>0.95</v>
      </c>
      <c r="E6138" s="1" t="s">
        <v>130</v>
      </c>
      <c r="F6138" s="1" t="s">
        <v>130</v>
      </c>
      <c r="G6138" s="1" t="s">
        <v>130</v>
      </c>
      <c r="H6138" s="1" t="str">
        <f>VLOOKUP(F6138,Countries!$A$1:$B$161,2,0)</f>
        <v>Australia</v>
      </c>
    </row>
    <row r="6139" spans="1:8" x14ac:dyDescent="0.3">
      <c r="A6139" s="3">
        <v>46238.795844907407</v>
      </c>
      <c r="B6139" s="1">
        <v>5.99</v>
      </c>
      <c r="C6139" s="1">
        <v>5.19</v>
      </c>
      <c r="D6139" s="1">
        <v>0.52</v>
      </c>
      <c r="E6139" s="1" t="s">
        <v>159</v>
      </c>
      <c r="F6139" s="1" t="s">
        <v>199</v>
      </c>
      <c r="G6139" s="1" t="s">
        <v>199</v>
      </c>
      <c r="H6139" s="1" t="str">
        <f>VLOOKUP(F6139,Countries!$A$1:$B$161,2,0)</f>
        <v>Moldova</v>
      </c>
    </row>
    <row r="6140" spans="1:8" x14ac:dyDescent="0.3">
      <c r="A6140" s="3">
        <v>46238.790798611109</v>
      </c>
      <c r="B6140" s="1">
        <v>7.48</v>
      </c>
      <c r="C6140" s="1">
        <v>6.49</v>
      </c>
      <c r="D6140" s="1">
        <v>0.59</v>
      </c>
      <c r="E6140" s="1" t="s">
        <v>114</v>
      </c>
      <c r="F6140" s="1" t="s">
        <v>114</v>
      </c>
      <c r="G6140" s="1" t="s">
        <v>114</v>
      </c>
      <c r="H6140" s="1" t="str">
        <f>VLOOKUP(F6140,Countries!$A$1:$B$161,2,0)</f>
        <v>Philippines</v>
      </c>
    </row>
    <row r="6141" spans="1:8" x14ac:dyDescent="0.3">
      <c r="A6141" s="3">
        <v>46238.789351851847</v>
      </c>
      <c r="B6141" s="1">
        <v>7.21</v>
      </c>
      <c r="C6141" s="1">
        <v>6.26</v>
      </c>
      <c r="D6141" s="1">
        <v>0.47</v>
      </c>
      <c r="E6141" s="1" t="s">
        <v>161</v>
      </c>
      <c r="F6141" s="1" t="s">
        <v>161</v>
      </c>
      <c r="G6141" s="1" t="s">
        <v>161</v>
      </c>
      <c r="H6141" s="1" t="str">
        <f>VLOOKUP(F6141,Countries!$A$1:$B$161,2,0)</f>
        <v>Luxembourg</v>
      </c>
    </row>
    <row r="6142" spans="1:8" x14ac:dyDescent="0.3">
      <c r="A6142" s="3">
        <v>46238.785081018519</v>
      </c>
      <c r="B6142" s="1">
        <v>18.03</v>
      </c>
      <c r="C6142" s="1">
        <v>15.65</v>
      </c>
      <c r="D6142" s="1">
        <v>0.79</v>
      </c>
      <c r="E6142" s="1" t="s">
        <v>180</v>
      </c>
      <c r="F6142" s="1" t="s">
        <v>180</v>
      </c>
      <c r="G6142" s="1" t="s">
        <v>180</v>
      </c>
      <c r="H6142" s="1" t="str">
        <f>VLOOKUP(F6142,Countries!$A$1:$B$161,2,0)</f>
        <v>Portugal</v>
      </c>
    </row>
    <row r="6143" spans="1:8" x14ac:dyDescent="0.3">
      <c r="A6143" s="3">
        <v>46238.7809375</v>
      </c>
      <c r="B6143" s="1">
        <v>17.36</v>
      </c>
      <c r="C6143" s="1">
        <v>15.06</v>
      </c>
      <c r="D6143" s="1">
        <v>0.93</v>
      </c>
      <c r="E6143" s="1" t="s">
        <v>119</v>
      </c>
      <c r="F6143" s="1" t="s">
        <v>119</v>
      </c>
      <c r="G6143" s="1" t="s">
        <v>119</v>
      </c>
      <c r="H6143" s="1" t="str">
        <f>VLOOKUP(F6143,Countries!$A$1:$B$161,2,0)</f>
        <v>Great Britain (United Kingdom)</v>
      </c>
    </row>
    <row r="6144" spans="1:8" x14ac:dyDescent="0.3">
      <c r="A6144" s="3">
        <v>46238.780416666668</v>
      </c>
      <c r="B6144" s="1">
        <v>6.65</v>
      </c>
      <c r="C6144" s="1">
        <v>5.77</v>
      </c>
      <c r="D6144" s="1">
        <v>0.56000000000000005</v>
      </c>
      <c r="E6144" s="1" t="s">
        <v>130</v>
      </c>
      <c r="F6144" s="1" t="s">
        <v>130</v>
      </c>
      <c r="G6144" s="1" t="s">
        <v>130</v>
      </c>
      <c r="H6144" s="1" t="str">
        <f>VLOOKUP(F6144,Countries!$A$1:$B$161,2,0)</f>
        <v>Australia</v>
      </c>
    </row>
    <row r="6145" spans="1:8" x14ac:dyDescent="0.3">
      <c r="A6145" s="3">
        <v>46238.769641203697</v>
      </c>
      <c r="B6145" s="1">
        <v>7.58</v>
      </c>
      <c r="C6145" s="1">
        <v>6.58</v>
      </c>
      <c r="D6145" s="1">
        <v>0.48</v>
      </c>
      <c r="E6145" s="1" t="s">
        <v>113</v>
      </c>
      <c r="F6145" s="1" t="s">
        <v>113</v>
      </c>
      <c r="G6145" s="1" t="s">
        <v>113</v>
      </c>
      <c r="H6145" s="1" t="str">
        <f>VLOOKUP(F6145,Countries!$A$1:$B$161,2,0)</f>
        <v>United States of America</v>
      </c>
    </row>
    <row r="6146" spans="1:8" x14ac:dyDescent="0.3">
      <c r="A6146" s="3">
        <v>46238.769004629627</v>
      </c>
      <c r="B6146" s="1">
        <v>10.62</v>
      </c>
      <c r="C6146" s="1">
        <v>9.2200000000000006</v>
      </c>
      <c r="D6146" s="1">
        <v>0.73</v>
      </c>
      <c r="E6146" s="1" t="s">
        <v>113</v>
      </c>
      <c r="F6146" s="1" t="s">
        <v>113</v>
      </c>
      <c r="G6146" s="1" t="s">
        <v>113</v>
      </c>
      <c r="H6146" s="1" t="str">
        <f>VLOOKUP(F6146,Countries!$A$1:$B$161,2,0)</f>
        <v>United States of America</v>
      </c>
    </row>
    <row r="6147" spans="1:8" x14ac:dyDescent="0.3">
      <c r="A6147" s="3">
        <v>46238.767025462963</v>
      </c>
      <c r="B6147" s="1">
        <v>3.32</v>
      </c>
      <c r="C6147" s="1">
        <v>2.88</v>
      </c>
      <c r="D6147" s="1">
        <v>0.4</v>
      </c>
      <c r="E6147" s="1" t="s">
        <v>121</v>
      </c>
      <c r="F6147" s="1" t="s">
        <v>121</v>
      </c>
      <c r="G6147" s="1" t="s">
        <v>121</v>
      </c>
      <c r="H6147" s="1" t="str">
        <f>VLOOKUP(F6147,Countries!$A$1:$B$161,2,0)</f>
        <v>Japan</v>
      </c>
    </row>
    <row r="6148" spans="1:8" x14ac:dyDescent="0.3">
      <c r="A6148" s="3">
        <v>46238.759166666663</v>
      </c>
      <c r="B6148" s="1">
        <v>14.77</v>
      </c>
      <c r="C6148" s="1">
        <v>12.82</v>
      </c>
      <c r="D6148" s="1">
        <v>0.93</v>
      </c>
      <c r="E6148" s="1" t="s">
        <v>113</v>
      </c>
      <c r="F6148" s="1" t="s">
        <v>113</v>
      </c>
      <c r="G6148" s="1" t="s">
        <v>113</v>
      </c>
      <c r="H6148" s="1" t="str">
        <f>VLOOKUP(F6148,Countries!$A$1:$B$161,2,0)</f>
        <v>United States of America</v>
      </c>
    </row>
    <row r="6149" spans="1:8" x14ac:dyDescent="0.3">
      <c r="A6149" s="3">
        <v>46238.75509259259</v>
      </c>
      <c r="B6149" s="1">
        <v>10.62</v>
      </c>
      <c r="C6149" s="1">
        <v>9.2200000000000006</v>
      </c>
      <c r="D6149" s="1">
        <v>0.73</v>
      </c>
      <c r="E6149" s="1" t="s">
        <v>113</v>
      </c>
      <c r="F6149" s="1" t="s">
        <v>113</v>
      </c>
      <c r="G6149" s="1" t="s">
        <v>113</v>
      </c>
      <c r="H6149" s="1" t="str">
        <f>VLOOKUP(F6149,Countries!$A$1:$B$161,2,0)</f>
        <v>United States of America</v>
      </c>
    </row>
    <row r="6150" spans="1:8" x14ac:dyDescent="0.3">
      <c r="A6150" s="3">
        <v>46238.754571759258</v>
      </c>
      <c r="B6150" s="1">
        <v>10.63</v>
      </c>
      <c r="C6150" s="1">
        <v>9.2200000000000006</v>
      </c>
      <c r="D6150" s="1">
        <v>0.73</v>
      </c>
      <c r="E6150" s="1" t="s">
        <v>113</v>
      </c>
      <c r="F6150" s="1" t="s">
        <v>113</v>
      </c>
      <c r="G6150" s="1" t="s">
        <v>113</v>
      </c>
      <c r="H6150" s="1" t="str">
        <f>VLOOKUP(F6150,Countries!$A$1:$B$161,2,0)</f>
        <v>United States of America</v>
      </c>
    </row>
    <row r="6151" spans="1:8" x14ac:dyDescent="0.3">
      <c r="A6151" s="3">
        <v>46238.749351851853</v>
      </c>
      <c r="B6151" s="1">
        <v>6.37</v>
      </c>
      <c r="C6151" s="1">
        <v>5.53</v>
      </c>
      <c r="D6151" s="1">
        <v>0.54</v>
      </c>
      <c r="E6151" s="1" t="s">
        <v>113</v>
      </c>
      <c r="F6151" s="1" t="s">
        <v>113</v>
      </c>
      <c r="G6151" s="1" t="s">
        <v>113</v>
      </c>
      <c r="H6151" s="1" t="str">
        <f>VLOOKUP(F6151,Countries!$A$1:$B$161,2,0)</f>
        <v>United States of America</v>
      </c>
    </row>
    <row r="6152" spans="1:8" x14ac:dyDescent="0.3">
      <c r="A6152" s="3">
        <v>46238.745462962957</v>
      </c>
      <c r="B6152" s="1">
        <v>6.37</v>
      </c>
      <c r="C6152" s="1">
        <v>5.53</v>
      </c>
      <c r="D6152" s="1">
        <v>0.54</v>
      </c>
      <c r="E6152" s="1" t="s">
        <v>113</v>
      </c>
      <c r="F6152" s="1" t="s">
        <v>113</v>
      </c>
      <c r="G6152" s="1" t="s">
        <v>113</v>
      </c>
      <c r="H6152" s="1" t="str">
        <f>VLOOKUP(F6152,Countries!$A$1:$B$161,2,0)</f>
        <v>United States of America</v>
      </c>
    </row>
    <row r="6153" spans="1:8" x14ac:dyDescent="0.3">
      <c r="A6153" s="3">
        <v>46238.744328703702</v>
      </c>
      <c r="B6153" s="1">
        <v>10.63</v>
      </c>
      <c r="C6153" s="1">
        <v>9.23</v>
      </c>
      <c r="D6153" s="1">
        <v>0.73</v>
      </c>
      <c r="E6153" s="1" t="s">
        <v>113</v>
      </c>
      <c r="F6153" s="1" t="s">
        <v>113</v>
      </c>
      <c r="G6153" s="1" t="s">
        <v>113</v>
      </c>
      <c r="H6153" s="1" t="str">
        <f>VLOOKUP(F6153,Countries!$A$1:$B$161,2,0)</f>
        <v>United States of America</v>
      </c>
    </row>
    <row r="6154" spans="1:8" x14ac:dyDescent="0.3">
      <c r="A6154" s="3">
        <v>46238.739629629628</v>
      </c>
      <c r="B6154" s="1">
        <v>6.37</v>
      </c>
      <c r="C6154" s="1">
        <v>5.53</v>
      </c>
      <c r="D6154" s="1">
        <v>0.54</v>
      </c>
      <c r="E6154" s="1" t="s">
        <v>113</v>
      </c>
      <c r="F6154" s="1" t="s">
        <v>113</v>
      </c>
      <c r="G6154" s="1" t="s">
        <v>113</v>
      </c>
      <c r="H6154" s="1" t="str">
        <f>VLOOKUP(F6154,Countries!$A$1:$B$161,2,0)</f>
        <v>United States of America</v>
      </c>
    </row>
    <row r="6155" spans="1:8" x14ac:dyDescent="0.3">
      <c r="A6155" s="3">
        <v>46238.733865740738</v>
      </c>
      <c r="B6155" s="1">
        <v>43.98</v>
      </c>
      <c r="C6155" s="1">
        <v>38.18</v>
      </c>
      <c r="D6155" s="1">
        <v>1.58</v>
      </c>
      <c r="E6155" s="1" t="s">
        <v>154</v>
      </c>
      <c r="F6155" s="1" t="s">
        <v>154</v>
      </c>
      <c r="G6155" s="1" t="s">
        <v>154</v>
      </c>
      <c r="H6155" s="1" t="str">
        <f>VLOOKUP(F6155,Countries!$A$1:$B$161,2,0)</f>
        <v>Belgium</v>
      </c>
    </row>
    <row r="6156" spans="1:8" x14ac:dyDescent="0.3">
      <c r="A6156" s="3">
        <v>46238.726898148147</v>
      </c>
      <c r="B6156" s="1">
        <v>2.99</v>
      </c>
      <c r="C6156" s="1">
        <v>2.6</v>
      </c>
      <c r="D6156" s="1">
        <v>0.38</v>
      </c>
      <c r="E6156" s="1" t="s">
        <v>135</v>
      </c>
      <c r="F6156" s="1" t="s">
        <v>135</v>
      </c>
      <c r="G6156" s="1" t="s">
        <v>135</v>
      </c>
      <c r="H6156" s="1" t="str">
        <f>VLOOKUP(F6156,Countries!$A$1:$B$161,2,0)</f>
        <v>Kuwait</v>
      </c>
    </row>
    <row r="6157" spans="1:8" x14ac:dyDescent="0.3">
      <c r="A6157" s="3">
        <v>46238.726365740738</v>
      </c>
      <c r="B6157" s="1">
        <v>10.62</v>
      </c>
      <c r="C6157" s="1">
        <v>9.2200000000000006</v>
      </c>
      <c r="D6157" s="1">
        <v>0.73</v>
      </c>
      <c r="E6157" s="1" t="s">
        <v>113</v>
      </c>
      <c r="F6157" s="1" t="s">
        <v>113</v>
      </c>
      <c r="G6157" s="1" t="s">
        <v>113</v>
      </c>
      <c r="H6157" s="1" t="str">
        <f>VLOOKUP(F6157,Countries!$A$1:$B$161,2,0)</f>
        <v>United States of America</v>
      </c>
    </row>
    <row r="6158" spans="1:8" x14ac:dyDescent="0.3">
      <c r="A6158" s="3">
        <v>46238.72583333333</v>
      </c>
      <c r="B6158" s="1">
        <v>163.03</v>
      </c>
      <c r="C6158" s="1">
        <v>141.54</v>
      </c>
      <c r="D6158" s="1">
        <v>7.68</v>
      </c>
      <c r="E6158" s="1" t="s">
        <v>115</v>
      </c>
      <c r="F6158" s="1" t="s">
        <v>115</v>
      </c>
      <c r="G6158" s="1" t="s">
        <v>115</v>
      </c>
      <c r="H6158" s="1" t="str">
        <f>VLOOKUP(F6158,Countries!$A$1:$B$161,2,0)</f>
        <v>Switzerland</v>
      </c>
    </row>
    <row r="6159" spans="1:8" x14ac:dyDescent="0.3">
      <c r="A6159" s="3">
        <v>46238.721192129633</v>
      </c>
      <c r="B6159" s="1">
        <v>14.77</v>
      </c>
      <c r="C6159" s="1">
        <v>12.82</v>
      </c>
      <c r="D6159" s="1">
        <v>0.93</v>
      </c>
      <c r="E6159" s="1" t="s">
        <v>113</v>
      </c>
      <c r="F6159" s="1" t="s">
        <v>113</v>
      </c>
      <c r="G6159" s="1" t="s">
        <v>113</v>
      </c>
      <c r="H6159" s="1" t="str">
        <f>VLOOKUP(F6159,Countries!$A$1:$B$161,2,0)</f>
        <v>United States of America</v>
      </c>
    </row>
    <row r="6160" spans="1:8" x14ac:dyDescent="0.3">
      <c r="A6160" s="3">
        <v>46238.717881944453</v>
      </c>
      <c r="B6160" s="1">
        <v>6.51</v>
      </c>
      <c r="C6160" s="1">
        <v>5.65</v>
      </c>
      <c r="D6160" s="1">
        <v>0.44</v>
      </c>
      <c r="E6160" s="1" t="s">
        <v>116</v>
      </c>
      <c r="F6160" s="1" t="s">
        <v>116</v>
      </c>
      <c r="G6160" s="1" t="s">
        <v>116</v>
      </c>
      <c r="H6160" s="1" t="str">
        <f>VLOOKUP(F6160,Countries!$A$1:$B$161,2,0)</f>
        <v>Spain</v>
      </c>
    </row>
    <row r="6161" spans="1:8" x14ac:dyDescent="0.3">
      <c r="A6161" s="3">
        <v>46238.71162037037</v>
      </c>
      <c r="B6161" s="1">
        <v>7.58</v>
      </c>
      <c r="C6161" s="1">
        <v>6.58</v>
      </c>
      <c r="D6161" s="1">
        <v>0.48</v>
      </c>
      <c r="E6161" s="1" t="s">
        <v>154</v>
      </c>
      <c r="F6161" s="1" t="s">
        <v>154</v>
      </c>
      <c r="G6161" s="1" t="s">
        <v>154</v>
      </c>
      <c r="H6161" s="1" t="str">
        <f>VLOOKUP(F6161,Countries!$A$1:$B$161,2,0)</f>
        <v>Belgium</v>
      </c>
    </row>
    <row r="6162" spans="1:8" x14ac:dyDescent="0.3">
      <c r="A6162" s="3">
        <v>46238.708043981482</v>
      </c>
      <c r="B6162" s="1">
        <v>10.62</v>
      </c>
      <c r="C6162" s="1">
        <v>9.2100000000000009</v>
      </c>
      <c r="D6162" s="1">
        <v>0.73</v>
      </c>
      <c r="E6162" s="1" t="s">
        <v>113</v>
      </c>
      <c r="F6162" s="1" t="s">
        <v>113</v>
      </c>
      <c r="G6162" s="1" t="s">
        <v>113</v>
      </c>
      <c r="H6162" s="1" t="str">
        <f>VLOOKUP(F6162,Countries!$A$1:$B$161,2,0)</f>
        <v>United States of America</v>
      </c>
    </row>
    <row r="6163" spans="1:8" x14ac:dyDescent="0.3">
      <c r="A6163" s="3">
        <v>46238.703206018523</v>
      </c>
      <c r="B6163" s="1">
        <v>6.25</v>
      </c>
      <c r="C6163" s="1">
        <v>5.42</v>
      </c>
      <c r="D6163" s="1">
        <v>0.5</v>
      </c>
      <c r="E6163" s="1" t="s">
        <v>119</v>
      </c>
      <c r="F6163" s="1" t="s">
        <v>119</v>
      </c>
      <c r="G6163" s="1" t="s">
        <v>119</v>
      </c>
      <c r="H6163" s="1" t="str">
        <f>VLOOKUP(F6163,Countries!$A$1:$B$161,2,0)</f>
        <v>Great Britain (United Kingdom)</v>
      </c>
    </row>
    <row r="6164" spans="1:8" x14ac:dyDescent="0.3">
      <c r="A6164" s="3">
        <v>46238.69804398148</v>
      </c>
      <c r="B6164" s="1">
        <v>13.89</v>
      </c>
      <c r="C6164" s="1">
        <v>12.05</v>
      </c>
      <c r="D6164" s="1">
        <v>0.88</v>
      </c>
      <c r="E6164" s="1" t="s">
        <v>194</v>
      </c>
      <c r="F6164" s="1" t="s">
        <v>194</v>
      </c>
      <c r="G6164" s="1" t="s">
        <v>194</v>
      </c>
      <c r="H6164" s="1" t="str">
        <f>VLOOKUP(F6164,Countries!$A$1:$B$161,2,0)</f>
        <v>Vietnam</v>
      </c>
    </row>
    <row r="6165" spans="1:8" x14ac:dyDescent="0.3">
      <c r="A6165" s="3">
        <v>46238.693425925929</v>
      </c>
      <c r="B6165" s="1">
        <v>7.58</v>
      </c>
      <c r="C6165" s="1">
        <v>6.58</v>
      </c>
      <c r="D6165" s="1">
        <v>0.48</v>
      </c>
      <c r="E6165" s="1" t="s">
        <v>116</v>
      </c>
      <c r="F6165" s="1" t="s">
        <v>116</v>
      </c>
      <c r="G6165" s="1" t="s">
        <v>116</v>
      </c>
      <c r="H6165" s="1" t="str">
        <f>VLOOKUP(F6165,Countries!$A$1:$B$161,2,0)</f>
        <v>Spain</v>
      </c>
    </row>
    <row r="6166" spans="1:8" x14ac:dyDescent="0.3">
      <c r="A6166" s="3">
        <v>46238.686377314807</v>
      </c>
      <c r="B6166" s="1">
        <v>3.18</v>
      </c>
      <c r="C6166" s="1">
        <v>2.76</v>
      </c>
      <c r="D6166" s="1">
        <v>0.4</v>
      </c>
      <c r="E6166" s="1" t="s">
        <v>113</v>
      </c>
      <c r="F6166" s="1" t="s">
        <v>113</v>
      </c>
      <c r="G6166" s="1" t="s">
        <v>113</v>
      </c>
      <c r="H6166" s="1" t="str">
        <f>VLOOKUP(F6166,Countries!$A$1:$B$161,2,0)</f>
        <v>United States of America</v>
      </c>
    </row>
    <row r="6167" spans="1:8" x14ac:dyDescent="0.3">
      <c r="A6167" s="3">
        <v>46238.684490740743</v>
      </c>
      <c r="B6167" s="1">
        <v>36.1</v>
      </c>
      <c r="C6167" s="1">
        <v>31.32</v>
      </c>
      <c r="D6167" s="1">
        <v>1.35</v>
      </c>
      <c r="E6167" s="1" t="s">
        <v>117</v>
      </c>
      <c r="F6167" s="1" t="s">
        <v>117</v>
      </c>
      <c r="G6167" s="1" t="s">
        <v>117</v>
      </c>
      <c r="H6167" s="1" t="str">
        <f>VLOOKUP(F6167,Countries!$A$1:$B$161,2,0)</f>
        <v>Slovak Republic</v>
      </c>
    </row>
    <row r="6168" spans="1:8" x14ac:dyDescent="0.3">
      <c r="A6168" s="3">
        <v>46238.682025462957</v>
      </c>
      <c r="B6168" s="1">
        <v>3.88</v>
      </c>
      <c r="C6168" s="1">
        <v>3.37</v>
      </c>
      <c r="D6168" s="1">
        <v>0.37</v>
      </c>
      <c r="E6168" s="1" t="s">
        <v>117</v>
      </c>
      <c r="F6168" s="1" t="s">
        <v>117</v>
      </c>
      <c r="G6168" s="1" t="s">
        <v>117</v>
      </c>
      <c r="H6168" s="1" t="str">
        <f>VLOOKUP(F6168,Countries!$A$1:$B$161,2,0)</f>
        <v>Slovak Republic</v>
      </c>
    </row>
    <row r="6169" spans="1:8" x14ac:dyDescent="0.3">
      <c r="A6169" s="3">
        <v>46238.680104166669</v>
      </c>
      <c r="B6169" s="1">
        <v>10.62</v>
      </c>
      <c r="C6169" s="1">
        <v>9.2100000000000009</v>
      </c>
      <c r="D6169" s="1">
        <v>0.73</v>
      </c>
      <c r="E6169" s="1" t="s">
        <v>113</v>
      </c>
      <c r="F6169" s="1" t="s">
        <v>113</v>
      </c>
      <c r="G6169" s="1" t="s">
        <v>113</v>
      </c>
      <c r="H6169" s="1" t="str">
        <f>VLOOKUP(F6169,Countries!$A$1:$B$161,2,0)</f>
        <v>United States of America</v>
      </c>
    </row>
    <row r="6170" spans="1:8" x14ac:dyDescent="0.3">
      <c r="A6170" s="3">
        <v>46238.675682870373</v>
      </c>
      <c r="B6170" s="1">
        <v>13.89</v>
      </c>
      <c r="C6170" s="1">
        <v>12.05</v>
      </c>
      <c r="D6170" s="1">
        <v>0.88</v>
      </c>
      <c r="E6170" s="1" t="s">
        <v>194</v>
      </c>
      <c r="F6170" s="1" t="s">
        <v>194</v>
      </c>
      <c r="G6170" s="1" t="s">
        <v>194</v>
      </c>
      <c r="H6170" s="1" t="str">
        <f>VLOOKUP(F6170,Countries!$A$1:$B$161,2,0)</f>
        <v>Vietnam</v>
      </c>
    </row>
    <row r="6171" spans="1:8" x14ac:dyDescent="0.3">
      <c r="A6171" s="3">
        <v>46238.674108796287</v>
      </c>
      <c r="B6171" s="1">
        <v>1.99</v>
      </c>
      <c r="C6171" s="1">
        <v>1.73</v>
      </c>
      <c r="D6171" s="1">
        <v>0.31</v>
      </c>
      <c r="E6171" s="1" t="s">
        <v>224</v>
      </c>
      <c r="F6171" s="1" t="s">
        <v>123</v>
      </c>
      <c r="G6171" s="1" t="s">
        <v>123</v>
      </c>
      <c r="H6171" s="1" t="str">
        <f>VLOOKUP(F6171,Countries!$A$1:$B$161,2,0)</f>
        <v>France</v>
      </c>
    </row>
    <row r="6172" spans="1:8" x14ac:dyDescent="0.3">
      <c r="A6172" s="3">
        <v>46238.671770833331</v>
      </c>
      <c r="B6172" s="1">
        <v>6.37</v>
      </c>
      <c r="C6172" s="1">
        <v>5.53</v>
      </c>
      <c r="D6172" s="1">
        <v>0.54</v>
      </c>
      <c r="E6172" s="1" t="s">
        <v>113</v>
      </c>
      <c r="F6172" s="1" t="s">
        <v>113</v>
      </c>
      <c r="G6172" s="1" t="s">
        <v>113</v>
      </c>
      <c r="H6172" s="1" t="str">
        <f>VLOOKUP(F6172,Countries!$A$1:$B$161,2,0)</f>
        <v>United States of America</v>
      </c>
    </row>
    <row r="6173" spans="1:8" x14ac:dyDescent="0.3">
      <c r="A6173" s="3">
        <v>46238.665520833332</v>
      </c>
      <c r="B6173" s="1">
        <v>10.62</v>
      </c>
      <c r="C6173" s="1">
        <v>9.2200000000000006</v>
      </c>
      <c r="D6173" s="1">
        <v>0.73</v>
      </c>
      <c r="E6173" s="1" t="s">
        <v>113</v>
      </c>
      <c r="F6173" s="1" t="s">
        <v>113</v>
      </c>
      <c r="G6173" s="1" t="s">
        <v>113</v>
      </c>
      <c r="H6173" s="1" t="str">
        <f>VLOOKUP(F6173,Countries!$A$1:$B$161,2,0)</f>
        <v>United States of America</v>
      </c>
    </row>
    <row r="6174" spans="1:8" x14ac:dyDescent="0.3">
      <c r="A6174" s="3">
        <v>46238.665138888893</v>
      </c>
      <c r="B6174" s="1">
        <v>10.62</v>
      </c>
      <c r="C6174" s="1">
        <v>9.2200000000000006</v>
      </c>
      <c r="D6174" s="1">
        <v>0.73</v>
      </c>
      <c r="E6174" s="1" t="s">
        <v>113</v>
      </c>
      <c r="F6174" s="1" t="s">
        <v>113</v>
      </c>
      <c r="G6174" s="1" t="s">
        <v>113</v>
      </c>
      <c r="H6174" s="1" t="str">
        <f>VLOOKUP(F6174,Countries!$A$1:$B$161,2,0)</f>
        <v>United States of America</v>
      </c>
    </row>
    <row r="6175" spans="1:8" x14ac:dyDescent="0.3">
      <c r="A6175" s="3">
        <v>46238.664340277777</v>
      </c>
      <c r="B6175" s="1">
        <v>14.77</v>
      </c>
      <c r="C6175" s="1">
        <v>12.82</v>
      </c>
      <c r="D6175" s="1">
        <v>0.93</v>
      </c>
      <c r="E6175" s="1" t="s">
        <v>113</v>
      </c>
      <c r="F6175" s="1" t="s">
        <v>113</v>
      </c>
      <c r="G6175" s="1" t="s">
        <v>113</v>
      </c>
      <c r="H6175" s="1" t="str">
        <f>VLOOKUP(F6175,Countries!$A$1:$B$161,2,0)</f>
        <v>United States of America</v>
      </c>
    </row>
    <row r="6176" spans="1:8" x14ac:dyDescent="0.3">
      <c r="A6176" s="3">
        <v>46238.660613425927</v>
      </c>
      <c r="B6176" s="1">
        <v>6.37</v>
      </c>
      <c r="C6176" s="1">
        <v>5.53</v>
      </c>
      <c r="D6176" s="1">
        <v>0.54</v>
      </c>
      <c r="E6176" s="1" t="s">
        <v>113</v>
      </c>
      <c r="F6176" s="1" t="s">
        <v>113</v>
      </c>
      <c r="G6176" s="1" t="s">
        <v>113</v>
      </c>
      <c r="H6176" s="1" t="str">
        <f>VLOOKUP(F6176,Countries!$A$1:$B$161,2,0)</f>
        <v>United States of America</v>
      </c>
    </row>
    <row r="6177" spans="1:8" x14ac:dyDescent="0.3">
      <c r="A6177" s="3">
        <v>46238.65965277778</v>
      </c>
      <c r="B6177" s="1">
        <v>6.37</v>
      </c>
      <c r="C6177" s="1">
        <v>5.53</v>
      </c>
      <c r="D6177" s="1">
        <v>0.54</v>
      </c>
      <c r="E6177" s="1" t="s">
        <v>113</v>
      </c>
      <c r="F6177" s="1" t="s">
        <v>113</v>
      </c>
      <c r="G6177" s="1" t="s">
        <v>113</v>
      </c>
      <c r="H6177" s="1" t="str">
        <f>VLOOKUP(F6177,Countries!$A$1:$B$161,2,0)</f>
        <v>United States of America</v>
      </c>
    </row>
    <row r="6178" spans="1:8" x14ac:dyDescent="0.3">
      <c r="A6178" s="3">
        <v>46238.658773148149</v>
      </c>
      <c r="B6178" s="1">
        <v>13.89</v>
      </c>
      <c r="C6178" s="1">
        <v>12.05</v>
      </c>
      <c r="D6178" s="1">
        <v>0.88</v>
      </c>
      <c r="E6178" s="1" t="s">
        <v>194</v>
      </c>
      <c r="F6178" s="1" t="s">
        <v>194</v>
      </c>
      <c r="G6178" s="1" t="s">
        <v>194</v>
      </c>
      <c r="H6178" s="1" t="str">
        <f>VLOOKUP(F6178,Countries!$A$1:$B$161,2,0)</f>
        <v>Vietnam</v>
      </c>
    </row>
    <row r="6179" spans="1:8" x14ac:dyDescent="0.3">
      <c r="A6179" s="3">
        <v>46238.65861111111</v>
      </c>
      <c r="B6179" s="1">
        <v>13.9</v>
      </c>
      <c r="C6179" s="1">
        <v>12.06</v>
      </c>
      <c r="D6179" s="1">
        <v>0.88</v>
      </c>
      <c r="E6179" s="1" t="s">
        <v>194</v>
      </c>
      <c r="F6179" s="1" t="s">
        <v>194</v>
      </c>
      <c r="G6179" s="1" t="s">
        <v>194</v>
      </c>
      <c r="H6179" s="1" t="str">
        <f>VLOOKUP(F6179,Countries!$A$1:$B$161,2,0)</f>
        <v>Vietnam</v>
      </c>
    </row>
    <row r="6180" spans="1:8" x14ac:dyDescent="0.3">
      <c r="A6180" s="3">
        <v>46238.657210648147</v>
      </c>
      <c r="B6180" s="1">
        <v>2.99</v>
      </c>
      <c r="C6180" s="1">
        <v>2.59</v>
      </c>
      <c r="D6180" s="1">
        <v>0.38</v>
      </c>
      <c r="E6180" s="1" t="s">
        <v>217</v>
      </c>
      <c r="F6180" s="1" t="s">
        <v>217</v>
      </c>
      <c r="G6180" s="1" t="s">
        <v>217</v>
      </c>
      <c r="H6180" s="1" t="str">
        <f>VLOOKUP(F6180,Countries!$A$1:$B$161,2,0)</f>
        <v>Panama</v>
      </c>
    </row>
    <row r="6181" spans="1:8" x14ac:dyDescent="0.3">
      <c r="A6181" s="3">
        <v>46238.652025462958</v>
      </c>
      <c r="B6181" s="1">
        <v>15</v>
      </c>
      <c r="C6181" s="1">
        <v>13.02</v>
      </c>
      <c r="D6181" s="1">
        <v>0.93</v>
      </c>
      <c r="E6181" s="1" t="s">
        <v>194</v>
      </c>
      <c r="F6181" s="1" t="s">
        <v>194</v>
      </c>
      <c r="G6181" s="1" t="s">
        <v>194</v>
      </c>
      <c r="H6181" s="1" t="str">
        <f>VLOOKUP(F6181,Countries!$A$1:$B$161,2,0)</f>
        <v>Vietnam</v>
      </c>
    </row>
    <row r="6182" spans="1:8" x14ac:dyDescent="0.3">
      <c r="A6182" s="3">
        <v>46238.64912037037</v>
      </c>
      <c r="B6182" s="1">
        <v>13.89</v>
      </c>
      <c r="C6182" s="1">
        <v>12.05</v>
      </c>
      <c r="D6182" s="1">
        <v>0.88</v>
      </c>
      <c r="E6182" s="1" t="s">
        <v>194</v>
      </c>
      <c r="F6182" s="1" t="s">
        <v>194</v>
      </c>
      <c r="G6182" s="1" t="s">
        <v>194</v>
      </c>
      <c r="H6182" s="1" t="str">
        <f>VLOOKUP(F6182,Countries!$A$1:$B$161,2,0)</f>
        <v>Vietnam</v>
      </c>
    </row>
    <row r="6183" spans="1:8" x14ac:dyDescent="0.3">
      <c r="A6183" s="3">
        <v>46238.649050925917</v>
      </c>
      <c r="B6183" s="1">
        <v>13.89</v>
      </c>
      <c r="C6183" s="1">
        <v>12.05</v>
      </c>
      <c r="D6183" s="1">
        <v>0.88</v>
      </c>
      <c r="E6183" s="1" t="s">
        <v>194</v>
      </c>
      <c r="F6183" s="1" t="s">
        <v>194</v>
      </c>
      <c r="G6183" s="1" t="s">
        <v>194</v>
      </c>
      <c r="H6183" s="1" t="str">
        <f>VLOOKUP(F6183,Countries!$A$1:$B$161,2,0)</f>
        <v>Vietnam</v>
      </c>
    </row>
    <row r="6184" spans="1:8" x14ac:dyDescent="0.3">
      <c r="A6184" s="3">
        <v>46238.646319444437</v>
      </c>
      <c r="B6184" s="1">
        <v>13.9</v>
      </c>
      <c r="C6184" s="1">
        <v>12.06</v>
      </c>
      <c r="D6184" s="1">
        <v>0.88</v>
      </c>
      <c r="E6184" s="1" t="s">
        <v>194</v>
      </c>
      <c r="F6184" s="1" t="s">
        <v>194</v>
      </c>
      <c r="G6184" s="1" t="s">
        <v>194</v>
      </c>
      <c r="H6184" s="1" t="str">
        <f>VLOOKUP(F6184,Countries!$A$1:$B$161,2,0)</f>
        <v>Vietnam</v>
      </c>
    </row>
    <row r="6185" spans="1:8" x14ac:dyDescent="0.3">
      <c r="A6185" s="3">
        <v>46238.646192129629</v>
      </c>
      <c r="B6185" s="1">
        <v>17.010000000000002</v>
      </c>
      <c r="C6185" s="1">
        <v>14.76</v>
      </c>
      <c r="D6185" s="1">
        <v>1.03</v>
      </c>
      <c r="E6185" s="1" t="s">
        <v>113</v>
      </c>
      <c r="F6185" s="1" t="s">
        <v>113</v>
      </c>
      <c r="G6185" s="1" t="s">
        <v>113</v>
      </c>
      <c r="H6185" s="1" t="str">
        <f>VLOOKUP(F6185,Countries!$A$1:$B$161,2,0)</f>
        <v>United States of America</v>
      </c>
    </row>
    <row r="6186" spans="1:8" x14ac:dyDescent="0.3">
      <c r="A6186" s="3">
        <v>46238.645243055558</v>
      </c>
      <c r="B6186" s="1">
        <v>15</v>
      </c>
      <c r="C6186" s="1">
        <v>13.02</v>
      </c>
      <c r="D6186" s="1">
        <v>0.93</v>
      </c>
      <c r="E6186" s="1" t="s">
        <v>194</v>
      </c>
      <c r="F6186" s="1" t="s">
        <v>194</v>
      </c>
      <c r="G6186" s="1" t="s">
        <v>194</v>
      </c>
      <c r="H6186" s="1" t="str">
        <f>VLOOKUP(F6186,Countries!$A$1:$B$161,2,0)</f>
        <v>Vietnam</v>
      </c>
    </row>
    <row r="6187" spans="1:8" x14ac:dyDescent="0.3">
      <c r="A6187" s="3">
        <v>46238.643831018519</v>
      </c>
      <c r="B6187" s="1">
        <v>13.9</v>
      </c>
      <c r="C6187" s="1">
        <v>12.06</v>
      </c>
      <c r="D6187" s="1">
        <v>0.88</v>
      </c>
      <c r="E6187" s="1" t="s">
        <v>194</v>
      </c>
      <c r="F6187" s="1" t="s">
        <v>194</v>
      </c>
      <c r="G6187" s="1" t="s">
        <v>194</v>
      </c>
      <c r="H6187" s="1" t="str">
        <f>VLOOKUP(F6187,Countries!$A$1:$B$161,2,0)</f>
        <v>Vietnam</v>
      </c>
    </row>
    <row r="6188" spans="1:8" x14ac:dyDescent="0.3">
      <c r="A6188" s="3">
        <v>46238.642638888887</v>
      </c>
      <c r="B6188" s="1">
        <v>13.89</v>
      </c>
      <c r="C6188" s="1">
        <v>12.05</v>
      </c>
      <c r="D6188" s="1">
        <v>0.88</v>
      </c>
      <c r="E6188" s="1" t="s">
        <v>194</v>
      </c>
      <c r="F6188" s="1" t="s">
        <v>194</v>
      </c>
      <c r="G6188" s="1" t="s">
        <v>194</v>
      </c>
      <c r="H6188" s="1" t="str">
        <f>VLOOKUP(F6188,Countries!$A$1:$B$161,2,0)</f>
        <v>Vietnam</v>
      </c>
    </row>
    <row r="6189" spans="1:8" x14ac:dyDescent="0.3">
      <c r="A6189" s="3">
        <v>46238.640439814822</v>
      </c>
      <c r="B6189" s="1">
        <v>13.9</v>
      </c>
      <c r="C6189" s="1">
        <v>12.06</v>
      </c>
      <c r="D6189" s="1">
        <v>0.88</v>
      </c>
      <c r="E6189" s="1" t="s">
        <v>194</v>
      </c>
      <c r="F6189" s="1" t="s">
        <v>194</v>
      </c>
      <c r="G6189" s="1" t="s">
        <v>194</v>
      </c>
      <c r="H6189" s="1" t="str">
        <f>VLOOKUP(F6189,Countries!$A$1:$B$161,2,0)</f>
        <v>Vietnam</v>
      </c>
    </row>
    <row r="6190" spans="1:8" x14ac:dyDescent="0.3">
      <c r="A6190" s="3">
        <v>46238.637303240743</v>
      </c>
      <c r="B6190" s="1">
        <v>6.65</v>
      </c>
      <c r="C6190" s="1">
        <v>5.77</v>
      </c>
      <c r="D6190" s="1">
        <v>0.56000000000000005</v>
      </c>
      <c r="E6190" s="1" t="s">
        <v>130</v>
      </c>
      <c r="F6190" s="1" t="s">
        <v>130</v>
      </c>
      <c r="G6190" s="1" t="s">
        <v>130</v>
      </c>
      <c r="H6190" s="1" t="str">
        <f>VLOOKUP(F6190,Countries!$A$1:$B$161,2,0)</f>
        <v>Australia</v>
      </c>
    </row>
    <row r="6191" spans="1:8" x14ac:dyDescent="0.3">
      <c r="A6191" s="3">
        <v>46238.636574074073</v>
      </c>
      <c r="B6191" s="1">
        <v>6.37</v>
      </c>
      <c r="C6191" s="1">
        <v>5.53</v>
      </c>
      <c r="D6191" s="1">
        <v>0.54</v>
      </c>
      <c r="E6191" s="1" t="s">
        <v>113</v>
      </c>
      <c r="F6191" s="1" t="s">
        <v>113</v>
      </c>
      <c r="G6191" s="1" t="s">
        <v>113</v>
      </c>
      <c r="H6191" s="1" t="str">
        <f>VLOOKUP(F6191,Countries!$A$1:$B$161,2,0)</f>
        <v>United States of America</v>
      </c>
    </row>
    <row r="6192" spans="1:8" x14ac:dyDescent="0.3">
      <c r="A6192" s="3">
        <v>46238.634918981479</v>
      </c>
      <c r="B6192" s="1">
        <v>13.89</v>
      </c>
      <c r="C6192" s="1">
        <v>12.05</v>
      </c>
      <c r="D6192" s="1">
        <v>0.88</v>
      </c>
      <c r="E6192" s="1" t="s">
        <v>194</v>
      </c>
      <c r="F6192" s="1" t="s">
        <v>194</v>
      </c>
      <c r="G6192" s="1" t="s">
        <v>194</v>
      </c>
      <c r="H6192" s="1" t="str">
        <f>VLOOKUP(F6192,Countries!$A$1:$B$161,2,0)</f>
        <v>Vietnam</v>
      </c>
    </row>
    <row r="6193" spans="1:8" x14ac:dyDescent="0.3">
      <c r="A6193" s="3">
        <v>46238.633680555547</v>
      </c>
      <c r="B6193" s="1">
        <v>12.48</v>
      </c>
      <c r="C6193" s="1">
        <v>10.83</v>
      </c>
      <c r="D6193" s="1">
        <v>0.74</v>
      </c>
      <c r="E6193" s="1" t="s">
        <v>119</v>
      </c>
      <c r="F6193" s="1" t="s">
        <v>119</v>
      </c>
      <c r="G6193" s="1" t="s">
        <v>119</v>
      </c>
      <c r="H6193" s="1" t="str">
        <f>VLOOKUP(F6193,Countries!$A$1:$B$161,2,0)</f>
        <v>Great Britain (United Kingdom)</v>
      </c>
    </row>
    <row r="6194" spans="1:8" x14ac:dyDescent="0.3">
      <c r="A6194" s="3">
        <v>46238.633668981478</v>
      </c>
      <c r="B6194" s="1">
        <v>15</v>
      </c>
      <c r="C6194" s="1">
        <v>13.02</v>
      </c>
      <c r="D6194" s="1">
        <v>0.93</v>
      </c>
      <c r="E6194" s="1" t="s">
        <v>194</v>
      </c>
      <c r="F6194" s="1" t="s">
        <v>194</v>
      </c>
      <c r="G6194" s="1" t="s">
        <v>194</v>
      </c>
      <c r="H6194" s="1" t="str">
        <f>VLOOKUP(F6194,Countries!$A$1:$B$161,2,0)</f>
        <v>Vietnam</v>
      </c>
    </row>
    <row r="6195" spans="1:8" x14ac:dyDescent="0.3">
      <c r="A6195" s="3">
        <v>46238.632048611107</v>
      </c>
      <c r="B6195" s="1">
        <v>7.48</v>
      </c>
      <c r="C6195" s="1">
        <v>6.49</v>
      </c>
      <c r="D6195" s="1">
        <v>0.54</v>
      </c>
      <c r="E6195" s="1" t="s">
        <v>119</v>
      </c>
      <c r="F6195" s="1" t="s">
        <v>119</v>
      </c>
      <c r="G6195" s="1" t="s">
        <v>119</v>
      </c>
      <c r="H6195" s="1" t="str">
        <f>VLOOKUP(F6195,Countries!$A$1:$B$161,2,0)</f>
        <v>Great Britain (United Kingdom)</v>
      </c>
    </row>
    <row r="6196" spans="1:8" x14ac:dyDescent="0.3">
      <c r="A6196" s="3">
        <v>46238.628148148149</v>
      </c>
      <c r="B6196" s="1">
        <v>13.9</v>
      </c>
      <c r="C6196" s="1">
        <v>12.06</v>
      </c>
      <c r="D6196" s="1">
        <v>0.88</v>
      </c>
      <c r="E6196" s="1" t="s">
        <v>194</v>
      </c>
      <c r="F6196" s="1" t="s">
        <v>194</v>
      </c>
      <c r="G6196" s="1" t="s">
        <v>194</v>
      </c>
      <c r="H6196" s="1" t="str">
        <f>VLOOKUP(F6196,Countries!$A$1:$B$161,2,0)</f>
        <v>Vietnam</v>
      </c>
    </row>
    <row r="6197" spans="1:8" x14ac:dyDescent="0.3">
      <c r="A6197" s="3">
        <v>46238.622731481482</v>
      </c>
      <c r="B6197" s="1">
        <v>13.89</v>
      </c>
      <c r="C6197" s="1">
        <v>12.05</v>
      </c>
      <c r="D6197" s="1">
        <v>0.88</v>
      </c>
      <c r="E6197" s="1" t="s">
        <v>194</v>
      </c>
      <c r="F6197" s="1" t="s">
        <v>194</v>
      </c>
      <c r="G6197" s="1" t="s">
        <v>194</v>
      </c>
      <c r="H6197" s="1" t="str">
        <f>VLOOKUP(F6197,Countries!$A$1:$B$161,2,0)</f>
        <v>Vietnam</v>
      </c>
    </row>
    <row r="6198" spans="1:8" x14ac:dyDescent="0.3">
      <c r="A6198" s="3">
        <v>46238.619467592587</v>
      </c>
      <c r="B6198" s="1">
        <v>6.65</v>
      </c>
      <c r="C6198" s="1">
        <v>5.77</v>
      </c>
      <c r="D6198" s="1">
        <v>0.56000000000000005</v>
      </c>
      <c r="E6198" s="1" t="s">
        <v>130</v>
      </c>
      <c r="F6198" s="1" t="s">
        <v>130</v>
      </c>
      <c r="G6198" s="1" t="s">
        <v>130</v>
      </c>
      <c r="H6198" s="1" t="str">
        <f>VLOOKUP(F6198,Countries!$A$1:$B$161,2,0)</f>
        <v>Australia</v>
      </c>
    </row>
    <row r="6199" spans="1:8" x14ac:dyDescent="0.3">
      <c r="A6199" s="3">
        <v>46238.614710648151</v>
      </c>
      <c r="B6199" s="1">
        <v>13.89</v>
      </c>
      <c r="C6199" s="1">
        <v>12.05</v>
      </c>
      <c r="D6199" s="1">
        <v>0.88</v>
      </c>
      <c r="E6199" s="1" t="s">
        <v>194</v>
      </c>
      <c r="F6199" s="1" t="s">
        <v>194</v>
      </c>
      <c r="G6199" s="1" t="s">
        <v>194</v>
      </c>
      <c r="H6199" s="1" t="str">
        <f>VLOOKUP(F6199,Countries!$A$1:$B$161,2,0)</f>
        <v>Vietnam</v>
      </c>
    </row>
    <row r="6200" spans="1:8" x14ac:dyDescent="0.3">
      <c r="A6200" s="3">
        <v>46238.606041666673</v>
      </c>
      <c r="B6200" s="1">
        <v>13.89</v>
      </c>
      <c r="C6200" s="1">
        <v>12.05</v>
      </c>
      <c r="D6200" s="1">
        <v>0.88</v>
      </c>
      <c r="E6200" s="1" t="s">
        <v>194</v>
      </c>
      <c r="F6200" s="1" t="s">
        <v>194</v>
      </c>
      <c r="G6200" s="1" t="s">
        <v>194</v>
      </c>
      <c r="H6200" s="1" t="str">
        <f>VLOOKUP(F6200,Countries!$A$1:$B$161,2,0)</f>
        <v>Vietnam</v>
      </c>
    </row>
    <row r="6201" spans="1:8" x14ac:dyDescent="0.3">
      <c r="A6201" s="3">
        <v>46238.60056712963</v>
      </c>
      <c r="B6201" s="1">
        <v>14.77</v>
      </c>
      <c r="C6201" s="1">
        <v>12.82</v>
      </c>
      <c r="D6201" s="1">
        <v>0.93</v>
      </c>
      <c r="E6201" s="1" t="s">
        <v>113</v>
      </c>
      <c r="F6201" s="1" t="s">
        <v>113</v>
      </c>
      <c r="G6201" s="1" t="s">
        <v>113</v>
      </c>
      <c r="H6201" s="1" t="str">
        <f>VLOOKUP(F6201,Countries!$A$1:$B$161,2,0)</f>
        <v>United States of America</v>
      </c>
    </row>
    <row r="6202" spans="1:8" x14ac:dyDescent="0.3">
      <c r="A6202" s="3">
        <v>46238.595497685194</v>
      </c>
      <c r="B6202" s="1">
        <v>11.35</v>
      </c>
      <c r="C6202" s="1">
        <v>9.85</v>
      </c>
      <c r="D6202" s="1">
        <v>0.77</v>
      </c>
      <c r="E6202" s="1" t="s">
        <v>114</v>
      </c>
      <c r="F6202" s="1" t="s">
        <v>114</v>
      </c>
      <c r="G6202" s="1" t="s">
        <v>114</v>
      </c>
      <c r="H6202" s="1" t="str">
        <f>VLOOKUP(F6202,Countries!$A$1:$B$161,2,0)</f>
        <v>Philippines</v>
      </c>
    </row>
    <row r="6203" spans="1:8" x14ac:dyDescent="0.3">
      <c r="A6203" s="3">
        <v>46238.591377314813</v>
      </c>
      <c r="B6203" s="1">
        <v>9.99</v>
      </c>
      <c r="C6203" s="1">
        <v>8.67</v>
      </c>
      <c r="D6203" s="1">
        <v>0.7</v>
      </c>
      <c r="E6203" s="1" t="s">
        <v>194</v>
      </c>
      <c r="F6203" s="1" t="s">
        <v>194</v>
      </c>
      <c r="G6203" s="1" t="s">
        <v>194</v>
      </c>
      <c r="H6203" s="1" t="str">
        <f>VLOOKUP(F6203,Countries!$A$1:$B$161,2,0)</f>
        <v>Vietnam</v>
      </c>
    </row>
    <row r="6204" spans="1:8" x14ac:dyDescent="0.3">
      <c r="A6204" s="3">
        <v>46238.588703703703</v>
      </c>
      <c r="B6204" s="1">
        <v>3.39</v>
      </c>
      <c r="C6204" s="1">
        <v>2.94</v>
      </c>
      <c r="D6204" s="1">
        <v>0.41</v>
      </c>
      <c r="E6204" s="1" t="s">
        <v>114</v>
      </c>
      <c r="F6204" s="1" t="s">
        <v>114</v>
      </c>
      <c r="G6204" s="1" t="s">
        <v>114</v>
      </c>
      <c r="H6204" s="1" t="str">
        <f>VLOOKUP(F6204,Countries!$A$1:$B$161,2,0)</f>
        <v>Philippines</v>
      </c>
    </row>
    <row r="6205" spans="1:8" x14ac:dyDescent="0.3">
      <c r="A6205" s="3">
        <v>46238.585717592592</v>
      </c>
      <c r="B6205" s="1">
        <v>6.37</v>
      </c>
      <c r="C6205" s="1">
        <v>5.53</v>
      </c>
      <c r="D6205" s="1">
        <v>0.54</v>
      </c>
      <c r="E6205" s="1" t="s">
        <v>113</v>
      </c>
      <c r="F6205" s="1" t="s">
        <v>113</v>
      </c>
      <c r="G6205" s="1" t="s">
        <v>113</v>
      </c>
      <c r="H6205" s="1" t="str">
        <f>VLOOKUP(F6205,Countries!$A$1:$B$161,2,0)</f>
        <v>United States of America</v>
      </c>
    </row>
    <row r="6206" spans="1:8" x14ac:dyDescent="0.3">
      <c r="A6206" s="3">
        <v>46238.580659722233</v>
      </c>
      <c r="B6206" s="1">
        <v>6.37</v>
      </c>
      <c r="C6206" s="1">
        <v>5.53</v>
      </c>
      <c r="D6206" s="1">
        <v>0.54</v>
      </c>
      <c r="E6206" s="1" t="s">
        <v>113</v>
      </c>
      <c r="F6206" s="1" t="s">
        <v>113</v>
      </c>
      <c r="G6206" s="1" t="s">
        <v>113</v>
      </c>
      <c r="H6206" s="1" t="str">
        <f>VLOOKUP(F6206,Countries!$A$1:$B$161,2,0)</f>
        <v>United States of America</v>
      </c>
    </row>
    <row r="6207" spans="1:8" x14ac:dyDescent="0.3">
      <c r="A6207" s="3">
        <v>46238.576585648138</v>
      </c>
      <c r="B6207" s="1">
        <v>1.99</v>
      </c>
      <c r="C6207" s="1">
        <v>1.73</v>
      </c>
      <c r="D6207" s="1">
        <v>0.34</v>
      </c>
      <c r="E6207" s="1" t="s">
        <v>194</v>
      </c>
      <c r="F6207" s="1" t="s">
        <v>194</v>
      </c>
      <c r="G6207" s="1" t="s">
        <v>194</v>
      </c>
      <c r="H6207" s="1" t="str">
        <f>VLOOKUP(F6207,Countries!$A$1:$B$161,2,0)</f>
        <v>Vietnam</v>
      </c>
    </row>
    <row r="6208" spans="1:8" x14ac:dyDescent="0.3">
      <c r="A6208" s="3">
        <v>46238.557152777779</v>
      </c>
      <c r="B6208" s="1">
        <v>14.77</v>
      </c>
      <c r="C6208" s="1">
        <v>12.83</v>
      </c>
      <c r="D6208" s="1">
        <v>0.93</v>
      </c>
      <c r="E6208" s="1" t="s">
        <v>113</v>
      </c>
      <c r="F6208" s="1" t="s">
        <v>113</v>
      </c>
      <c r="G6208" s="1" t="s">
        <v>113</v>
      </c>
      <c r="H6208" s="1" t="str">
        <f>VLOOKUP(F6208,Countries!$A$1:$B$161,2,0)</f>
        <v>United States of America</v>
      </c>
    </row>
    <row r="6209" spans="1:8" x14ac:dyDescent="0.3">
      <c r="A6209" s="3">
        <v>46238.556423611109</v>
      </c>
      <c r="B6209" s="1">
        <v>118.07</v>
      </c>
      <c r="C6209" s="1">
        <v>102.53</v>
      </c>
      <c r="D6209" s="1">
        <v>5.63</v>
      </c>
      <c r="E6209" s="1" t="s">
        <v>113</v>
      </c>
      <c r="F6209" s="1" t="s">
        <v>113</v>
      </c>
      <c r="G6209" s="1" t="s">
        <v>113</v>
      </c>
      <c r="H6209" s="1" t="str">
        <f>VLOOKUP(F6209,Countries!$A$1:$B$161,2,0)</f>
        <v>United States of America</v>
      </c>
    </row>
    <row r="6210" spans="1:8" x14ac:dyDescent="0.3">
      <c r="A6210" s="3">
        <v>46238.556122685193</v>
      </c>
      <c r="B6210" s="1">
        <v>10.99</v>
      </c>
      <c r="C6210" s="1">
        <v>9.5399999999999991</v>
      </c>
      <c r="D6210" s="1">
        <v>0.57999999999999996</v>
      </c>
      <c r="E6210" s="1" t="s">
        <v>137</v>
      </c>
      <c r="F6210" s="1" t="s">
        <v>137</v>
      </c>
      <c r="G6210" s="1" t="s">
        <v>137</v>
      </c>
      <c r="H6210" s="1" t="str">
        <f>VLOOKUP(F6210,Countries!$A$1:$B$161,2,0)</f>
        <v>Poland</v>
      </c>
    </row>
    <row r="6211" spans="1:8" x14ac:dyDescent="0.3">
      <c r="A6211" s="3">
        <v>46238.553657407407</v>
      </c>
      <c r="B6211" s="1">
        <v>17.010000000000002</v>
      </c>
      <c r="C6211" s="1">
        <v>14.77</v>
      </c>
      <c r="D6211" s="1">
        <v>1.03</v>
      </c>
      <c r="E6211" s="1" t="s">
        <v>113</v>
      </c>
      <c r="F6211" s="1" t="s">
        <v>113</v>
      </c>
      <c r="G6211" s="1" t="s">
        <v>113</v>
      </c>
      <c r="H6211" s="1" t="str">
        <f>VLOOKUP(F6211,Countries!$A$1:$B$161,2,0)</f>
        <v>United States of America</v>
      </c>
    </row>
    <row r="6212" spans="1:8" x14ac:dyDescent="0.3">
      <c r="A6212" s="3">
        <v>46238.541574074072</v>
      </c>
      <c r="B6212" s="1">
        <v>14.77</v>
      </c>
      <c r="C6212" s="1">
        <v>12.83</v>
      </c>
      <c r="D6212" s="1">
        <v>0.93</v>
      </c>
      <c r="E6212" s="1" t="s">
        <v>113</v>
      </c>
      <c r="F6212" s="1" t="s">
        <v>113</v>
      </c>
      <c r="G6212" s="1" t="s">
        <v>113</v>
      </c>
      <c r="H6212" s="1" t="str">
        <f>VLOOKUP(F6212,Countries!$A$1:$B$161,2,0)</f>
        <v>United States of America</v>
      </c>
    </row>
    <row r="6213" spans="1:8" x14ac:dyDescent="0.3">
      <c r="A6213" s="3">
        <v>46238.54042824074</v>
      </c>
      <c r="B6213" s="1">
        <v>14.78</v>
      </c>
      <c r="C6213" s="1">
        <v>12.83</v>
      </c>
      <c r="D6213" s="1">
        <v>0.93</v>
      </c>
      <c r="E6213" s="1" t="s">
        <v>113</v>
      </c>
      <c r="F6213" s="1" t="s">
        <v>113</v>
      </c>
      <c r="G6213" s="1" t="s">
        <v>113</v>
      </c>
      <c r="H6213" s="1" t="str">
        <f>VLOOKUP(F6213,Countries!$A$1:$B$161,2,0)</f>
        <v>United States of America</v>
      </c>
    </row>
    <row r="6214" spans="1:8" x14ac:dyDescent="0.3">
      <c r="A6214" s="3">
        <v>46238.54010416667</v>
      </c>
      <c r="B6214" s="1">
        <v>3.88</v>
      </c>
      <c r="C6214" s="1">
        <v>3.37</v>
      </c>
      <c r="D6214" s="1">
        <v>0.37</v>
      </c>
      <c r="E6214" s="1" t="s">
        <v>117</v>
      </c>
      <c r="F6214" s="1" t="s">
        <v>117</v>
      </c>
      <c r="G6214" s="1" t="s">
        <v>117</v>
      </c>
      <c r="H6214" s="1" t="str">
        <f>VLOOKUP(F6214,Countries!$A$1:$B$161,2,0)</f>
        <v>Slovak Republic</v>
      </c>
    </row>
    <row r="6215" spans="1:8" x14ac:dyDescent="0.3">
      <c r="A6215" s="3">
        <v>46238.538877314822</v>
      </c>
      <c r="B6215" s="1">
        <v>2.11</v>
      </c>
      <c r="C6215" s="1">
        <v>1.83</v>
      </c>
      <c r="D6215" s="1">
        <v>0.35</v>
      </c>
      <c r="E6215" s="1" t="s">
        <v>113</v>
      </c>
      <c r="F6215" s="1" t="s">
        <v>113</v>
      </c>
      <c r="G6215" s="1" t="s">
        <v>113</v>
      </c>
      <c r="H6215" s="1" t="str">
        <f>VLOOKUP(F6215,Countries!$A$1:$B$161,2,0)</f>
        <v>United States of America</v>
      </c>
    </row>
    <row r="6216" spans="1:8" x14ac:dyDescent="0.3">
      <c r="A6216" s="3">
        <v>46238.538425925923</v>
      </c>
      <c r="B6216" s="1">
        <v>44.36</v>
      </c>
      <c r="C6216" s="1">
        <v>38.520000000000003</v>
      </c>
      <c r="D6216" s="1">
        <v>2.27</v>
      </c>
      <c r="E6216" s="1" t="s">
        <v>113</v>
      </c>
      <c r="F6216" s="1" t="s">
        <v>113</v>
      </c>
      <c r="G6216" s="1" t="s">
        <v>113</v>
      </c>
      <c r="H6216" s="1" t="str">
        <f>VLOOKUP(F6216,Countries!$A$1:$B$161,2,0)</f>
        <v>United States of America</v>
      </c>
    </row>
    <row r="6217" spans="1:8" x14ac:dyDescent="0.3">
      <c r="A6217" s="3">
        <v>46238.53769675926</v>
      </c>
      <c r="B6217" s="1">
        <v>61.65</v>
      </c>
      <c r="C6217" s="1">
        <v>53.53</v>
      </c>
      <c r="D6217" s="1">
        <v>3.06</v>
      </c>
      <c r="E6217" s="1" t="s">
        <v>130</v>
      </c>
      <c r="F6217" s="1" t="s">
        <v>130</v>
      </c>
      <c r="G6217" s="1" t="s">
        <v>130</v>
      </c>
      <c r="H6217" s="1" t="str">
        <f>VLOOKUP(F6217,Countries!$A$1:$B$161,2,0)</f>
        <v>Australia</v>
      </c>
    </row>
    <row r="6218" spans="1:8" x14ac:dyDescent="0.3">
      <c r="A6218" s="3">
        <v>46238.536400462966</v>
      </c>
      <c r="B6218" s="1">
        <v>7.39</v>
      </c>
      <c r="C6218" s="1">
        <v>6.42</v>
      </c>
      <c r="D6218" s="1">
        <v>0.48</v>
      </c>
      <c r="E6218" s="1" t="s">
        <v>123</v>
      </c>
      <c r="F6218" s="1" t="s">
        <v>147</v>
      </c>
      <c r="G6218" s="1" t="s">
        <v>147</v>
      </c>
      <c r="H6218" s="1" t="str">
        <f>VLOOKUP(F6218,Countries!$A$1:$B$161,2,0)</f>
        <v>Germany</v>
      </c>
    </row>
    <row r="6219" spans="1:8" x14ac:dyDescent="0.3">
      <c r="A6219" s="3">
        <v>46238.533113425918</v>
      </c>
      <c r="B6219" s="1">
        <v>14.77</v>
      </c>
      <c r="C6219" s="1">
        <v>12.83</v>
      </c>
      <c r="D6219" s="1">
        <v>0.93</v>
      </c>
      <c r="E6219" s="1" t="s">
        <v>113</v>
      </c>
      <c r="F6219" s="1" t="s">
        <v>113</v>
      </c>
      <c r="G6219" s="1" t="s">
        <v>113</v>
      </c>
      <c r="H6219" s="1" t="str">
        <f>VLOOKUP(F6219,Countries!$A$1:$B$161,2,0)</f>
        <v>United States of America</v>
      </c>
    </row>
    <row r="6220" spans="1:8" x14ac:dyDescent="0.3">
      <c r="A6220" s="3">
        <v>46238.532453703701</v>
      </c>
      <c r="B6220" s="1">
        <v>44.36</v>
      </c>
      <c r="C6220" s="1">
        <v>38.520000000000003</v>
      </c>
      <c r="D6220" s="1">
        <v>2.27</v>
      </c>
      <c r="E6220" s="1" t="s">
        <v>113</v>
      </c>
      <c r="F6220" s="1" t="s">
        <v>113</v>
      </c>
      <c r="G6220" s="1" t="s">
        <v>113</v>
      </c>
      <c r="H6220" s="1" t="str">
        <f>VLOOKUP(F6220,Countries!$A$1:$B$161,2,0)</f>
        <v>United States of America</v>
      </c>
    </row>
    <row r="6221" spans="1:8" x14ac:dyDescent="0.3">
      <c r="A6221" s="3">
        <v>46238.528124999997</v>
      </c>
      <c r="B6221" s="1">
        <v>77.22</v>
      </c>
      <c r="C6221" s="1">
        <v>67.05</v>
      </c>
      <c r="D6221" s="1">
        <v>3.77</v>
      </c>
      <c r="E6221" s="1" t="s">
        <v>130</v>
      </c>
      <c r="F6221" s="1" t="s">
        <v>130</v>
      </c>
      <c r="G6221" s="1" t="s">
        <v>130</v>
      </c>
      <c r="H6221" s="1" t="str">
        <f>VLOOKUP(F6221,Countries!$A$1:$B$161,2,0)</f>
        <v>Australia</v>
      </c>
    </row>
    <row r="6222" spans="1:8" x14ac:dyDescent="0.3">
      <c r="A6222" s="3">
        <v>46238.527650462973</v>
      </c>
      <c r="B6222" s="1">
        <v>44.36</v>
      </c>
      <c r="C6222" s="1">
        <v>38.520000000000003</v>
      </c>
      <c r="D6222" s="1">
        <v>2.27</v>
      </c>
      <c r="E6222" s="1" t="s">
        <v>113</v>
      </c>
      <c r="F6222" s="1" t="s">
        <v>113</v>
      </c>
      <c r="G6222" s="1" t="s">
        <v>113</v>
      </c>
      <c r="H6222" s="1" t="str">
        <f>VLOOKUP(F6222,Countries!$A$1:$B$161,2,0)</f>
        <v>United States of America</v>
      </c>
    </row>
    <row r="6223" spans="1:8" x14ac:dyDescent="0.3">
      <c r="A6223" s="3">
        <v>46238.52584490741</v>
      </c>
      <c r="B6223" s="1">
        <v>7.48</v>
      </c>
      <c r="C6223" s="1">
        <v>6.5</v>
      </c>
      <c r="D6223" s="1">
        <v>0.48</v>
      </c>
      <c r="E6223" s="1" t="s">
        <v>123</v>
      </c>
      <c r="F6223" s="1" t="s">
        <v>123</v>
      </c>
      <c r="G6223" s="1" t="s">
        <v>123</v>
      </c>
      <c r="H6223" s="1" t="str">
        <f>VLOOKUP(F6223,Countries!$A$1:$B$161,2,0)</f>
        <v>France</v>
      </c>
    </row>
    <row r="6224" spans="1:8" x14ac:dyDescent="0.3">
      <c r="A6224" s="3">
        <v>46238.520196759258</v>
      </c>
      <c r="B6224" s="1">
        <v>7.48</v>
      </c>
      <c r="C6224" s="1">
        <v>6.5</v>
      </c>
      <c r="D6224" s="1">
        <v>0.54</v>
      </c>
      <c r="E6224" s="1" t="s">
        <v>119</v>
      </c>
      <c r="F6224" s="1" t="s">
        <v>119</v>
      </c>
      <c r="G6224" s="1" t="s">
        <v>119</v>
      </c>
      <c r="H6224" s="1" t="str">
        <f>VLOOKUP(F6224,Countries!$A$1:$B$161,2,0)</f>
        <v>Great Britain (United Kingdom)</v>
      </c>
    </row>
    <row r="6225" spans="1:8" x14ac:dyDescent="0.3">
      <c r="A6225" s="3">
        <v>46238.51829861111</v>
      </c>
      <c r="B6225" s="1">
        <v>14.78</v>
      </c>
      <c r="C6225" s="1">
        <v>12.83</v>
      </c>
      <c r="D6225" s="1">
        <v>0.93</v>
      </c>
      <c r="E6225" s="1" t="s">
        <v>113</v>
      </c>
      <c r="F6225" s="1" t="s">
        <v>113</v>
      </c>
      <c r="G6225" s="1" t="s">
        <v>113</v>
      </c>
      <c r="H6225" s="1" t="str">
        <f>VLOOKUP(F6225,Countries!$A$1:$B$161,2,0)</f>
        <v>United States of America</v>
      </c>
    </row>
    <row r="6226" spans="1:8" x14ac:dyDescent="0.3">
      <c r="A6226" s="3">
        <v>46238.517268518517</v>
      </c>
      <c r="B6226" s="1">
        <v>73.930000000000007</v>
      </c>
      <c r="C6226" s="1">
        <v>64.2</v>
      </c>
      <c r="D6226" s="1">
        <v>3.62</v>
      </c>
      <c r="E6226" s="1" t="s">
        <v>113</v>
      </c>
      <c r="F6226" s="1" t="s">
        <v>113</v>
      </c>
      <c r="G6226" s="1" t="s">
        <v>113</v>
      </c>
      <c r="H6226" s="1" t="str">
        <f>VLOOKUP(F6226,Countries!$A$1:$B$161,2,0)</f>
        <v>United States of America</v>
      </c>
    </row>
    <row r="6227" spans="1:8" x14ac:dyDescent="0.3">
      <c r="A6227" s="3">
        <v>46238.517141203702</v>
      </c>
      <c r="B6227" s="1">
        <v>61.65</v>
      </c>
      <c r="C6227" s="1">
        <v>53.53</v>
      </c>
      <c r="D6227" s="1">
        <v>3.06</v>
      </c>
      <c r="E6227" s="1" t="s">
        <v>130</v>
      </c>
      <c r="F6227" s="1" t="s">
        <v>130</v>
      </c>
      <c r="G6227" s="1" t="s">
        <v>130</v>
      </c>
      <c r="H6227" s="1" t="str">
        <f>VLOOKUP(F6227,Countries!$A$1:$B$161,2,0)</f>
        <v>Australia</v>
      </c>
    </row>
    <row r="6228" spans="1:8" x14ac:dyDescent="0.3">
      <c r="A6228" s="3">
        <v>46238.515162037038</v>
      </c>
      <c r="B6228" s="1">
        <v>14.77</v>
      </c>
      <c r="C6228" s="1">
        <v>12.83</v>
      </c>
      <c r="D6228" s="1">
        <v>0.93</v>
      </c>
      <c r="E6228" s="1" t="s">
        <v>113</v>
      </c>
      <c r="F6228" s="1" t="s">
        <v>113</v>
      </c>
      <c r="G6228" s="1" t="s">
        <v>113</v>
      </c>
      <c r="H6228" s="1" t="str">
        <f>VLOOKUP(F6228,Countries!$A$1:$B$161,2,0)</f>
        <v>United States of America</v>
      </c>
    </row>
    <row r="6229" spans="1:8" x14ac:dyDescent="0.3">
      <c r="A6229" s="3">
        <v>46238.515069444453</v>
      </c>
      <c r="B6229" s="1">
        <v>14.78</v>
      </c>
      <c r="C6229" s="1">
        <v>12.83</v>
      </c>
      <c r="D6229" s="1">
        <v>0.93</v>
      </c>
      <c r="E6229" s="1" t="s">
        <v>113</v>
      </c>
      <c r="F6229" s="1" t="s">
        <v>113</v>
      </c>
      <c r="G6229" s="1" t="s">
        <v>113</v>
      </c>
      <c r="H6229" s="1" t="str">
        <f>VLOOKUP(F6229,Countries!$A$1:$B$161,2,0)</f>
        <v>United States of America</v>
      </c>
    </row>
    <row r="6230" spans="1:8" x14ac:dyDescent="0.3">
      <c r="A6230" s="3">
        <v>46238.512962962966</v>
      </c>
      <c r="B6230" s="1">
        <v>6.37</v>
      </c>
      <c r="C6230" s="1">
        <v>5.53</v>
      </c>
      <c r="D6230" s="1">
        <v>0.54</v>
      </c>
      <c r="E6230" s="1" t="s">
        <v>113</v>
      </c>
      <c r="F6230" s="1" t="s">
        <v>113</v>
      </c>
      <c r="G6230" s="1" t="s">
        <v>113</v>
      </c>
      <c r="H6230" s="1" t="str">
        <f>VLOOKUP(F6230,Countries!$A$1:$B$161,2,0)</f>
        <v>United States of America</v>
      </c>
    </row>
    <row r="6231" spans="1:8" x14ac:dyDescent="0.3">
      <c r="A6231" s="3">
        <v>46238.493171296293</v>
      </c>
      <c r="B6231" s="1">
        <v>6.37</v>
      </c>
      <c r="C6231" s="1">
        <v>5.53</v>
      </c>
      <c r="D6231" s="1">
        <v>0.54</v>
      </c>
      <c r="E6231" s="1" t="s">
        <v>113</v>
      </c>
      <c r="F6231" s="1" t="s">
        <v>113</v>
      </c>
      <c r="G6231" s="1" t="s">
        <v>113</v>
      </c>
      <c r="H6231" s="1" t="str">
        <f>VLOOKUP(F6231,Countries!$A$1:$B$161,2,0)</f>
        <v>United States of America</v>
      </c>
    </row>
    <row r="6232" spans="1:8" x14ac:dyDescent="0.3">
      <c r="A6232" s="3">
        <v>46238.490162037036</v>
      </c>
      <c r="B6232" s="1">
        <v>6.37</v>
      </c>
      <c r="C6232" s="1">
        <v>5.53</v>
      </c>
      <c r="D6232" s="1">
        <v>0.54</v>
      </c>
      <c r="E6232" s="1" t="s">
        <v>113</v>
      </c>
      <c r="F6232" s="1" t="s">
        <v>113</v>
      </c>
      <c r="G6232" s="1" t="s">
        <v>113</v>
      </c>
      <c r="H6232" s="1" t="str">
        <f>VLOOKUP(F6232,Countries!$A$1:$B$161,2,0)</f>
        <v>United States of America</v>
      </c>
    </row>
    <row r="6233" spans="1:8" x14ac:dyDescent="0.3">
      <c r="A6233" s="3">
        <v>46238.48773148148</v>
      </c>
      <c r="B6233" s="1">
        <v>2.11</v>
      </c>
      <c r="C6233" s="1">
        <v>1.83</v>
      </c>
      <c r="D6233" s="1">
        <v>0.35</v>
      </c>
      <c r="E6233" s="1" t="s">
        <v>113</v>
      </c>
      <c r="F6233" s="1" t="s">
        <v>113</v>
      </c>
      <c r="G6233" s="1" t="s">
        <v>113</v>
      </c>
      <c r="H6233" s="1" t="str">
        <f>VLOOKUP(F6233,Countries!$A$1:$B$161,2,0)</f>
        <v>United States of America</v>
      </c>
    </row>
    <row r="6234" spans="1:8" x14ac:dyDescent="0.3">
      <c r="A6234" s="3">
        <v>46238.482546296298</v>
      </c>
      <c r="B6234" s="1">
        <v>6.3</v>
      </c>
      <c r="C6234" s="1">
        <v>5.47</v>
      </c>
      <c r="D6234" s="1">
        <v>0.54</v>
      </c>
      <c r="E6234" s="1" t="s">
        <v>132</v>
      </c>
      <c r="F6234" s="1" t="s">
        <v>132</v>
      </c>
      <c r="G6234" s="1" t="s">
        <v>132</v>
      </c>
      <c r="H6234" s="1" t="str">
        <f>VLOOKUP(F6234,Countries!$A$1:$B$161,2,0)</f>
        <v>Canada</v>
      </c>
    </row>
    <row r="6235" spans="1:8" x14ac:dyDescent="0.3">
      <c r="A6235" s="3">
        <v>46238.480462962973</v>
      </c>
      <c r="B6235" s="1">
        <v>14.77</v>
      </c>
      <c r="C6235" s="1">
        <v>12.83</v>
      </c>
      <c r="D6235" s="1">
        <v>0.93</v>
      </c>
      <c r="E6235" s="1" t="s">
        <v>113</v>
      </c>
      <c r="F6235" s="1" t="s">
        <v>113</v>
      </c>
      <c r="G6235" s="1" t="s">
        <v>113</v>
      </c>
      <c r="H6235" s="1" t="str">
        <f>VLOOKUP(F6235,Countries!$A$1:$B$161,2,0)</f>
        <v>United States of America</v>
      </c>
    </row>
    <row r="6236" spans="1:8" x14ac:dyDescent="0.3">
      <c r="A6236" s="3">
        <v>46238.471805555557</v>
      </c>
      <c r="B6236" s="1">
        <v>2.11</v>
      </c>
      <c r="C6236" s="1">
        <v>1.83</v>
      </c>
      <c r="D6236" s="1">
        <v>0.35</v>
      </c>
      <c r="E6236" s="1" t="s">
        <v>113</v>
      </c>
      <c r="F6236" s="1" t="s">
        <v>113</v>
      </c>
      <c r="G6236" s="1" t="s">
        <v>113</v>
      </c>
      <c r="H6236" s="1" t="str">
        <f>VLOOKUP(F6236,Countries!$A$1:$B$161,2,0)</f>
        <v>United States of America</v>
      </c>
    </row>
    <row r="6237" spans="1:8" x14ac:dyDescent="0.3">
      <c r="A6237" s="3">
        <v>46238.468692129631</v>
      </c>
      <c r="B6237" s="1">
        <v>14.77</v>
      </c>
      <c r="C6237" s="1">
        <v>12.83</v>
      </c>
      <c r="D6237" s="1">
        <v>0.93</v>
      </c>
      <c r="E6237" s="1" t="s">
        <v>113</v>
      </c>
      <c r="F6237" s="1" t="s">
        <v>113</v>
      </c>
      <c r="G6237" s="1" t="s">
        <v>113</v>
      </c>
      <c r="H6237" s="1" t="str">
        <f>VLOOKUP(F6237,Countries!$A$1:$B$161,2,0)</f>
        <v>United States of America</v>
      </c>
    </row>
    <row r="6238" spans="1:8" x14ac:dyDescent="0.3">
      <c r="A6238" s="3">
        <v>46238.467789351853</v>
      </c>
      <c r="B6238" s="1">
        <v>14.77</v>
      </c>
      <c r="C6238" s="1">
        <v>12.83</v>
      </c>
      <c r="D6238" s="1">
        <v>0.93</v>
      </c>
      <c r="E6238" s="1" t="s">
        <v>113</v>
      </c>
      <c r="F6238" s="1" t="s">
        <v>113</v>
      </c>
      <c r="G6238" s="1" t="s">
        <v>113</v>
      </c>
      <c r="H6238" s="1" t="str">
        <f>VLOOKUP(F6238,Countries!$A$1:$B$161,2,0)</f>
        <v>United States of America</v>
      </c>
    </row>
    <row r="6239" spans="1:8" x14ac:dyDescent="0.3">
      <c r="A6239" s="3">
        <v>46238.466944444437</v>
      </c>
      <c r="B6239" s="1">
        <v>26.61</v>
      </c>
      <c r="C6239" s="1">
        <v>23.11</v>
      </c>
      <c r="D6239" s="1">
        <v>1.46</v>
      </c>
      <c r="E6239" s="1" t="s">
        <v>113</v>
      </c>
      <c r="F6239" s="1" t="s">
        <v>113</v>
      </c>
      <c r="G6239" s="1" t="s">
        <v>113</v>
      </c>
      <c r="H6239" s="1" t="str">
        <f>VLOOKUP(F6239,Countries!$A$1:$B$161,2,0)</f>
        <v>United States of America</v>
      </c>
    </row>
    <row r="6240" spans="1:8" x14ac:dyDescent="0.3">
      <c r="A6240" s="3">
        <v>46238.466828703713</v>
      </c>
      <c r="B6240" s="1">
        <v>6.65</v>
      </c>
      <c r="C6240" s="1">
        <v>5.78</v>
      </c>
      <c r="D6240" s="1">
        <v>0.56000000000000005</v>
      </c>
      <c r="E6240" s="1" t="s">
        <v>130</v>
      </c>
      <c r="F6240" s="1" t="s">
        <v>130</v>
      </c>
      <c r="G6240" s="1" t="s">
        <v>130</v>
      </c>
      <c r="H6240" s="1" t="str">
        <f>VLOOKUP(F6240,Countries!$A$1:$B$161,2,0)</f>
        <v>Australia</v>
      </c>
    </row>
    <row r="6241" spans="1:8" x14ac:dyDescent="0.3">
      <c r="A6241" s="3">
        <v>46238.461134259262</v>
      </c>
      <c r="B6241" s="1">
        <v>6.37</v>
      </c>
      <c r="C6241" s="1">
        <v>5.53</v>
      </c>
      <c r="D6241" s="1">
        <v>0.54</v>
      </c>
      <c r="E6241" s="1" t="s">
        <v>113</v>
      </c>
      <c r="F6241" s="1" t="s">
        <v>113</v>
      </c>
      <c r="G6241" s="1" t="s">
        <v>113</v>
      </c>
      <c r="H6241" s="1" t="str">
        <f>VLOOKUP(F6241,Countries!$A$1:$B$161,2,0)</f>
        <v>United States of America</v>
      </c>
    </row>
    <row r="6242" spans="1:8" x14ac:dyDescent="0.3">
      <c r="A6242" s="3">
        <v>46238.448009259257</v>
      </c>
      <c r="B6242" s="1">
        <v>59.14</v>
      </c>
      <c r="C6242" s="1">
        <v>51.39</v>
      </c>
      <c r="D6242" s="1">
        <v>2.95</v>
      </c>
      <c r="E6242" s="1" t="s">
        <v>113</v>
      </c>
      <c r="F6242" s="1" t="s">
        <v>113</v>
      </c>
      <c r="G6242" s="1" t="s">
        <v>113</v>
      </c>
      <c r="H6242" s="1" t="str">
        <f>VLOOKUP(F6242,Countries!$A$1:$B$161,2,0)</f>
        <v>United States of America</v>
      </c>
    </row>
    <row r="6243" spans="1:8" x14ac:dyDescent="0.3">
      <c r="A6243" s="3">
        <v>46238.445659722223</v>
      </c>
      <c r="B6243" s="1">
        <v>44.36</v>
      </c>
      <c r="C6243" s="1">
        <v>38.549999999999997</v>
      </c>
      <c r="D6243" s="1">
        <v>2.27</v>
      </c>
      <c r="E6243" s="1" t="s">
        <v>113</v>
      </c>
      <c r="F6243" s="1" t="s">
        <v>113</v>
      </c>
      <c r="G6243" s="1" t="s">
        <v>113</v>
      </c>
      <c r="H6243" s="1" t="str">
        <f>VLOOKUP(F6243,Countries!$A$1:$B$161,2,0)</f>
        <v>United States of America</v>
      </c>
    </row>
    <row r="6244" spans="1:8" x14ac:dyDescent="0.3">
      <c r="A6244" s="3">
        <v>46238.445011574076</v>
      </c>
      <c r="B6244" s="1">
        <v>7.58</v>
      </c>
      <c r="C6244" s="1">
        <v>6.59</v>
      </c>
      <c r="D6244" s="1">
        <v>0.48</v>
      </c>
      <c r="E6244" s="1" t="s">
        <v>116</v>
      </c>
      <c r="F6244" s="1" t="s">
        <v>116</v>
      </c>
      <c r="G6244" s="1" t="s">
        <v>116</v>
      </c>
      <c r="H6244" s="1" t="str">
        <f>VLOOKUP(F6244,Countries!$A$1:$B$161,2,0)</f>
        <v>Spain</v>
      </c>
    </row>
    <row r="6245" spans="1:8" x14ac:dyDescent="0.3">
      <c r="A6245" s="3">
        <v>46238.442407407398</v>
      </c>
      <c r="B6245" s="1">
        <v>14.77</v>
      </c>
      <c r="C6245" s="1">
        <v>12.83</v>
      </c>
      <c r="D6245" s="1">
        <v>0.93</v>
      </c>
      <c r="E6245" s="1" t="s">
        <v>113</v>
      </c>
      <c r="F6245" s="1" t="s">
        <v>113</v>
      </c>
      <c r="G6245" s="1" t="s">
        <v>113</v>
      </c>
      <c r="H6245" s="1" t="str">
        <f>VLOOKUP(F6245,Countries!$A$1:$B$161,2,0)</f>
        <v>United States of America</v>
      </c>
    </row>
    <row r="6246" spans="1:8" x14ac:dyDescent="0.3">
      <c r="A6246" s="3">
        <v>46238.442395833343</v>
      </c>
      <c r="B6246" s="1">
        <v>6.37</v>
      </c>
      <c r="C6246" s="1">
        <v>5.54</v>
      </c>
      <c r="D6246" s="1">
        <v>0.54</v>
      </c>
      <c r="E6246" s="1" t="s">
        <v>113</v>
      </c>
      <c r="F6246" s="1" t="s">
        <v>113</v>
      </c>
      <c r="G6246" s="1" t="s">
        <v>113</v>
      </c>
      <c r="H6246" s="1" t="str">
        <f>VLOOKUP(F6246,Countries!$A$1:$B$161,2,0)</f>
        <v>United States of America</v>
      </c>
    </row>
    <row r="6247" spans="1:8" x14ac:dyDescent="0.3">
      <c r="A6247" s="3">
        <v>46238.440393518518</v>
      </c>
      <c r="B6247" s="1">
        <v>10.62</v>
      </c>
      <c r="C6247" s="1">
        <v>9.23</v>
      </c>
      <c r="D6247" s="1">
        <v>0.73</v>
      </c>
      <c r="E6247" s="1" t="s">
        <v>113</v>
      </c>
      <c r="F6247" s="1" t="s">
        <v>113</v>
      </c>
      <c r="G6247" s="1" t="s">
        <v>113</v>
      </c>
      <c r="H6247" s="1" t="str">
        <f>VLOOKUP(F6247,Countries!$A$1:$B$161,2,0)</f>
        <v>United States of America</v>
      </c>
    </row>
    <row r="6248" spans="1:8" x14ac:dyDescent="0.3">
      <c r="A6248" s="3">
        <v>46238.435659722221</v>
      </c>
      <c r="B6248" s="1">
        <v>7.48</v>
      </c>
      <c r="C6248" s="1">
        <v>6.5</v>
      </c>
      <c r="D6248" s="1">
        <v>0.54</v>
      </c>
      <c r="E6248" s="1" t="s">
        <v>119</v>
      </c>
      <c r="F6248" s="1" t="s">
        <v>119</v>
      </c>
      <c r="G6248" s="1" t="s">
        <v>119</v>
      </c>
      <c r="H6248" s="1" t="str">
        <f>VLOOKUP(F6248,Countries!$A$1:$B$161,2,0)</f>
        <v>Great Britain (United Kingdom)</v>
      </c>
    </row>
    <row r="6249" spans="1:8" x14ac:dyDescent="0.3">
      <c r="A6249" s="3">
        <v>46238.416712962957</v>
      </c>
      <c r="B6249" s="1">
        <v>29.57</v>
      </c>
      <c r="C6249" s="1">
        <v>25.7</v>
      </c>
      <c r="D6249" s="1">
        <v>1.6</v>
      </c>
      <c r="E6249" s="1" t="s">
        <v>113</v>
      </c>
      <c r="F6249" s="1" t="s">
        <v>113</v>
      </c>
      <c r="G6249" s="1" t="s">
        <v>113</v>
      </c>
      <c r="H6249" s="1" t="str">
        <f>VLOOKUP(F6249,Countries!$A$1:$B$161,2,0)</f>
        <v>United States of America</v>
      </c>
    </row>
    <row r="6250" spans="1:8" x14ac:dyDescent="0.3">
      <c r="A6250" s="3">
        <v>46238.416493055563</v>
      </c>
      <c r="B6250" s="1">
        <v>7.48</v>
      </c>
      <c r="C6250" s="1">
        <v>6.5</v>
      </c>
      <c r="D6250" s="1">
        <v>0.48</v>
      </c>
      <c r="E6250" s="1" t="s">
        <v>123</v>
      </c>
      <c r="F6250" s="1" t="s">
        <v>123</v>
      </c>
      <c r="G6250" s="1" t="s">
        <v>123</v>
      </c>
      <c r="H6250" s="1" t="str">
        <f>VLOOKUP(F6250,Countries!$A$1:$B$161,2,0)</f>
        <v>France</v>
      </c>
    </row>
    <row r="6251" spans="1:8" x14ac:dyDescent="0.3">
      <c r="A6251" s="3">
        <v>46238.416203703702</v>
      </c>
      <c r="B6251" s="1">
        <v>22.91</v>
      </c>
      <c r="C6251" s="1">
        <v>19.91</v>
      </c>
      <c r="D6251" s="1">
        <v>1.3</v>
      </c>
      <c r="E6251" s="1" t="s">
        <v>199</v>
      </c>
      <c r="F6251" s="1" t="s">
        <v>152</v>
      </c>
      <c r="G6251" s="1" t="s">
        <v>152</v>
      </c>
      <c r="H6251" s="1" t="str">
        <f>VLOOKUP(F6251,Countries!$A$1:$B$161,2,0)</f>
        <v>Singapore</v>
      </c>
    </row>
    <row r="6252" spans="1:8" x14ac:dyDescent="0.3">
      <c r="A6252" s="3">
        <v>46238.412256944437</v>
      </c>
      <c r="B6252" s="1">
        <v>15.26</v>
      </c>
      <c r="C6252" s="1">
        <v>13.26</v>
      </c>
      <c r="D6252" s="1">
        <v>0.95</v>
      </c>
      <c r="E6252" s="1" t="s">
        <v>199</v>
      </c>
      <c r="F6252" s="1" t="s">
        <v>152</v>
      </c>
      <c r="G6252" s="1" t="s">
        <v>152</v>
      </c>
      <c r="H6252" s="1" t="str">
        <f>VLOOKUP(F6252,Countries!$A$1:$B$161,2,0)</f>
        <v>Singapore</v>
      </c>
    </row>
    <row r="6253" spans="1:8" x14ac:dyDescent="0.3">
      <c r="A6253" s="3">
        <v>46238.408680555563</v>
      </c>
      <c r="B6253" s="1">
        <v>85.1</v>
      </c>
      <c r="C6253" s="1">
        <v>73.95</v>
      </c>
      <c r="D6253" s="1">
        <v>4.13</v>
      </c>
      <c r="E6253" s="1" t="s">
        <v>113</v>
      </c>
      <c r="F6253" s="1" t="s">
        <v>113</v>
      </c>
      <c r="G6253" s="1" t="s">
        <v>113</v>
      </c>
      <c r="H6253" s="1" t="str">
        <f>VLOOKUP(F6253,Countries!$A$1:$B$161,2,0)</f>
        <v>United States of America</v>
      </c>
    </row>
    <row r="6254" spans="1:8" x14ac:dyDescent="0.3">
      <c r="A6254" s="3">
        <v>46238.398946759262</v>
      </c>
      <c r="B6254" s="1">
        <v>2.16</v>
      </c>
      <c r="C6254" s="1">
        <v>1.88</v>
      </c>
      <c r="D6254" s="1">
        <v>0.35</v>
      </c>
      <c r="E6254" s="1" t="s">
        <v>115</v>
      </c>
      <c r="F6254" s="1" t="s">
        <v>115</v>
      </c>
      <c r="G6254" s="1" t="s">
        <v>115</v>
      </c>
      <c r="H6254" s="1" t="str">
        <f>VLOOKUP(F6254,Countries!$A$1:$B$161,2,0)</f>
        <v>Switzerland</v>
      </c>
    </row>
    <row r="6255" spans="1:8" x14ac:dyDescent="0.3">
      <c r="A6255" s="3">
        <v>46238.395162037043</v>
      </c>
      <c r="B6255" s="1">
        <v>6.3</v>
      </c>
      <c r="C6255" s="1">
        <v>5.47</v>
      </c>
      <c r="D6255" s="1">
        <v>0.54</v>
      </c>
      <c r="E6255" s="1" t="s">
        <v>132</v>
      </c>
      <c r="F6255" s="1" t="s">
        <v>132</v>
      </c>
      <c r="G6255" s="1" t="s">
        <v>132</v>
      </c>
      <c r="H6255" s="1" t="str">
        <f>VLOOKUP(F6255,Countries!$A$1:$B$161,2,0)</f>
        <v>Canada</v>
      </c>
    </row>
    <row r="6256" spans="1:8" x14ac:dyDescent="0.3">
      <c r="A6256" s="3">
        <v>46238.391979166663</v>
      </c>
      <c r="B6256" s="1">
        <v>3.18</v>
      </c>
      <c r="C6256" s="1">
        <v>2.76</v>
      </c>
      <c r="D6256" s="1">
        <v>0.4</v>
      </c>
      <c r="E6256" s="1" t="s">
        <v>113</v>
      </c>
      <c r="F6256" s="1" t="s">
        <v>113</v>
      </c>
      <c r="G6256" s="1" t="s">
        <v>113</v>
      </c>
      <c r="H6256" s="1" t="str">
        <f>VLOOKUP(F6256,Countries!$A$1:$B$161,2,0)</f>
        <v>United States of America</v>
      </c>
    </row>
    <row r="6257" spans="1:8" x14ac:dyDescent="0.3">
      <c r="A6257" s="3">
        <v>46238.386400462958</v>
      </c>
      <c r="B6257" s="1">
        <v>7.04</v>
      </c>
      <c r="C6257" s="1">
        <v>6.12</v>
      </c>
      <c r="D6257" s="1">
        <v>0.56999999999999995</v>
      </c>
      <c r="E6257" s="1" t="s">
        <v>128</v>
      </c>
      <c r="F6257" s="1" t="s">
        <v>128</v>
      </c>
      <c r="G6257" s="1" t="s">
        <v>128</v>
      </c>
      <c r="H6257" s="1" t="str">
        <f>VLOOKUP(F6257,Countries!$A$1:$B$161,2,0)</f>
        <v>South Africa</v>
      </c>
    </row>
    <row r="6258" spans="1:8" x14ac:dyDescent="0.3">
      <c r="A6258" s="3">
        <v>46238.377557870372</v>
      </c>
      <c r="B6258" s="1">
        <v>2.99</v>
      </c>
      <c r="C6258" s="1">
        <v>2.6</v>
      </c>
      <c r="D6258" s="1">
        <v>0.38</v>
      </c>
      <c r="E6258" s="1" t="s">
        <v>113</v>
      </c>
      <c r="F6258" s="1" t="s">
        <v>113</v>
      </c>
      <c r="G6258" s="1" t="s">
        <v>113</v>
      </c>
      <c r="H6258" s="1" t="str">
        <f>VLOOKUP(F6258,Countries!$A$1:$B$161,2,0)</f>
        <v>United States of America</v>
      </c>
    </row>
    <row r="6259" spans="1:8" x14ac:dyDescent="0.3">
      <c r="A6259" s="3">
        <v>46238.374189814807</v>
      </c>
      <c r="B6259" s="1">
        <v>17.8</v>
      </c>
      <c r="C6259" s="1">
        <v>15.46</v>
      </c>
      <c r="D6259" s="1">
        <v>0.79</v>
      </c>
      <c r="E6259" s="1" t="s">
        <v>124</v>
      </c>
      <c r="F6259" s="1" t="s">
        <v>124</v>
      </c>
      <c r="G6259" s="1" t="s">
        <v>124</v>
      </c>
      <c r="H6259" s="1" t="str">
        <f>VLOOKUP(F6259,Countries!$A$1:$B$161,2,0)</f>
        <v>Italy</v>
      </c>
    </row>
    <row r="6260" spans="1:8" x14ac:dyDescent="0.3">
      <c r="A6260" s="3">
        <v>46238.370949074073</v>
      </c>
      <c r="B6260" s="1">
        <v>17.82</v>
      </c>
      <c r="C6260" s="1">
        <v>15.48</v>
      </c>
      <c r="D6260" s="1">
        <v>0.79</v>
      </c>
      <c r="E6260" s="1" t="s">
        <v>124</v>
      </c>
      <c r="F6260" s="1" t="s">
        <v>124</v>
      </c>
      <c r="G6260" s="1" t="s">
        <v>124</v>
      </c>
      <c r="H6260" s="1" t="str">
        <f>VLOOKUP(F6260,Countries!$A$1:$B$161,2,0)</f>
        <v>Italy</v>
      </c>
    </row>
    <row r="6261" spans="1:8" x14ac:dyDescent="0.3">
      <c r="A6261" s="3">
        <v>46238.368194444447</v>
      </c>
      <c r="B6261" s="1">
        <v>10.62</v>
      </c>
      <c r="C6261" s="1">
        <v>9.23</v>
      </c>
      <c r="D6261" s="1">
        <v>0.73</v>
      </c>
      <c r="E6261" s="1" t="s">
        <v>113</v>
      </c>
      <c r="F6261" s="1" t="s">
        <v>113</v>
      </c>
      <c r="G6261" s="1" t="s">
        <v>113</v>
      </c>
      <c r="H6261" s="1" t="str">
        <f>VLOOKUP(F6261,Countries!$A$1:$B$161,2,0)</f>
        <v>United States of America</v>
      </c>
    </row>
    <row r="6262" spans="1:8" x14ac:dyDescent="0.3">
      <c r="A6262" s="3">
        <v>46238.367858796293</v>
      </c>
      <c r="B6262" s="1">
        <v>10.97</v>
      </c>
      <c r="C6262" s="1">
        <v>9.5299999999999994</v>
      </c>
      <c r="D6262" s="1">
        <v>0.75</v>
      </c>
      <c r="E6262" s="1" t="s">
        <v>199</v>
      </c>
      <c r="F6262" s="1" t="s">
        <v>152</v>
      </c>
      <c r="G6262" s="1" t="s">
        <v>152</v>
      </c>
      <c r="H6262" s="1" t="str">
        <f>VLOOKUP(F6262,Countries!$A$1:$B$161,2,0)</f>
        <v>Singapore</v>
      </c>
    </row>
    <row r="6263" spans="1:8" x14ac:dyDescent="0.3">
      <c r="A6263" s="3">
        <v>46238.365798611107</v>
      </c>
      <c r="B6263" s="1">
        <v>6.58</v>
      </c>
      <c r="C6263" s="1">
        <v>5.72</v>
      </c>
      <c r="D6263" s="1">
        <v>0.55000000000000004</v>
      </c>
      <c r="E6263" s="1" t="s">
        <v>152</v>
      </c>
      <c r="F6263" s="1" t="s">
        <v>152</v>
      </c>
      <c r="G6263" s="1" t="s">
        <v>152</v>
      </c>
      <c r="H6263" s="1" t="str">
        <f>VLOOKUP(F6263,Countries!$A$1:$B$161,2,0)</f>
        <v>Singapore</v>
      </c>
    </row>
    <row r="6264" spans="1:8" x14ac:dyDescent="0.3">
      <c r="A6264" s="3">
        <v>46238.365046296298</v>
      </c>
      <c r="B6264" s="1">
        <v>17.8</v>
      </c>
      <c r="C6264" s="1">
        <v>15.46</v>
      </c>
      <c r="D6264" s="1">
        <v>0.79</v>
      </c>
      <c r="E6264" s="1" t="s">
        <v>124</v>
      </c>
      <c r="F6264" s="1" t="s">
        <v>124</v>
      </c>
      <c r="G6264" s="1" t="s">
        <v>124</v>
      </c>
      <c r="H6264" s="1" t="str">
        <f>VLOOKUP(F6264,Countries!$A$1:$B$161,2,0)</f>
        <v>Italy</v>
      </c>
    </row>
    <row r="6265" spans="1:8" x14ac:dyDescent="0.3">
      <c r="A6265" s="3">
        <v>46238.364722222221</v>
      </c>
      <c r="B6265" s="1">
        <v>3.28</v>
      </c>
      <c r="C6265" s="1">
        <v>2.85</v>
      </c>
      <c r="D6265" s="1">
        <v>0.4</v>
      </c>
      <c r="E6265" s="1" t="s">
        <v>199</v>
      </c>
      <c r="F6265" s="1" t="s">
        <v>152</v>
      </c>
      <c r="G6265" s="1" t="s">
        <v>152</v>
      </c>
      <c r="H6265" s="1" t="str">
        <f>VLOOKUP(F6265,Countries!$A$1:$B$161,2,0)</f>
        <v>Singapore</v>
      </c>
    </row>
    <row r="6266" spans="1:8" x14ac:dyDescent="0.3">
      <c r="A6266" s="3">
        <v>46238.356458333343</v>
      </c>
      <c r="B6266" s="1">
        <v>26.59</v>
      </c>
      <c r="C6266" s="1">
        <v>23.1</v>
      </c>
      <c r="D6266" s="1">
        <v>1.46</v>
      </c>
      <c r="E6266" s="1" t="s">
        <v>113</v>
      </c>
      <c r="F6266" s="1" t="s">
        <v>113</v>
      </c>
      <c r="G6266" s="1" t="s">
        <v>113</v>
      </c>
      <c r="H6266" s="1" t="str">
        <f>VLOOKUP(F6266,Countries!$A$1:$B$161,2,0)</f>
        <v>United States of America</v>
      </c>
    </row>
    <row r="6267" spans="1:8" x14ac:dyDescent="0.3">
      <c r="A6267" s="3">
        <v>46238.356319444443</v>
      </c>
      <c r="B6267" s="1">
        <v>10.62</v>
      </c>
      <c r="C6267" s="1">
        <v>9.23</v>
      </c>
      <c r="D6267" s="1">
        <v>0.73</v>
      </c>
      <c r="E6267" s="1" t="s">
        <v>113</v>
      </c>
      <c r="F6267" s="1" t="s">
        <v>113</v>
      </c>
      <c r="G6267" s="1" t="s">
        <v>113</v>
      </c>
      <c r="H6267" s="1" t="str">
        <f>VLOOKUP(F6267,Countries!$A$1:$B$161,2,0)</f>
        <v>United States of America</v>
      </c>
    </row>
    <row r="6268" spans="1:8" x14ac:dyDescent="0.3">
      <c r="A6268" s="3">
        <v>46238.352523148147</v>
      </c>
      <c r="B6268" s="1">
        <v>7.67</v>
      </c>
      <c r="C6268" s="1">
        <v>6.66</v>
      </c>
      <c r="D6268" s="1">
        <v>0.48</v>
      </c>
      <c r="E6268" s="1" t="s">
        <v>124</v>
      </c>
      <c r="F6268" s="1" t="s">
        <v>124</v>
      </c>
      <c r="G6268" s="1" t="s">
        <v>124</v>
      </c>
      <c r="H6268" s="1" t="str">
        <f>VLOOKUP(F6268,Countries!$A$1:$B$161,2,0)</f>
        <v>Italy</v>
      </c>
    </row>
    <row r="6269" spans="1:8" x14ac:dyDescent="0.3">
      <c r="A6269" s="3">
        <v>46238.351759259262</v>
      </c>
      <c r="B6269" s="1">
        <v>21.27</v>
      </c>
      <c r="C6269" s="1">
        <v>18.48</v>
      </c>
      <c r="D6269" s="1">
        <v>1.22</v>
      </c>
      <c r="E6269" s="1" t="s">
        <v>113</v>
      </c>
      <c r="F6269" s="1" t="s">
        <v>113</v>
      </c>
      <c r="G6269" s="1" t="s">
        <v>113</v>
      </c>
      <c r="H6269" s="1" t="str">
        <f>VLOOKUP(F6269,Countries!$A$1:$B$161,2,0)</f>
        <v>United States of America</v>
      </c>
    </row>
    <row r="6270" spans="1:8" x14ac:dyDescent="0.3">
      <c r="A6270" s="3">
        <v>46238.343888888892</v>
      </c>
      <c r="B6270" s="1">
        <v>4.24</v>
      </c>
      <c r="C6270" s="1">
        <v>3.68</v>
      </c>
      <c r="D6270" s="1">
        <v>0.44</v>
      </c>
      <c r="E6270" s="1" t="s">
        <v>113</v>
      </c>
      <c r="F6270" s="1" t="s">
        <v>113</v>
      </c>
      <c r="G6270" s="1" t="s">
        <v>113</v>
      </c>
      <c r="H6270" s="1" t="str">
        <f>VLOOKUP(F6270,Countries!$A$1:$B$161,2,0)</f>
        <v>United States of America</v>
      </c>
    </row>
    <row r="6271" spans="1:8" x14ac:dyDescent="0.3">
      <c r="A6271" s="3">
        <v>46238.33357638889</v>
      </c>
      <c r="B6271" s="1">
        <v>6.37</v>
      </c>
      <c r="C6271" s="1">
        <v>5.54</v>
      </c>
      <c r="D6271" s="1">
        <v>0.54</v>
      </c>
      <c r="E6271" s="1" t="s">
        <v>113</v>
      </c>
      <c r="F6271" s="1" t="s">
        <v>113</v>
      </c>
      <c r="G6271" s="1" t="s">
        <v>113</v>
      </c>
      <c r="H6271" s="1" t="str">
        <f>VLOOKUP(F6271,Countries!$A$1:$B$161,2,0)</f>
        <v>United States of America</v>
      </c>
    </row>
    <row r="6272" spans="1:8" x14ac:dyDescent="0.3">
      <c r="A6272" s="3">
        <v>46238.329224537039</v>
      </c>
      <c r="B6272" s="1">
        <v>7.58</v>
      </c>
      <c r="C6272" s="1">
        <v>6.59</v>
      </c>
      <c r="D6272" s="1">
        <v>0.48</v>
      </c>
      <c r="E6272" s="1" t="s">
        <v>116</v>
      </c>
      <c r="F6272" s="1" t="s">
        <v>116</v>
      </c>
      <c r="G6272" s="1" t="s">
        <v>116</v>
      </c>
      <c r="H6272" s="1" t="str">
        <f>VLOOKUP(F6272,Countries!$A$1:$B$161,2,0)</f>
        <v>Spain</v>
      </c>
    </row>
    <row r="6273" spans="1:8" x14ac:dyDescent="0.3">
      <c r="A6273" s="3">
        <v>46238.326180555552</v>
      </c>
      <c r="B6273" s="1">
        <v>36.96</v>
      </c>
      <c r="C6273" s="1">
        <v>32.119999999999997</v>
      </c>
      <c r="D6273" s="1">
        <v>1.93</v>
      </c>
      <c r="E6273" s="1" t="s">
        <v>113</v>
      </c>
      <c r="F6273" s="1" t="s">
        <v>113</v>
      </c>
      <c r="G6273" s="1" t="s">
        <v>113</v>
      </c>
      <c r="H6273" s="1" t="str">
        <f>VLOOKUP(F6273,Countries!$A$1:$B$161,2,0)</f>
        <v>United States of America</v>
      </c>
    </row>
    <row r="6274" spans="1:8" x14ac:dyDescent="0.3">
      <c r="A6274" s="3">
        <v>46238.32503472222</v>
      </c>
      <c r="B6274" s="1">
        <v>6.37</v>
      </c>
      <c r="C6274" s="1">
        <v>5.54</v>
      </c>
      <c r="D6274" s="1">
        <v>0.54</v>
      </c>
      <c r="E6274" s="1" t="s">
        <v>113</v>
      </c>
      <c r="F6274" s="1" t="s">
        <v>113</v>
      </c>
      <c r="G6274" s="1" t="s">
        <v>113</v>
      </c>
      <c r="H6274" s="1" t="str">
        <f>VLOOKUP(F6274,Countries!$A$1:$B$161,2,0)</f>
        <v>United States of America</v>
      </c>
    </row>
    <row r="6275" spans="1:8" x14ac:dyDescent="0.3">
      <c r="A6275" s="3">
        <v>46238.323518518519</v>
      </c>
      <c r="B6275" s="1">
        <v>6.37</v>
      </c>
      <c r="C6275" s="1">
        <v>5.54</v>
      </c>
      <c r="D6275" s="1">
        <v>0.54</v>
      </c>
      <c r="E6275" s="1" t="s">
        <v>113</v>
      </c>
      <c r="F6275" s="1" t="s">
        <v>113</v>
      </c>
      <c r="G6275" s="1" t="s">
        <v>113</v>
      </c>
      <c r="H6275" s="1" t="str">
        <f>VLOOKUP(F6275,Countries!$A$1:$B$161,2,0)</f>
        <v>United States of America</v>
      </c>
    </row>
    <row r="6276" spans="1:8" x14ac:dyDescent="0.3">
      <c r="A6276" s="3">
        <v>46238.322013888886</v>
      </c>
      <c r="B6276" s="1">
        <v>14.77</v>
      </c>
      <c r="C6276" s="1">
        <v>12.84</v>
      </c>
      <c r="D6276" s="1">
        <v>0.93</v>
      </c>
      <c r="E6276" s="1" t="s">
        <v>113</v>
      </c>
      <c r="F6276" s="1" t="s">
        <v>113</v>
      </c>
      <c r="G6276" s="1" t="s">
        <v>113</v>
      </c>
      <c r="H6276" s="1" t="str">
        <f>VLOOKUP(F6276,Countries!$A$1:$B$161,2,0)</f>
        <v>United States of America</v>
      </c>
    </row>
    <row r="6277" spans="1:8" x14ac:dyDescent="0.3">
      <c r="A6277" s="3">
        <v>46238.317256944443</v>
      </c>
      <c r="B6277" s="1">
        <v>6.37</v>
      </c>
      <c r="C6277" s="1">
        <v>5.54</v>
      </c>
      <c r="D6277" s="1">
        <v>0.54</v>
      </c>
      <c r="E6277" s="1" t="s">
        <v>113</v>
      </c>
      <c r="F6277" s="1" t="s">
        <v>113</v>
      </c>
      <c r="G6277" s="1" t="s">
        <v>113</v>
      </c>
      <c r="H6277" s="1" t="str">
        <f>VLOOKUP(F6277,Countries!$A$1:$B$161,2,0)</f>
        <v>United States of America</v>
      </c>
    </row>
    <row r="6278" spans="1:8" x14ac:dyDescent="0.3">
      <c r="A6278" s="3">
        <v>46238.313518518517</v>
      </c>
      <c r="B6278" s="1">
        <v>17.010000000000002</v>
      </c>
      <c r="C6278" s="1">
        <v>14.78</v>
      </c>
      <c r="D6278" s="1">
        <v>1.03</v>
      </c>
      <c r="E6278" s="1" t="s">
        <v>113</v>
      </c>
      <c r="F6278" s="1" t="s">
        <v>113</v>
      </c>
      <c r="G6278" s="1" t="s">
        <v>113</v>
      </c>
      <c r="H6278" s="1" t="str">
        <f>VLOOKUP(F6278,Countries!$A$1:$B$161,2,0)</f>
        <v>United States of America</v>
      </c>
    </row>
    <row r="6279" spans="1:8" x14ac:dyDescent="0.3">
      <c r="A6279" s="3">
        <v>46238.30982638889</v>
      </c>
      <c r="B6279" s="1">
        <v>106.38</v>
      </c>
      <c r="C6279" s="1">
        <v>92.45</v>
      </c>
      <c r="D6279" s="1">
        <v>5.0999999999999996</v>
      </c>
      <c r="E6279" s="1" t="s">
        <v>113</v>
      </c>
      <c r="F6279" s="1" t="s">
        <v>113</v>
      </c>
      <c r="G6279" s="1" t="s">
        <v>113</v>
      </c>
      <c r="H6279" s="1" t="str">
        <f>VLOOKUP(F6279,Countries!$A$1:$B$161,2,0)</f>
        <v>United States of America</v>
      </c>
    </row>
    <row r="6280" spans="1:8" x14ac:dyDescent="0.3">
      <c r="A6280" s="3">
        <v>46238.309247685182</v>
      </c>
      <c r="B6280" s="1">
        <v>10.62</v>
      </c>
      <c r="C6280" s="1">
        <v>9.23</v>
      </c>
      <c r="D6280" s="1">
        <v>0.73</v>
      </c>
      <c r="E6280" s="1" t="s">
        <v>113</v>
      </c>
      <c r="F6280" s="1" t="s">
        <v>113</v>
      </c>
      <c r="G6280" s="1" t="s">
        <v>113</v>
      </c>
      <c r="H6280" s="1" t="str">
        <f>VLOOKUP(F6280,Countries!$A$1:$B$161,2,0)</f>
        <v>United States of America</v>
      </c>
    </row>
    <row r="6281" spans="1:8" x14ac:dyDescent="0.3">
      <c r="A6281" s="3">
        <v>46238.307870370372</v>
      </c>
      <c r="B6281" s="1">
        <v>10.63</v>
      </c>
      <c r="C6281" s="1">
        <v>9.24</v>
      </c>
      <c r="D6281" s="1">
        <v>0.73</v>
      </c>
      <c r="E6281" s="1" t="s">
        <v>113</v>
      </c>
      <c r="F6281" s="1" t="s">
        <v>113</v>
      </c>
      <c r="G6281" s="1" t="s">
        <v>113</v>
      </c>
      <c r="H6281" s="1" t="str">
        <f>VLOOKUP(F6281,Countries!$A$1:$B$161,2,0)</f>
        <v>United States of America</v>
      </c>
    </row>
    <row r="6282" spans="1:8" x14ac:dyDescent="0.3">
      <c r="A6282" s="3">
        <v>46238.30704861111</v>
      </c>
      <c r="B6282" s="1">
        <v>6.37</v>
      </c>
      <c r="C6282" s="1">
        <v>5.54</v>
      </c>
      <c r="D6282" s="1">
        <v>0.54</v>
      </c>
      <c r="E6282" s="1" t="s">
        <v>113</v>
      </c>
      <c r="F6282" s="1" t="s">
        <v>113</v>
      </c>
      <c r="G6282" s="1" t="s">
        <v>113</v>
      </c>
      <c r="H6282" s="1" t="str">
        <f>VLOOKUP(F6282,Countries!$A$1:$B$161,2,0)</f>
        <v>United States of America</v>
      </c>
    </row>
    <row r="6283" spans="1:8" x14ac:dyDescent="0.3">
      <c r="A6283" s="3">
        <v>46238.3049537037</v>
      </c>
      <c r="B6283" s="1">
        <v>10.62</v>
      </c>
      <c r="C6283" s="1">
        <v>9.23</v>
      </c>
      <c r="D6283" s="1">
        <v>0.73</v>
      </c>
      <c r="E6283" s="1" t="s">
        <v>113</v>
      </c>
      <c r="F6283" s="1" t="s">
        <v>113</v>
      </c>
      <c r="G6283" s="1" t="s">
        <v>113</v>
      </c>
      <c r="H6283" s="1" t="str">
        <f>VLOOKUP(F6283,Countries!$A$1:$B$161,2,0)</f>
        <v>United States of America</v>
      </c>
    </row>
    <row r="6284" spans="1:8" x14ac:dyDescent="0.3">
      <c r="A6284" s="3">
        <v>46238.299803240741</v>
      </c>
      <c r="B6284" s="1">
        <v>6.37</v>
      </c>
      <c r="C6284" s="1">
        <v>5.54</v>
      </c>
      <c r="D6284" s="1">
        <v>0.54</v>
      </c>
      <c r="E6284" s="1" t="s">
        <v>113</v>
      </c>
      <c r="F6284" s="1" t="s">
        <v>113</v>
      </c>
      <c r="G6284" s="1" t="s">
        <v>113</v>
      </c>
      <c r="H6284" s="1" t="str">
        <f>VLOOKUP(F6284,Countries!$A$1:$B$161,2,0)</f>
        <v>United States of America</v>
      </c>
    </row>
    <row r="6285" spans="1:8" x14ac:dyDescent="0.3">
      <c r="A6285" s="3">
        <v>46238.295439814807</v>
      </c>
      <c r="B6285" s="1">
        <v>2.99</v>
      </c>
      <c r="C6285" s="1">
        <v>2.6</v>
      </c>
      <c r="D6285" s="1">
        <v>0.38</v>
      </c>
      <c r="E6285" s="1" t="s">
        <v>114</v>
      </c>
      <c r="F6285" s="1" t="s">
        <v>114</v>
      </c>
      <c r="G6285" s="1" t="s">
        <v>114</v>
      </c>
      <c r="H6285" s="1" t="str">
        <f>VLOOKUP(F6285,Countries!$A$1:$B$161,2,0)</f>
        <v>Philippines</v>
      </c>
    </row>
    <row r="6286" spans="1:8" x14ac:dyDescent="0.3">
      <c r="A6286" s="3">
        <v>46238.295381944437</v>
      </c>
      <c r="B6286" s="1">
        <v>24.02</v>
      </c>
      <c r="C6286" s="1">
        <v>20.87</v>
      </c>
      <c r="D6286" s="1">
        <v>0.98</v>
      </c>
      <c r="E6286" s="1" t="s">
        <v>147</v>
      </c>
      <c r="F6286" s="1" t="s">
        <v>147</v>
      </c>
      <c r="G6286" s="1" t="s">
        <v>147</v>
      </c>
      <c r="H6286" s="1" t="str">
        <f>VLOOKUP(F6286,Countries!$A$1:$B$161,2,0)</f>
        <v>Germany</v>
      </c>
    </row>
    <row r="6287" spans="1:8" x14ac:dyDescent="0.3">
      <c r="A6287" s="3">
        <v>46238.295162037037</v>
      </c>
      <c r="B6287" s="1">
        <v>20.59</v>
      </c>
      <c r="C6287" s="1">
        <v>17.89</v>
      </c>
      <c r="D6287" s="1">
        <v>0.88</v>
      </c>
      <c r="E6287" s="1" t="s">
        <v>147</v>
      </c>
      <c r="F6287" s="1" t="s">
        <v>147</v>
      </c>
      <c r="G6287" s="1" t="s">
        <v>147</v>
      </c>
      <c r="H6287" s="1" t="str">
        <f>VLOOKUP(F6287,Countries!$A$1:$B$161,2,0)</f>
        <v>Germany</v>
      </c>
    </row>
    <row r="6288" spans="1:8" x14ac:dyDescent="0.3">
      <c r="A6288" s="3">
        <v>46238.293055555558</v>
      </c>
      <c r="B6288" s="1">
        <v>6.37</v>
      </c>
      <c r="C6288" s="1">
        <v>5.54</v>
      </c>
      <c r="D6288" s="1">
        <v>0.54</v>
      </c>
      <c r="E6288" s="1" t="s">
        <v>113</v>
      </c>
      <c r="F6288" s="1" t="s">
        <v>113</v>
      </c>
      <c r="G6288" s="1" t="s">
        <v>113</v>
      </c>
      <c r="H6288" s="1" t="str">
        <f>VLOOKUP(F6288,Countries!$A$1:$B$161,2,0)</f>
        <v>United States of America</v>
      </c>
    </row>
    <row r="6289" spans="1:8" x14ac:dyDescent="0.3">
      <c r="A6289" s="3">
        <v>46238.292141203703</v>
      </c>
      <c r="B6289" s="1">
        <v>6.65</v>
      </c>
      <c r="C6289" s="1">
        <v>5.78</v>
      </c>
      <c r="D6289" s="1">
        <v>0.56000000000000005</v>
      </c>
      <c r="E6289" s="1" t="s">
        <v>121</v>
      </c>
      <c r="F6289" s="1" t="s">
        <v>121</v>
      </c>
      <c r="G6289" s="1" t="s">
        <v>121</v>
      </c>
      <c r="H6289" s="1" t="str">
        <f>VLOOKUP(F6289,Countries!$A$1:$B$161,2,0)</f>
        <v>Japan</v>
      </c>
    </row>
    <row r="6290" spans="1:8" x14ac:dyDescent="0.3">
      <c r="A6290" s="3">
        <v>46238.288495370369</v>
      </c>
      <c r="B6290" s="1">
        <v>106.38</v>
      </c>
      <c r="C6290" s="1">
        <v>92.45</v>
      </c>
      <c r="D6290" s="1">
        <v>5.0999999999999996</v>
      </c>
      <c r="E6290" s="1" t="s">
        <v>113</v>
      </c>
      <c r="F6290" s="1" t="s">
        <v>113</v>
      </c>
      <c r="G6290" s="1" t="s">
        <v>113</v>
      </c>
      <c r="H6290" s="1" t="str">
        <f>VLOOKUP(F6290,Countries!$A$1:$B$161,2,0)</f>
        <v>United States of America</v>
      </c>
    </row>
    <row r="6291" spans="1:8" x14ac:dyDescent="0.3">
      <c r="A6291" s="3">
        <v>46238.287685185183</v>
      </c>
      <c r="B6291" s="1">
        <v>7.39</v>
      </c>
      <c r="C6291" s="1">
        <v>6.42</v>
      </c>
      <c r="D6291" s="1">
        <v>0.48</v>
      </c>
      <c r="E6291" s="1" t="s">
        <v>147</v>
      </c>
      <c r="F6291" s="1" t="s">
        <v>147</v>
      </c>
      <c r="G6291" s="1" t="s">
        <v>147</v>
      </c>
      <c r="H6291" s="1" t="str">
        <f>VLOOKUP(F6291,Countries!$A$1:$B$161,2,0)</f>
        <v>Germany</v>
      </c>
    </row>
    <row r="6292" spans="1:8" x14ac:dyDescent="0.3">
      <c r="A6292" s="3">
        <v>46238.28633101852</v>
      </c>
      <c r="B6292" s="1">
        <v>6.37</v>
      </c>
      <c r="C6292" s="1">
        <v>5.54</v>
      </c>
      <c r="D6292" s="1">
        <v>0.54</v>
      </c>
      <c r="E6292" s="1" t="s">
        <v>113</v>
      </c>
      <c r="F6292" s="1" t="s">
        <v>113</v>
      </c>
      <c r="G6292" s="1" t="s">
        <v>113</v>
      </c>
      <c r="H6292" s="1" t="str">
        <f>VLOOKUP(F6292,Countries!$A$1:$B$161,2,0)</f>
        <v>United States of America</v>
      </c>
    </row>
    <row r="6293" spans="1:8" x14ac:dyDescent="0.3">
      <c r="A6293" s="3">
        <v>46238.266793981478</v>
      </c>
      <c r="B6293" s="1">
        <v>13.32</v>
      </c>
      <c r="C6293" s="1">
        <v>11.58</v>
      </c>
      <c r="D6293" s="1">
        <v>0.65</v>
      </c>
      <c r="E6293" s="1" t="s">
        <v>192</v>
      </c>
      <c r="F6293" s="1" t="s">
        <v>192</v>
      </c>
      <c r="G6293" s="1" t="s">
        <v>192</v>
      </c>
      <c r="H6293" s="1" t="str">
        <f>VLOOKUP(F6293,Countries!$A$1:$B$161,2,0)</f>
        <v>Lithuania</v>
      </c>
    </row>
    <row r="6294" spans="1:8" x14ac:dyDescent="0.3">
      <c r="A6294" s="3">
        <v>46238.265833333331</v>
      </c>
      <c r="B6294" s="1">
        <v>6.3</v>
      </c>
      <c r="C6294" s="1">
        <v>5.47</v>
      </c>
      <c r="D6294" s="1">
        <v>0.54</v>
      </c>
      <c r="E6294" s="1" t="s">
        <v>132</v>
      </c>
      <c r="F6294" s="1" t="s">
        <v>132</v>
      </c>
      <c r="G6294" s="1" t="s">
        <v>132</v>
      </c>
      <c r="H6294" s="1" t="str">
        <f>VLOOKUP(F6294,Countries!$A$1:$B$161,2,0)</f>
        <v>Canada</v>
      </c>
    </row>
    <row r="6295" spans="1:8" x14ac:dyDescent="0.3">
      <c r="A6295" s="3">
        <v>46238.256076388891</v>
      </c>
      <c r="B6295" s="1">
        <v>0.99</v>
      </c>
      <c r="C6295" s="1">
        <v>0.86</v>
      </c>
      <c r="D6295" s="1">
        <v>0.28000000000000003</v>
      </c>
      <c r="E6295" s="1" t="s">
        <v>151</v>
      </c>
      <c r="F6295" s="1" t="s">
        <v>151</v>
      </c>
      <c r="G6295" s="1" t="s">
        <v>151</v>
      </c>
      <c r="H6295" s="1" t="str">
        <f>VLOOKUP(F6295,Countries!$A$1:$B$161,2,0)</f>
        <v>Netherlands (Holland)</v>
      </c>
    </row>
    <row r="6296" spans="1:8" x14ac:dyDescent="0.3">
      <c r="A6296" s="3">
        <v>46238.255567129629</v>
      </c>
      <c r="B6296" s="1">
        <v>14.77</v>
      </c>
      <c r="C6296" s="1">
        <v>12.84</v>
      </c>
      <c r="D6296" s="1">
        <v>0.93</v>
      </c>
      <c r="E6296" s="1" t="s">
        <v>113</v>
      </c>
      <c r="F6296" s="1" t="s">
        <v>113</v>
      </c>
      <c r="G6296" s="1" t="s">
        <v>113</v>
      </c>
      <c r="H6296" s="1" t="str">
        <f>VLOOKUP(F6296,Countries!$A$1:$B$161,2,0)</f>
        <v>United States of America</v>
      </c>
    </row>
    <row r="6297" spans="1:8" x14ac:dyDescent="0.3">
      <c r="A6297" s="3">
        <v>46238.255543981482</v>
      </c>
      <c r="B6297" s="1">
        <v>3.18</v>
      </c>
      <c r="C6297" s="1">
        <v>2.76</v>
      </c>
      <c r="D6297" s="1">
        <v>0.4</v>
      </c>
      <c r="E6297" s="1" t="s">
        <v>113</v>
      </c>
      <c r="F6297" s="1" t="s">
        <v>113</v>
      </c>
      <c r="G6297" s="1" t="s">
        <v>113</v>
      </c>
      <c r="H6297" s="1" t="str">
        <f>VLOOKUP(F6297,Countries!$A$1:$B$161,2,0)</f>
        <v>United States of America</v>
      </c>
    </row>
    <row r="6298" spans="1:8" x14ac:dyDescent="0.3">
      <c r="A6298" s="3">
        <v>46238.254108796304</v>
      </c>
      <c r="B6298" s="1">
        <v>6.3</v>
      </c>
      <c r="C6298" s="1">
        <v>5.47</v>
      </c>
      <c r="D6298" s="1">
        <v>0.54</v>
      </c>
      <c r="E6298" s="1" t="s">
        <v>132</v>
      </c>
      <c r="F6298" s="1" t="s">
        <v>132</v>
      </c>
      <c r="G6298" s="1" t="s">
        <v>132</v>
      </c>
      <c r="H6298" s="1" t="str">
        <f>VLOOKUP(F6298,Countries!$A$1:$B$161,2,0)</f>
        <v>Canada</v>
      </c>
    </row>
    <row r="6299" spans="1:8" x14ac:dyDescent="0.3">
      <c r="A6299" s="3">
        <v>46238.253634259258</v>
      </c>
      <c r="B6299" s="1">
        <v>17.36</v>
      </c>
      <c r="C6299" s="1">
        <v>15.09</v>
      </c>
      <c r="D6299" s="1">
        <v>0.93</v>
      </c>
      <c r="E6299" s="1" t="s">
        <v>119</v>
      </c>
      <c r="F6299" s="1" t="s">
        <v>119</v>
      </c>
      <c r="G6299" s="1" t="s">
        <v>119</v>
      </c>
      <c r="H6299" s="1" t="str">
        <f>VLOOKUP(F6299,Countries!$A$1:$B$161,2,0)</f>
        <v>Great Britain (United Kingdom)</v>
      </c>
    </row>
    <row r="6300" spans="1:8" x14ac:dyDescent="0.3">
      <c r="A6300" s="3">
        <v>46238.252210648148</v>
      </c>
      <c r="B6300" s="1">
        <v>1.99</v>
      </c>
      <c r="C6300" s="1">
        <v>1.73</v>
      </c>
      <c r="D6300" s="1">
        <v>0.34</v>
      </c>
      <c r="E6300" s="1" t="s">
        <v>190</v>
      </c>
      <c r="F6300" s="1" t="s">
        <v>152</v>
      </c>
      <c r="G6300" s="1" t="s">
        <v>152</v>
      </c>
      <c r="H6300" s="1" t="str">
        <f>VLOOKUP(F6300,Countries!$A$1:$B$161,2,0)</f>
        <v>Singapore</v>
      </c>
    </row>
    <row r="6301" spans="1:8" x14ac:dyDescent="0.3">
      <c r="A6301" s="3">
        <v>46238.228773148148</v>
      </c>
      <c r="B6301" s="1">
        <v>2.99</v>
      </c>
      <c r="C6301" s="1">
        <v>2.6</v>
      </c>
      <c r="D6301" s="1">
        <v>0.34</v>
      </c>
      <c r="E6301" s="1" t="s">
        <v>116</v>
      </c>
      <c r="F6301" s="1" t="s">
        <v>116</v>
      </c>
      <c r="G6301" s="1" t="s">
        <v>116</v>
      </c>
      <c r="H6301" s="1" t="str">
        <f>VLOOKUP(F6301,Countries!$A$1:$B$161,2,0)</f>
        <v>Spain</v>
      </c>
    </row>
    <row r="6302" spans="1:8" x14ac:dyDescent="0.3">
      <c r="A6302" s="3">
        <v>46238.225115740737</v>
      </c>
      <c r="B6302" s="1">
        <v>6.37</v>
      </c>
      <c r="C6302" s="1">
        <v>5.53</v>
      </c>
      <c r="D6302" s="1">
        <v>0.54</v>
      </c>
      <c r="E6302" s="1" t="s">
        <v>113</v>
      </c>
      <c r="F6302" s="1" t="s">
        <v>113</v>
      </c>
      <c r="G6302" s="1" t="s">
        <v>113</v>
      </c>
      <c r="H6302" s="1" t="str">
        <f>VLOOKUP(F6302,Countries!$A$1:$B$161,2,0)</f>
        <v>United States of America</v>
      </c>
    </row>
    <row r="6303" spans="1:8" x14ac:dyDescent="0.3">
      <c r="A6303" s="3">
        <v>46238.216990740737</v>
      </c>
      <c r="B6303" s="1">
        <v>0.99</v>
      </c>
      <c r="C6303" s="1">
        <v>0.86</v>
      </c>
      <c r="D6303" s="1">
        <v>0.3</v>
      </c>
      <c r="E6303" s="1" t="s">
        <v>113</v>
      </c>
      <c r="F6303" s="1" t="s">
        <v>113</v>
      </c>
      <c r="G6303" s="1" t="s">
        <v>113</v>
      </c>
      <c r="H6303" s="1" t="str">
        <f>VLOOKUP(F6303,Countries!$A$1:$B$161,2,0)</f>
        <v>United States of America</v>
      </c>
    </row>
    <row r="6304" spans="1:8" x14ac:dyDescent="0.3">
      <c r="A6304" s="3">
        <v>46238.215138888889</v>
      </c>
      <c r="B6304" s="1">
        <v>17.36</v>
      </c>
      <c r="C6304" s="1">
        <v>15.08</v>
      </c>
      <c r="D6304" s="1">
        <v>0.93</v>
      </c>
      <c r="E6304" s="1" t="s">
        <v>119</v>
      </c>
      <c r="F6304" s="1" t="s">
        <v>119</v>
      </c>
      <c r="G6304" s="1" t="s">
        <v>119</v>
      </c>
      <c r="H6304" s="1" t="str">
        <f>VLOOKUP(F6304,Countries!$A$1:$B$161,2,0)</f>
        <v>Great Britain (United Kingdom)</v>
      </c>
    </row>
    <row r="6305" spans="1:8" x14ac:dyDescent="0.3">
      <c r="A6305" s="3">
        <v>46238.205092592587</v>
      </c>
      <c r="B6305" s="1">
        <v>6.37</v>
      </c>
      <c r="C6305" s="1">
        <v>5.53</v>
      </c>
      <c r="D6305" s="1">
        <v>0.54</v>
      </c>
      <c r="E6305" s="1" t="s">
        <v>113</v>
      </c>
      <c r="F6305" s="1" t="s">
        <v>113</v>
      </c>
      <c r="G6305" s="1" t="s">
        <v>113</v>
      </c>
      <c r="H6305" s="1" t="str">
        <f>VLOOKUP(F6305,Countries!$A$1:$B$161,2,0)</f>
        <v>United States of America</v>
      </c>
    </row>
    <row r="6306" spans="1:8" x14ac:dyDescent="0.3">
      <c r="A6306" s="3">
        <v>46238.197395833333</v>
      </c>
      <c r="B6306" s="1">
        <v>17.010000000000002</v>
      </c>
      <c r="C6306" s="1">
        <v>14.78</v>
      </c>
      <c r="D6306" s="1">
        <v>1.03</v>
      </c>
      <c r="E6306" s="1" t="s">
        <v>113</v>
      </c>
      <c r="F6306" s="1" t="s">
        <v>113</v>
      </c>
      <c r="G6306" s="1" t="s">
        <v>113</v>
      </c>
      <c r="H6306" s="1" t="str">
        <f>VLOOKUP(F6306,Countries!$A$1:$B$161,2,0)</f>
        <v>United States of America</v>
      </c>
    </row>
    <row r="6307" spans="1:8" x14ac:dyDescent="0.3">
      <c r="A6307" s="3">
        <v>46238.195219907408</v>
      </c>
      <c r="B6307" s="1">
        <v>86.94</v>
      </c>
      <c r="C6307" s="1">
        <v>75.540000000000006</v>
      </c>
      <c r="D6307" s="1">
        <v>4.22</v>
      </c>
      <c r="E6307" s="1" t="s">
        <v>115</v>
      </c>
      <c r="F6307" s="1" t="s">
        <v>115</v>
      </c>
      <c r="G6307" s="1" t="s">
        <v>115</v>
      </c>
      <c r="H6307" s="1" t="str">
        <f>VLOOKUP(F6307,Countries!$A$1:$B$161,2,0)</f>
        <v>Switzerland</v>
      </c>
    </row>
    <row r="6308" spans="1:8" x14ac:dyDescent="0.3">
      <c r="A6308" s="3">
        <v>46238.189340277779</v>
      </c>
      <c r="B6308" s="1">
        <v>38.61</v>
      </c>
      <c r="C6308" s="1">
        <v>33.549999999999997</v>
      </c>
      <c r="D6308" s="1">
        <v>2.0099999999999998</v>
      </c>
      <c r="E6308" s="1" t="s">
        <v>171</v>
      </c>
      <c r="F6308" s="1" t="s">
        <v>171</v>
      </c>
      <c r="G6308" s="1" t="s">
        <v>171</v>
      </c>
      <c r="H6308" s="1" t="str">
        <f>VLOOKUP(F6308,Countries!$A$1:$B$161,2,0)</f>
        <v>Korea (South)</v>
      </c>
    </row>
    <row r="6309" spans="1:8" x14ac:dyDescent="0.3">
      <c r="A6309" s="3">
        <v>46238.181064814817</v>
      </c>
      <c r="B6309" s="1">
        <v>14.77</v>
      </c>
      <c r="C6309" s="1">
        <v>12.83</v>
      </c>
      <c r="D6309" s="1">
        <v>0.93</v>
      </c>
      <c r="E6309" s="1" t="s">
        <v>113</v>
      </c>
      <c r="F6309" s="1" t="s">
        <v>113</v>
      </c>
      <c r="G6309" s="1" t="s">
        <v>113</v>
      </c>
      <c r="H6309" s="1" t="str">
        <f>VLOOKUP(F6309,Countries!$A$1:$B$161,2,0)</f>
        <v>United States of America</v>
      </c>
    </row>
    <row r="6310" spans="1:8" x14ac:dyDescent="0.3">
      <c r="A6310" s="3">
        <v>46238.17559027778</v>
      </c>
      <c r="B6310" s="1">
        <v>2.11</v>
      </c>
      <c r="C6310" s="1">
        <v>1.83</v>
      </c>
      <c r="D6310" s="1">
        <v>0.35</v>
      </c>
      <c r="E6310" s="1" t="s">
        <v>113</v>
      </c>
      <c r="F6310" s="1" t="s">
        <v>113</v>
      </c>
      <c r="G6310" s="1" t="s">
        <v>113</v>
      </c>
      <c r="H6310" s="1" t="str">
        <f>VLOOKUP(F6310,Countries!$A$1:$B$161,2,0)</f>
        <v>United States of America</v>
      </c>
    </row>
    <row r="6311" spans="1:8" x14ac:dyDescent="0.3">
      <c r="A6311" s="3">
        <v>46238.174201388887</v>
      </c>
      <c r="B6311" s="1">
        <v>2.11</v>
      </c>
      <c r="C6311" s="1">
        <v>1.83</v>
      </c>
      <c r="D6311" s="1">
        <v>0.35</v>
      </c>
      <c r="E6311" s="1" t="s">
        <v>113</v>
      </c>
      <c r="F6311" s="1" t="s">
        <v>113</v>
      </c>
      <c r="G6311" s="1" t="s">
        <v>113</v>
      </c>
      <c r="H6311" s="1" t="str">
        <f>VLOOKUP(F6311,Countries!$A$1:$B$161,2,0)</f>
        <v>United States of America</v>
      </c>
    </row>
    <row r="6312" spans="1:8" x14ac:dyDescent="0.3">
      <c r="A6312" s="3">
        <v>46238.166365740741</v>
      </c>
      <c r="B6312" s="1">
        <v>6.37</v>
      </c>
      <c r="C6312" s="1">
        <v>5.54</v>
      </c>
      <c r="D6312" s="1">
        <v>0.54</v>
      </c>
      <c r="E6312" s="1" t="s">
        <v>113</v>
      </c>
      <c r="F6312" s="1" t="s">
        <v>113</v>
      </c>
      <c r="G6312" s="1" t="s">
        <v>113</v>
      </c>
      <c r="H6312" s="1" t="str">
        <f>VLOOKUP(F6312,Countries!$A$1:$B$161,2,0)</f>
        <v>United States of America</v>
      </c>
    </row>
    <row r="6313" spans="1:8" x14ac:dyDescent="0.3">
      <c r="A6313" s="3">
        <v>46238.165879629632</v>
      </c>
      <c r="B6313" s="1">
        <v>5.99</v>
      </c>
      <c r="C6313" s="1">
        <v>5.2</v>
      </c>
      <c r="D6313" s="1">
        <v>0.52</v>
      </c>
      <c r="E6313" s="1" t="s">
        <v>135</v>
      </c>
      <c r="F6313" s="1" t="s">
        <v>135</v>
      </c>
      <c r="G6313" s="1" t="s">
        <v>135</v>
      </c>
      <c r="H6313" s="1" t="str">
        <f>VLOOKUP(F6313,Countries!$A$1:$B$161,2,0)</f>
        <v>Kuwait</v>
      </c>
    </row>
    <row r="6314" spans="1:8" x14ac:dyDescent="0.3">
      <c r="A6314" s="3">
        <v>46238.153252314813</v>
      </c>
      <c r="B6314" s="1">
        <v>3.73</v>
      </c>
      <c r="C6314" s="1">
        <v>3.24</v>
      </c>
      <c r="D6314" s="1">
        <v>0.39</v>
      </c>
      <c r="E6314" s="1" t="s">
        <v>119</v>
      </c>
      <c r="F6314" s="1" t="s">
        <v>119</v>
      </c>
      <c r="G6314" s="1" t="s">
        <v>119</v>
      </c>
      <c r="H6314" s="1" t="str">
        <f>VLOOKUP(F6314,Countries!$A$1:$B$161,2,0)</f>
        <v>Great Britain (United Kingdom)</v>
      </c>
    </row>
    <row r="6315" spans="1:8" x14ac:dyDescent="0.3">
      <c r="A6315" s="3">
        <v>46238.13989583333</v>
      </c>
      <c r="B6315" s="1">
        <v>17.010000000000002</v>
      </c>
      <c r="C6315" s="1">
        <v>14.78</v>
      </c>
      <c r="D6315" s="1">
        <v>1.03</v>
      </c>
      <c r="E6315" s="1" t="s">
        <v>113</v>
      </c>
      <c r="F6315" s="1" t="s">
        <v>113</v>
      </c>
      <c r="G6315" s="1" t="s">
        <v>113</v>
      </c>
      <c r="H6315" s="1" t="str">
        <f>VLOOKUP(F6315,Countries!$A$1:$B$161,2,0)</f>
        <v>United States of America</v>
      </c>
    </row>
    <row r="6316" spans="1:8" x14ac:dyDescent="0.3">
      <c r="A6316" s="3">
        <v>46238.138159722221</v>
      </c>
      <c r="B6316" s="1">
        <v>7.39</v>
      </c>
      <c r="C6316" s="1">
        <v>6.42</v>
      </c>
      <c r="D6316" s="1">
        <v>0.48</v>
      </c>
      <c r="E6316" s="1" t="s">
        <v>147</v>
      </c>
      <c r="F6316" s="1" t="s">
        <v>147</v>
      </c>
      <c r="G6316" s="1" t="s">
        <v>147</v>
      </c>
      <c r="H6316" s="1" t="str">
        <f>VLOOKUP(F6316,Countries!$A$1:$B$161,2,0)</f>
        <v>Germany</v>
      </c>
    </row>
    <row r="6317" spans="1:8" x14ac:dyDescent="0.3">
      <c r="A6317" s="3">
        <v>46238.137337962973</v>
      </c>
      <c r="B6317" s="1">
        <v>57.23</v>
      </c>
      <c r="C6317" s="1">
        <v>49.73</v>
      </c>
      <c r="D6317" s="1">
        <v>2.86</v>
      </c>
      <c r="E6317" s="1" t="s">
        <v>163</v>
      </c>
      <c r="F6317" s="1" t="s">
        <v>163</v>
      </c>
      <c r="G6317" s="1" t="s">
        <v>163</v>
      </c>
      <c r="H6317" s="1" t="str">
        <f>VLOOKUP(F6317,Countries!$A$1:$B$161,2,0)</f>
        <v>Saudi Arabia</v>
      </c>
    </row>
    <row r="6318" spans="1:8" x14ac:dyDescent="0.3">
      <c r="A6318" s="3">
        <v>46238.134085648147</v>
      </c>
      <c r="B6318" s="1">
        <v>10.62</v>
      </c>
      <c r="C6318" s="1">
        <v>9.23</v>
      </c>
      <c r="D6318" s="1">
        <v>0.73</v>
      </c>
      <c r="E6318" s="1" t="s">
        <v>163</v>
      </c>
      <c r="F6318" s="1" t="s">
        <v>163</v>
      </c>
      <c r="G6318" s="1" t="s">
        <v>163</v>
      </c>
      <c r="H6318" s="1" t="str">
        <f>VLOOKUP(F6318,Countries!$A$1:$B$161,2,0)</f>
        <v>Saudi Arabia</v>
      </c>
    </row>
    <row r="6319" spans="1:8" x14ac:dyDescent="0.3">
      <c r="A6319" s="3">
        <v>46238.125787037039</v>
      </c>
      <c r="B6319" s="1">
        <v>6.65</v>
      </c>
      <c r="C6319" s="1">
        <v>5.78</v>
      </c>
      <c r="D6319" s="1">
        <v>0.56000000000000005</v>
      </c>
      <c r="E6319" s="1" t="s">
        <v>171</v>
      </c>
      <c r="F6319" s="1" t="s">
        <v>171</v>
      </c>
      <c r="G6319" s="1" t="s">
        <v>171</v>
      </c>
      <c r="H6319" s="1" t="str">
        <f>VLOOKUP(F6319,Countries!$A$1:$B$161,2,0)</f>
        <v>Korea (South)</v>
      </c>
    </row>
    <row r="6320" spans="1:8" x14ac:dyDescent="0.3">
      <c r="A6320" s="3">
        <v>46238.124583333331</v>
      </c>
      <c r="B6320" s="1">
        <v>2.99</v>
      </c>
      <c r="C6320" s="1">
        <v>2.6</v>
      </c>
      <c r="D6320" s="1">
        <v>0.38</v>
      </c>
      <c r="E6320" s="1" t="s">
        <v>113</v>
      </c>
      <c r="F6320" s="1" t="s">
        <v>163</v>
      </c>
      <c r="G6320" s="1" t="s">
        <v>163</v>
      </c>
      <c r="H6320" s="1" t="str">
        <f>VLOOKUP(F6320,Countries!$A$1:$B$161,2,0)</f>
        <v>Saudi Arabia</v>
      </c>
    </row>
    <row r="6321" spans="1:8" x14ac:dyDescent="0.3">
      <c r="A6321" s="3">
        <v>46238.119791666657</v>
      </c>
      <c r="B6321" s="1">
        <v>3.98</v>
      </c>
      <c r="C6321" s="1">
        <v>3.46</v>
      </c>
      <c r="D6321" s="1">
        <v>0.37</v>
      </c>
      <c r="E6321" s="1" t="s">
        <v>172</v>
      </c>
      <c r="F6321" s="1" t="s">
        <v>172</v>
      </c>
      <c r="G6321" s="1" t="s">
        <v>172</v>
      </c>
      <c r="H6321" s="1" t="str">
        <f>VLOOKUP(F6321,Countries!$A$1:$B$161,2,0)</f>
        <v>Croatia</v>
      </c>
    </row>
    <row r="6322" spans="1:8" x14ac:dyDescent="0.3">
      <c r="A6322" s="3">
        <v>46238.11378472222</v>
      </c>
      <c r="B6322" s="1">
        <v>8.5</v>
      </c>
      <c r="C6322" s="1">
        <v>7.38</v>
      </c>
      <c r="D6322" s="1">
        <v>0.64</v>
      </c>
      <c r="E6322" s="1" t="s">
        <v>113</v>
      </c>
      <c r="F6322" s="1" t="s">
        <v>113</v>
      </c>
      <c r="G6322" s="1" t="s">
        <v>113</v>
      </c>
      <c r="H6322" s="1" t="str">
        <f>VLOOKUP(F6322,Countries!$A$1:$B$161,2,0)</f>
        <v>United States of America</v>
      </c>
    </row>
    <row r="6323" spans="1:8" x14ac:dyDescent="0.3">
      <c r="A6323" s="3">
        <v>46238.109814814823</v>
      </c>
      <c r="B6323" s="1">
        <v>6.37</v>
      </c>
      <c r="C6323" s="1">
        <v>5.53</v>
      </c>
      <c r="D6323" s="1">
        <v>0.54</v>
      </c>
      <c r="E6323" s="1" t="s">
        <v>113</v>
      </c>
      <c r="F6323" s="1" t="s">
        <v>113</v>
      </c>
      <c r="G6323" s="1" t="s">
        <v>113</v>
      </c>
      <c r="H6323" s="1" t="str">
        <f>VLOOKUP(F6323,Countries!$A$1:$B$161,2,0)</f>
        <v>United States of America</v>
      </c>
    </row>
    <row r="6324" spans="1:8" x14ac:dyDescent="0.3">
      <c r="A6324" s="3">
        <v>46238.107673611114</v>
      </c>
      <c r="B6324" s="1">
        <v>6.3</v>
      </c>
      <c r="C6324" s="1">
        <v>5.47</v>
      </c>
      <c r="D6324" s="1">
        <v>0.54</v>
      </c>
      <c r="E6324" s="1" t="s">
        <v>143</v>
      </c>
      <c r="F6324" s="1" t="s">
        <v>143</v>
      </c>
      <c r="G6324" s="1" t="s">
        <v>143</v>
      </c>
      <c r="H6324" s="1" t="str">
        <f>VLOOKUP(F6324,Countries!$A$1:$B$161,2,0)</f>
        <v>United Arab Emirates</v>
      </c>
    </row>
    <row r="6325" spans="1:8" x14ac:dyDescent="0.3">
      <c r="A6325" s="3">
        <v>46238.107048611113</v>
      </c>
      <c r="B6325" s="1">
        <v>7.58</v>
      </c>
      <c r="C6325" s="1">
        <v>6.58</v>
      </c>
      <c r="D6325" s="1">
        <v>0.48</v>
      </c>
      <c r="E6325" s="1" t="s">
        <v>116</v>
      </c>
      <c r="F6325" s="1" t="s">
        <v>116</v>
      </c>
      <c r="G6325" s="1" t="s">
        <v>116</v>
      </c>
      <c r="H6325" s="1" t="str">
        <f>VLOOKUP(F6325,Countries!$A$1:$B$161,2,0)</f>
        <v>Spain</v>
      </c>
    </row>
    <row r="6326" spans="1:8" x14ac:dyDescent="0.3">
      <c r="A6326" s="3">
        <v>46238.100763888891</v>
      </c>
      <c r="B6326" s="1">
        <v>2.99</v>
      </c>
      <c r="C6326" s="1">
        <v>2.6</v>
      </c>
      <c r="D6326" s="1">
        <v>0.38</v>
      </c>
      <c r="E6326" s="1" t="s">
        <v>113</v>
      </c>
      <c r="F6326" s="1" t="s">
        <v>113</v>
      </c>
      <c r="G6326" s="1" t="s">
        <v>113</v>
      </c>
      <c r="H6326" s="1" t="str">
        <f>VLOOKUP(F6326,Countries!$A$1:$B$161,2,0)</f>
        <v>United States of America</v>
      </c>
    </row>
    <row r="6327" spans="1:8" x14ac:dyDescent="0.3">
      <c r="A6327" s="3">
        <v>46238.095937500002</v>
      </c>
      <c r="B6327" s="1">
        <v>6.37</v>
      </c>
      <c r="C6327" s="1">
        <v>5.53</v>
      </c>
      <c r="D6327" s="1">
        <v>0.54</v>
      </c>
      <c r="E6327" s="1" t="s">
        <v>113</v>
      </c>
      <c r="F6327" s="1" t="s">
        <v>113</v>
      </c>
      <c r="G6327" s="1" t="s">
        <v>113</v>
      </c>
      <c r="H6327" s="1" t="str">
        <f>VLOOKUP(F6327,Countries!$A$1:$B$161,2,0)</f>
        <v>United States of America</v>
      </c>
    </row>
    <row r="6328" spans="1:8" x14ac:dyDescent="0.3">
      <c r="A6328" s="3">
        <v>46238.093298611107</v>
      </c>
      <c r="B6328" s="1">
        <v>7.21</v>
      </c>
      <c r="C6328" s="1">
        <v>6.26</v>
      </c>
      <c r="D6328" s="1">
        <v>0.57999999999999996</v>
      </c>
      <c r="E6328" s="1" t="s">
        <v>165</v>
      </c>
      <c r="F6328" s="1" t="s">
        <v>165</v>
      </c>
      <c r="G6328" s="1" t="s">
        <v>165</v>
      </c>
      <c r="H6328" s="1" t="str">
        <f>VLOOKUP(F6328,Countries!$A$1:$B$161,2,0)</f>
        <v>Israel</v>
      </c>
    </row>
    <row r="6329" spans="1:8" x14ac:dyDescent="0.3">
      <c r="A6329" s="3">
        <v>46238.086412037039</v>
      </c>
      <c r="B6329" s="1">
        <v>10.62</v>
      </c>
      <c r="C6329" s="1">
        <v>9.2200000000000006</v>
      </c>
      <c r="D6329" s="1">
        <v>0.73</v>
      </c>
      <c r="E6329" s="1" t="s">
        <v>113</v>
      </c>
      <c r="F6329" s="1" t="s">
        <v>113</v>
      </c>
      <c r="G6329" s="1" t="s">
        <v>113</v>
      </c>
      <c r="H6329" s="1" t="str">
        <f>VLOOKUP(F6329,Countries!$A$1:$B$161,2,0)</f>
        <v>United States of America</v>
      </c>
    </row>
    <row r="6330" spans="1:8" x14ac:dyDescent="0.3">
      <c r="A6330" s="3">
        <v>46238.086261574077</v>
      </c>
      <c r="B6330" s="1">
        <v>10.62</v>
      </c>
      <c r="C6330" s="1">
        <v>9.2200000000000006</v>
      </c>
      <c r="D6330" s="1">
        <v>0.73</v>
      </c>
      <c r="E6330" s="1" t="s">
        <v>113</v>
      </c>
      <c r="F6330" s="1" t="s">
        <v>113</v>
      </c>
      <c r="G6330" s="1" t="s">
        <v>113</v>
      </c>
      <c r="H6330" s="1" t="str">
        <f>VLOOKUP(F6330,Countries!$A$1:$B$161,2,0)</f>
        <v>United States of America</v>
      </c>
    </row>
    <row r="6331" spans="1:8" x14ac:dyDescent="0.3">
      <c r="A6331" s="3">
        <v>46238.085821759261</v>
      </c>
      <c r="B6331" s="1">
        <v>1.99</v>
      </c>
      <c r="C6331" s="1">
        <v>1.73</v>
      </c>
      <c r="D6331" s="1">
        <v>0.31</v>
      </c>
      <c r="E6331" s="1" t="s">
        <v>120</v>
      </c>
      <c r="F6331" s="1" t="s">
        <v>120</v>
      </c>
      <c r="G6331" s="1" t="s">
        <v>120</v>
      </c>
      <c r="H6331" s="1" t="str">
        <f>VLOOKUP(F6331,Countries!$A$1:$B$161,2,0)</f>
        <v>Czech Republic</v>
      </c>
    </row>
    <row r="6332" spans="1:8" x14ac:dyDescent="0.3">
      <c r="A6332" s="3">
        <v>46238.082476851851</v>
      </c>
      <c r="B6332" s="1">
        <v>6.37</v>
      </c>
      <c r="C6332" s="1">
        <v>5.54</v>
      </c>
      <c r="D6332" s="1">
        <v>0.54</v>
      </c>
      <c r="E6332" s="1" t="s">
        <v>113</v>
      </c>
      <c r="F6332" s="1" t="s">
        <v>113</v>
      </c>
      <c r="G6332" s="1" t="s">
        <v>113</v>
      </c>
      <c r="H6332" s="1" t="str">
        <f>VLOOKUP(F6332,Countries!$A$1:$B$161,2,0)</f>
        <v>United States of America</v>
      </c>
    </row>
    <row r="6333" spans="1:8" x14ac:dyDescent="0.3">
      <c r="A6333" s="3">
        <v>46238.069791666669</v>
      </c>
      <c r="B6333" s="1">
        <v>61.65</v>
      </c>
      <c r="C6333" s="1">
        <v>53.59</v>
      </c>
      <c r="D6333" s="1">
        <v>3.06</v>
      </c>
      <c r="E6333" s="1" t="s">
        <v>130</v>
      </c>
      <c r="F6333" s="1" t="s">
        <v>130</v>
      </c>
      <c r="G6333" s="1" t="s">
        <v>130</v>
      </c>
      <c r="H6333" s="1" t="str">
        <f>VLOOKUP(F6333,Countries!$A$1:$B$161,2,0)</f>
        <v>Australia</v>
      </c>
    </row>
    <row r="6334" spans="1:8" x14ac:dyDescent="0.3">
      <c r="A6334" s="3">
        <v>46238.066793981481</v>
      </c>
      <c r="B6334" s="1">
        <v>100.38</v>
      </c>
      <c r="C6334" s="1">
        <v>87.25</v>
      </c>
      <c r="D6334" s="1">
        <v>4.84</v>
      </c>
      <c r="E6334" s="1" t="s">
        <v>130</v>
      </c>
      <c r="F6334" s="1" t="s">
        <v>130</v>
      </c>
      <c r="G6334" s="1" t="s">
        <v>130</v>
      </c>
      <c r="H6334" s="1" t="str">
        <f>VLOOKUP(F6334,Countries!$A$1:$B$161,2,0)</f>
        <v>Australia</v>
      </c>
    </row>
    <row r="6335" spans="1:8" x14ac:dyDescent="0.3">
      <c r="A6335" s="3">
        <v>46238.062060185177</v>
      </c>
      <c r="B6335" s="1">
        <v>7.99</v>
      </c>
      <c r="C6335" s="1">
        <v>6.94</v>
      </c>
      <c r="D6335" s="1">
        <v>0.49</v>
      </c>
      <c r="E6335" s="1" t="s">
        <v>120</v>
      </c>
      <c r="F6335" s="1" t="s">
        <v>120</v>
      </c>
      <c r="G6335" s="1" t="s">
        <v>120</v>
      </c>
      <c r="H6335" s="1" t="str">
        <f>VLOOKUP(F6335,Countries!$A$1:$B$161,2,0)</f>
        <v>Czech Republic</v>
      </c>
    </row>
    <row r="6336" spans="1:8" x14ac:dyDescent="0.3">
      <c r="A6336" s="3">
        <v>46238.06040509259</v>
      </c>
      <c r="B6336" s="1">
        <v>7.48</v>
      </c>
      <c r="C6336" s="1">
        <v>6.5</v>
      </c>
      <c r="D6336" s="1">
        <v>0.54</v>
      </c>
      <c r="E6336" s="1" t="s">
        <v>119</v>
      </c>
      <c r="F6336" s="1" t="s">
        <v>119</v>
      </c>
      <c r="G6336" s="1" t="s">
        <v>119</v>
      </c>
      <c r="H6336" s="1" t="str">
        <f>VLOOKUP(F6336,Countries!$A$1:$B$161,2,0)</f>
        <v>Great Britain (United Kingdom)</v>
      </c>
    </row>
    <row r="6337" spans="1:8" x14ac:dyDescent="0.3">
      <c r="A6337" s="3">
        <v>46238.054479166669</v>
      </c>
      <c r="B6337" s="1">
        <v>6.37</v>
      </c>
      <c r="C6337" s="1">
        <v>5.54</v>
      </c>
      <c r="D6337" s="1">
        <v>0.54</v>
      </c>
      <c r="E6337" s="1" t="s">
        <v>113</v>
      </c>
      <c r="F6337" s="1" t="s">
        <v>113</v>
      </c>
      <c r="G6337" s="1" t="s">
        <v>113</v>
      </c>
      <c r="H6337" s="1" t="str">
        <f>VLOOKUP(F6337,Countries!$A$1:$B$161,2,0)</f>
        <v>United States of America</v>
      </c>
    </row>
    <row r="6338" spans="1:8" x14ac:dyDescent="0.3">
      <c r="A6338" s="3">
        <v>46238.052754629629</v>
      </c>
      <c r="B6338" s="1">
        <v>1.99</v>
      </c>
      <c r="C6338" s="1">
        <v>1.73</v>
      </c>
      <c r="D6338" s="1">
        <v>0.34</v>
      </c>
      <c r="E6338" s="1" t="s">
        <v>139</v>
      </c>
      <c r="F6338" s="1" t="s">
        <v>152</v>
      </c>
      <c r="G6338" s="1" t="s">
        <v>152</v>
      </c>
      <c r="H6338" s="1" t="str">
        <f>VLOOKUP(F6338,Countries!$A$1:$B$161,2,0)</f>
        <v>Singapore</v>
      </c>
    </row>
    <row r="6339" spans="1:8" x14ac:dyDescent="0.3">
      <c r="A6339" s="3">
        <v>46238.046203703707</v>
      </c>
      <c r="B6339" s="1">
        <v>6.37</v>
      </c>
      <c r="C6339" s="1">
        <v>5.54</v>
      </c>
      <c r="D6339" s="1">
        <v>0.54</v>
      </c>
      <c r="E6339" s="1" t="s">
        <v>113</v>
      </c>
      <c r="F6339" s="1" t="s">
        <v>113</v>
      </c>
      <c r="G6339" s="1" t="s">
        <v>113</v>
      </c>
      <c r="H6339" s="1" t="str">
        <f>VLOOKUP(F6339,Countries!$A$1:$B$161,2,0)</f>
        <v>United States of America</v>
      </c>
    </row>
    <row r="6340" spans="1:8" x14ac:dyDescent="0.3">
      <c r="A6340" s="3">
        <v>46238.024039351847</v>
      </c>
      <c r="B6340" s="1">
        <v>3.93</v>
      </c>
      <c r="C6340" s="1">
        <v>3.42</v>
      </c>
      <c r="D6340" s="1">
        <v>0.37</v>
      </c>
      <c r="E6340" s="1" t="s">
        <v>137</v>
      </c>
      <c r="F6340" s="1" t="s">
        <v>138</v>
      </c>
      <c r="G6340" s="1" t="s">
        <v>138</v>
      </c>
      <c r="H6340" s="1" t="str">
        <f>VLOOKUP(F6340,Countries!$A$1:$B$161,2,0)</f>
        <v>Iceland</v>
      </c>
    </row>
    <row r="6341" spans="1:8" x14ac:dyDescent="0.3">
      <c r="A6341" s="3">
        <v>46238.022245370368</v>
      </c>
      <c r="B6341" s="1">
        <v>6.37</v>
      </c>
      <c r="C6341" s="1">
        <v>5.54</v>
      </c>
      <c r="D6341" s="1">
        <v>0.54</v>
      </c>
      <c r="E6341" s="1" t="s">
        <v>113</v>
      </c>
      <c r="F6341" s="1" t="s">
        <v>113</v>
      </c>
      <c r="G6341" s="1" t="s">
        <v>113</v>
      </c>
      <c r="H6341" s="1" t="str">
        <f>VLOOKUP(F6341,Countries!$A$1:$B$161,2,0)</f>
        <v>United States of America</v>
      </c>
    </row>
    <row r="6342" spans="1:8" x14ac:dyDescent="0.3">
      <c r="A6342" s="3">
        <v>46238.019016203703</v>
      </c>
      <c r="B6342" s="1">
        <v>17.36</v>
      </c>
      <c r="C6342" s="1">
        <v>15.09</v>
      </c>
      <c r="D6342" s="1">
        <v>0.93</v>
      </c>
      <c r="E6342" s="1" t="s">
        <v>119</v>
      </c>
      <c r="F6342" s="1" t="s">
        <v>119</v>
      </c>
      <c r="G6342" s="1" t="s">
        <v>119</v>
      </c>
      <c r="H6342" s="1" t="str">
        <f>VLOOKUP(F6342,Countries!$A$1:$B$161,2,0)</f>
        <v>Great Britain (United Kingdom)</v>
      </c>
    </row>
    <row r="6343" spans="1:8" x14ac:dyDescent="0.3">
      <c r="A6343" s="3">
        <v>46238.018831018519</v>
      </c>
      <c r="B6343" s="1">
        <v>6.37</v>
      </c>
      <c r="C6343" s="1">
        <v>5.54</v>
      </c>
      <c r="D6343" s="1">
        <v>0.54</v>
      </c>
      <c r="E6343" s="1" t="s">
        <v>113</v>
      </c>
      <c r="F6343" s="1" t="s">
        <v>113</v>
      </c>
      <c r="G6343" s="1" t="s">
        <v>113</v>
      </c>
      <c r="H6343" s="1" t="str">
        <f>VLOOKUP(F6343,Countries!$A$1:$B$161,2,0)</f>
        <v>United States of America</v>
      </c>
    </row>
    <row r="6344" spans="1:8" x14ac:dyDescent="0.3">
      <c r="A6344" s="3">
        <v>46238.00984953704</v>
      </c>
      <c r="B6344" s="1">
        <v>7.48</v>
      </c>
      <c r="C6344" s="1">
        <v>6.5</v>
      </c>
      <c r="D6344" s="1">
        <v>0.54</v>
      </c>
      <c r="E6344" s="1" t="s">
        <v>119</v>
      </c>
      <c r="F6344" s="1" t="s">
        <v>119</v>
      </c>
      <c r="G6344" s="1" t="s">
        <v>119</v>
      </c>
      <c r="H6344" s="1" t="str">
        <f>VLOOKUP(F6344,Countries!$A$1:$B$161,2,0)</f>
        <v>Great Britain (United Kingdom)</v>
      </c>
    </row>
    <row r="6345" spans="1:8" x14ac:dyDescent="0.3">
      <c r="A6345" s="3">
        <v>46238.009062500001</v>
      </c>
      <c r="B6345" s="1">
        <v>19.98</v>
      </c>
      <c r="C6345" s="1">
        <v>17.36</v>
      </c>
      <c r="D6345" s="1">
        <v>1.03</v>
      </c>
      <c r="E6345" s="1" t="s">
        <v>119</v>
      </c>
      <c r="F6345" s="1" t="s">
        <v>119</v>
      </c>
      <c r="G6345" s="1" t="s">
        <v>119</v>
      </c>
      <c r="H6345" s="1" t="str">
        <f>VLOOKUP(F6345,Countries!$A$1:$B$161,2,0)</f>
        <v>Great Britain (United Kingdom)</v>
      </c>
    </row>
    <row r="6346" spans="1:8" x14ac:dyDescent="0.3">
      <c r="A6346" s="3">
        <v>46238.006388888891</v>
      </c>
      <c r="B6346" s="1">
        <v>7.48</v>
      </c>
      <c r="C6346" s="1">
        <v>6.5</v>
      </c>
      <c r="D6346" s="1">
        <v>0.54</v>
      </c>
      <c r="E6346" s="1" t="s">
        <v>119</v>
      </c>
      <c r="F6346" s="1" t="s">
        <v>119</v>
      </c>
      <c r="G6346" s="1" t="s">
        <v>119</v>
      </c>
      <c r="H6346" s="1" t="str">
        <f>VLOOKUP(F6346,Countries!$A$1:$B$161,2,0)</f>
        <v>Great Britain (United Kingdom)</v>
      </c>
    </row>
    <row r="6347" spans="1:8" x14ac:dyDescent="0.3">
      <c r="A6347" s="3">
        <v>46238.005752314813</v>
      </c>
      <c r="B6347" s="1">
        <v>17.36</v>
      </c>
      <c r="C6347" s="1">
        <v>15.09</v>
      </c>
      <c r="D6347" s="1">
        <v>0.93</v>
      </c>
      <c r="E6347" s="1" t="s">
        <v>119</v>
      </c>
      <c r="F6347" s="1" t="s">
        <v>119</v>
      </c>
      <c r="G6347" s="1" t="s">
        <v>119</v>
      </c>
      <c r="H6347" s="1" t="str">
        <f>VLOOKUP(F6347,Countries!$A$1:$B$161,2,0)</f>
        <v>Great Britain (United Kingdom)</v>
      </c>
    </row>
    <row r="6348" spans="1:8" x14ac:dyDescent="0.3">
      <c r="A6348" s="3">
        <v>46238.004988425928</v>
      </c>
      <c r="B6348" s="1">
        <v>16.829999999999998</v>
      </c>
      <c r="C6348" s="1">
        <v>14.63</v>
      </c>
      <c r="D6348" s="1">
        <v>1.02</v>
      </c>
      <c r="E6348" s="1" t="s">
        <v>132</v>
      </c>
      <c r="F6348" s="1" t="s">
        <v>132</v>
      </c>
      <c r="G6348" s="1" t="s">
        <v>132</v>
      </c>
      <c r="H6348" s="1" t="str">
        <f>VLOOKUP(F6348,Countries!$A$1:$B$161,2,0)</f>
        <v>Canada</v>
      </c>
    </row>
    <row r="6349" spans="1:8" x14ac:dyDescent="0.3">
      <c r="A6349" s="3">
        <v>46238.001944444448</v>
      </c>
      <c r="B6349" s="1">
        <v>10.62</v>
      </c>
      <c r="C6349" s="1">
        <v>9.23</v>
      </c>
      <c r="D6349" s="1">
        <v>0.73</v>
      </c>
      <c r="E6349" s="1" t="s">
        <v>113</v>
      </c>
      <c r="F6349" s="1" t="s">
        <v>113</v>
      </c>
      <c r="G6349" s="1" t="s">
        <v>113</v>
      </c>
      <c r="H6349" s="1" t="str">
        <f>VLOOKUP(F6349,Countries!$A$1:$B$161,2,0)</f>
        <v>United States of America</v>
      </c>
    </row>
    <row r="6350" spans="1:8" x14ac:dyDescent="0.3">
      <c r="A6350" s="3">
        <v>46238.00167824074</v>
      </c>
      <c r="B6350" s="1">
        <v>106.38</v>
      </c>
      <c r="C6350" s="1">
        <v>92.43</v>
      </c>
      <c r="D6350" s="1">
        <v>5.0999999999999996</v>
      </c>
      <c r="E6350" s="1" t="s">
        <v>113</v>
      </c>
      <c r="F6350" s="1" t="s">
        <v>113</v>
      </c>
      <c r="G6350" s="1" t="s">
        <v>113</v>
      </c>
      <c r="H6350" s="1" t="str">
        <f>VLOOKUP(F6350,Countries!$A$1:$B$161,2,0)</f>
        <v>United States of America</v>
      </c>
    </row>
    <row r="6351" spans="1:8" x14ac:dyDescent="0.3">
      <c r="A6351" s="3">
        <v>46237.998807870368</v>
      </c>
      <c r="B6351" s="1">
        <v>6.65</v>
      </c>
      <c r="C6351" s="1">
        <v>5.78</v>
      </c>
      <c r="D6351" s="1">
        <v>0.56000000000000005</v>
      </c>
      <c r="E6351" s="1" t="s">
        <v>130</v>
      </c>
      <c r="F6351" s="1" t="s">
        <v>130</v>
      </c>
      <c r="G6351" s="1" t="s">
        <v>130</v>
      </c>
      <c r="H6351" s="1" t="str">
        <f>VLOOKUP(F6351,Countries!$A$1:$B$161,2,0)</f>
        <v>Australia</v>
      </c>
    </row>
    <row r="6352" spans="1:8" x14ac:dyDescent="0.3">
      <c r="A6352" s="3">
        <v>46237.992604166669</v>
      </c>
      <c r="B6352" s="1">
        <v>14.77</v>
      </c>
      <c r="C6352" s="1">
        <v>12.83</v>
      </c>
      <c r="D6352" s="1">
        <v>0.93</v>
      </c>
      <c r="E6352" s="1" t="s">
        <v>113</v>
      </c>
      <c r="F6352" s="1" t="s">
        <v>113</v>
      </c>
      <c r="G6352" s="1" t="s">
        <v>113</v>
      </c>
      <c r="H6352" s="1" t="str">
        <f>VLOOKUP(F6352,Countries!$A$1:$B$161,2,0)</f>
        <v>United States of America</v>
      </c>
    </row>
    <row r="6353" spans="1:8" x14ac:dyDescent="0.3">
      <c r="A6353" s="3">
        <v>46237.992442129631</v>
      </c>
      <c r="B6353" s="1">
        <v>12.48</v>
      </c>
      <c r="C6353" s="1">
        <v>10.84</v>
      </c>
      <c r="D6353" s="1">
        <v>0.74</v>
      </c>
      <c r="E6353" s="1" t="s">
        <v>119</v>
      </c>
      <c r="F6353" s="1" t="s">
        <v>119</v>
      </c>
      <c r="G6353" s="1" t="s">
        <v>119</v>
      </c>
      <c r="H6353" s="1" t="str">
        <f>VLOOKUP(F6353,Countries!$A$1:$B$161,2,0)</f>
        <v>Great Britain (United Kingdom)</v>
      </c>
    </row>
    <row r="6354" spans="1:8" x14ac:dyDescent="0.3">
      <c r="A6354" s="3">
        <v>46237.988668981481</v>
      </c>
      <c r="B6354" s="1">
        <v>12.64</v>
      </c>
      <c r="C6354" s="1">
        <v>10.98</v>
      </c>
      <c r="D6354" s="1">
        <v>0.63</v>
      </c>
      <c r="E6354" s="1" t="s">
        <v>116</v>
      </c>
      <c r="F6354" s="1" t="s">
        <v>116</v>
      </c>
      <c r="G6354" s="1" t="s">
        <v>116</v>
      </c>
      <c r="H6354" s="1" t="str">
        <f>VLOOKUP(F6354,Countries!$A$1:$B$161,2,0)</f>
        <v>Spain</v>
      </c>
    </row>
    <row r="6355" spans="1:8" x14ac:dyDescent="0.3">
      <c r="A6355" s="3">
        <v>46237.982361111113</v>
      </c>
      <c r="B6355" s="1">
        <v>6.37</v>
      </c>
      <c r="C6355" s="1">
        <v>5.53</v>
      </c>
      <c r="D6355" s="1">
        <v>0.54</v>
      </c>
      <c r="E6355" s="1" t="s">
        <v>113</v>
      </c>
      <c r="F6355" s="1" t="s">
        <v>113</v>
      </c>
      <c r="G6355" s="1" t="s">
        <v>113</v>
      </c>
      <c r="H6355" s="1" t="str">
        <f>VLOOKUP(F6355,Countries!$A$1:$B$161,2,0)</f>
        <v>United States of America</v>
      </c>
    </row>
    <row r="6356" spans="1:8" x14ac:dyDescent="0.3">
      <c r="A6356" s="3">
        <v>46237.977233796293</v>
      </c>
      <c r="B6356" s="1">
        <v>12.64</v>
      </c>
      <c r="C6356" s="1">
        <v>10.98</v>
      </c>
      <c r="D6356" s="1">
        <v>0.63</v>
      </c>
      <c r="E6356" s="1" t="s">
        <v>116</v>
      </c>
      <c r="F6356" s="1" t="s">
        <v>116</v>
      </c>
      <c r="G6356" s="1" t="s">
        <v>116</v>
      </c>
      <c r="H6356" s="1" t="str">
        <f>VLOOKUP(F6356,Countries!$A$1:$B$161,2,0)</f>
        <v>Spain</v>
      </c>
    </row>
    <row r="6357" spans="1:8" x14ac:dyDescent="0.3">
      <c r="A6357" s="3">
        <v>46237.969444444447</v>
      </c>
      <c r="B6357" s="1">
        <v>6.37</v>
      </c>
      <c r="C6357" s="1">
        <v>5.53</v>
      </c>
      <c r="D6357" s="1">
        <v>0.54</v>
      </c>
      <c r="E6357" s="1" t="s">
        <v>113</v>
      </c>
      <c r="F6357" s="1" t="s">
        <v>113</v>
      </c>
      <c r="G6357" s="1" t="s">
        <v>113</v>
      </c>
      <c r="H6357" s="1" t="str">
        <f>VLOOKUP(F6357,Countries!$A$1:$B$161,2,0)</f>
        <v>United States of America</v>
      </c>
    </row>
    <row r="6358" spans="1:8" x14ac:dyDescent="0.3">
      <c r="A6358" s="3">
        <v>46237.966423611113</v>
      </c>
      <c r="B6358" s="1">
        <v>6.37</v>
      </c>
      <c r="C6358" s="1">
        <v>5.53</v>
      </c>
      <c r="D6358" s="1">
        <v>0.54</v>
      </c>
      <c r="E6358" s="1" t="s">
        <v>113</v>
      </c>
      <c r="F6358" s="1" t="s">
        <v>113</v>
      </c>
      <c r="G6358" s="1" t="s">
        <v>113</v>
      </c>
      <c r="H6358" s="1" t="str">
        <f>VLOOKUP(F6358,Countries!$A$1:$B$161,2,0)</f>
        <v>United States of America</v>
      </c>
    </row>
    <row r="6359" spans="1:8" x14ac:dyDescent="0.3">
      <c r="A6359" s="3">
        <v>46237.964675925927</v>
      </c>
      <c r="B6359" s="1">
        <v>12.64</v>
      </c>
      <c r="C6359" s="1">
        <v>10.98</v>
      </c>
      <c r="D6359" s="1">
        <v>0.63</v>
      </c>
      <c r="E6359" s="1" t="s">
        <v>116</v>
      </c>
      <c r="F6359" s="1" t="s">
        <v>116</v>
      </c>
      <c r="G6359" s="1" t="s">
        <v>116</v>
      </c>
      <c r="H6359" s="1" t="str">
        <f>VLOOKUP(F6359,Countries!$A$1:$B$161,2,0)</f>
        <v>Spain</v>
      </c>
    </row>
    <row r="6360" spans="1:8" x14ac:dyDescent="0.3">
      <c r="A6360" s="3">
        <v>46237.96334490741</v>
      </c>
      <c r="B6360" s="1">
        <v>7.67</v>
      </c>
      <c r="C6360" s="1">
        <v>6.66</v>
      </c>
      <c r="D6360" s="1">
        <v>0.48</v>
      </c>
      <c r="E6360" s="1" t="s">
        <v>124</v>
      </c>
      <c r="F6360" s="1" t="s">
        <v>124</v>
      </c>
      <c r="G6360" s="1" t="s">
        <v>124</v>
      </c>
      <c r="H6360" s="1" t="str">
        <f>VLOOKUP(F6360,Countries!$A$1:$B$161,2,0)</f>
        <v>Italy</v>
      </c>
    </row>
    <row r="6361" spans="1:8" x14ac:dyDescent="0.3">
      <c r="A6361" s="3">
        <v>46237.960405092592</v>
      </c>
      <c r="B6361" s="1">
        <v>6.37</v>
      </c>
      <c r="C6361" s="1">
        <v>5.53</v>
      </c>
      <c r="D6361" s="1">
        <v>0.54</v>
      </c>
      <c r="E6361" s="1" t="s">
        <v>113</v>
      </c>
      <c r="F6361" s="1" t="s">
        <v>113</v>
      </c>
      <c r="G6361" s="1" t="s">
        <v>113</v>
      </c>
      <c r="H6361" s="1" t="str">
        <f>VLOOKUP(F6361,Countries!$A$1:$B$161,2,0)</f>
        <v>United States of America</v>
      </c>
    </row>
    <row r="6362" spans="1:8" x14ac:dyDescent="0.3">
      <c r="A6362" s="3">
        <v>46237.960127314807</v>
      </c>
      <c r="B6362" s="1">
        <v>6.37</v>
      </c>
      <c r="C6362" s="1">
        <v>5.53</v>
      </c>
      <c r="D6362" s="1">
        <v>0.54</v>
      </c>
      <c r="E6362" s="1" t="s">
        <v>113</v>
      </c>
      <c r="F6362" s="1" t="s">
        <v>113</v>
      </c>
      <c r="G6362" s="1" t="s">
        <v>113</v>
      </c>
      <c r="H6362" s="1" t="str">
        <f>VLOOKUP(F6362,Countries!$A$1:$B$161,2,0)</f>
        <v>United States of America</v>
      </c>
    </row>
    <row r="6363" spans="1:8" x14ac:dyDescent="0.3">
      <c r="A6363" s="3">
        <v>46237.955393518518</v>
      </c>
      <c r="B6363" s="1">
        <v>1.99</v>
      </c>
      <c r="C6363" s="1">
        <v>1.73</v>
      </c>
      <c r="D6363" s="1">
        <v>0.34</v>
      </c>
      <c r="E6363" s="1" t="s">
        <v>113</v>
      </c>
      <c r="F6363" s="1" t="s">
        <v>113</v>
      </c>
      <c r="G6363" s="1" t="s">
        <v>113</v>
      </c>
      <c r="H6363" s="1" t="str">
        <f>VLOOKUP(F6363,Countries!$A$1:$B$161,2,0)</f>
        <v>United States of America</v>
      </c>
    </row>
    <row r="6364" spans="1:8" x14ac:dyDescent="0.3">
      <c r="A6364" s="3">
        <v>46237.940706018519</v>
      </c>
      <c r="B6364" s="1">
        <v>7.48</v>
      </c>
      <c r="C6364" s="1">
        <v>6.5</v>
      </c>
      <c r="D6364" s="1">
        <v>0.48</v>
      </c>
      <c r="E6364" s="1" t="s">
        <v>123</v>
      </c>
      <c r="F6364" s="1" t="s">
        <v>123</v>
      </c>
      <c r="G6364" s="1" t="s">
        <v>123</v>
      </c>
      <c r="H6364" s="1" t="str">
        <f>VLOOKUP(F6364,Countries!$A$1:$B$161,2,0)</f>
        <v>France</v>
      </c>
    </row>
    <row r="6365" spans="1:8" x14ac:dyDescent="0.3">
      <c r="A6365" s="3">
        <v>46237.936030092591</v>
      </c>
      <c r="B6365" s="1">
        <v>7.48</v>
      </c>
      <c r="C6365" s="1">
        <v>6.5</v>
      </c>
      <c r="D6365" s="1">
        <v>0.48</v>
      </c>
      <c r="E6365" s="1" t="s">
        <v>123</v>
      </c>
      <c r="F6365" s="1" t="s">
        <v>123</v>
      </c>
      <c r="G6365" s="1" t="s">
        <v>123</v>
      </c>
      <c r="H6365" s="1" t="str">
        <f>VLOOKUP(F6365,Countries!$A$1:$B$161,2,0)</f>
        <v>France</v>
      </c>
    </row>
    <row r="6366" spans="1:8" x14ac:dyDescent="0.3">
      <c r="A6366" s="3">
        <v>46237.925312500003</v>
      </c>
      <c r="B6366" s="1">
        <v>6.37</v>
      </c>
      <c r="C6366" s="1">
        <v>5.53</v>
      </c>
      <c r="D6366" s="1">
        <v>0.54</v>
      </c>
      <c r="E6366" s="1" t="s">
        <v>113</v>
      </c>
      <c r="F6366" s="1" t="s">
        <v>113</v>
      </c>
      <c r="G6366" s="1" t="s">
        <v>113</v>
      </c>
      <c r="H6366" s="1" t="str">
        <f>VLOOKUP(F6366,Countries!$A$1:$B$161,2,0)</f>
        <v>United States of America</v>
      </c>
    </row>
    <row r="6367" spans="1:8" x14ac:dyDescent="0.3">
      <c r="A6367" s="3">
        <v>46237.923819444448</v>
      </c>
      <c r="B6367" s="1">
        <v>7.58</v>
      </c>
      <c r="C6367" s="1">
        <v>6.58</v>
      </c>
      <c r="D6367" s="1">
        <v>0.48</v>
      </c>
      <c r="E6367" s="1" t="s">
        <v>154</v>
      </c>
      <c r="F6367" s="1" t="s">
        <v>154</v>
      </c>
      <c r="G6367" s="1" t="s">
        <v>154</v>
      </c>
      <c r="H6367" s="1" t="str">
        <f>VLOOKUP(F6367,Countries!$A$1:$B$161,2,0)</f>
        <v>Belgium</v>
      </c>
    </row>
    <row r="6368" spans="1:8" x14ac:dyDescent="0.3">
      <c r="A6368" s="3">
        <v>46237.920393518521</v>
      </c>
      <c r="B6368" s="1">
        <v>2.99</v>
      </c>
      <c r="C6368" s="1">
        <v>2.6</v>
      </c>
      <c r="D6368" s="1">
        <v>0.34</v>
      </c>
      <c r="E6368" s="1" t="s">
        <v>178</v>
      </c>
      <c r="F6368" s="1" t="s">
        <v>178</v>
      </c>
      <c r="G6368" s="1" t="s">
        <v>178</v>
      </c>
      <c r="H6368" s="1" t="str">
        <f>VLOOKUP(F6368,Countries!$A$1:$B$161,2,0)</f>
        <v>Sweden</v>
      </c>
    </row>
    <row r="6369" spans="1:8" x14ac:dyDescent="0.3">
      <c r="A6369" s="3">
        <v>46237.918749999997</v>
      </c>
      <c r="B6369" s="1">
        <v>6.37</v>
      </c>
      <c r="C6369" s="1">
        <v>5.54</v>
      </c>
      <c r="D6369" s="1">
        <v>0.54</v>
      </c>
      <c r="E6369" s="1" t="s">
        <v>113</v>
      </c>
      <c r="F6369" s="1" t="s">
        <v>113</v>
      </c>
      <c r="G6369" s="1" t="s">
        <v>113</v>
      </c>
      <c r="H6369" s="1" t="str">
        <f>VLOOKUP(F6369,Countries!$A$1:$B$161,2,0)</f>
        <v>United States of America</v>
      </c>
    </row>
    <row r="6370" spans="1:8" x14ac:dyDescent="0.3">
      <c r="A6370" s="3">
        <v>46237.917118055557</v>
      </c>
      <c r="B6370" s="1">
        <v>9.74</v>
      </c>
      <c r="C6370" s="1">
        <v>8.4600000000000009</v>
      </c>
      <c r="D6370" s="1">
        <v>0.69</v>
      </c>
      <c r="E6370" s="1" t="s">
        <v>208</v>
      </c>
      <c r="F6370" s="1" t="s">
        <v>208</v>
      </c>
      <c r="G6370" s="1" t="s">
        <v>208</v>
      </c>
      <c r="H6370" s="1" t="str">
        <f>VLOOKUP(F6370,Countries!$A$1:$B$161,2,0)</f>
        <v>Georgia</v>
      </c>
    </row>
    <row r="6371" spans="1:8" x14ac:dyDescent="0.3">
      <c r="A6371" s="3">
        <v>46237.911909722221</v>
      </c>
      <c r="B6371" s="1">
        <v>6.3</v>
      </c>
      <c r="C6371" s="1">
        <v>5.47</v>
      </c>
      <c r="D6371" s="1">
        <v>0.54</v>
      </c>
      <c r="E6371" s="1" t="s">
        <v>132</v>
      </c>
      <c r="F6371" s="1" t="s">
        <v>132</v>
      </c>
      <c r="G6371" s="1" t="s">
        <v>132</v>
      </c>
      <c r="H6371" s="1" t="str">
        <f>VLOOKUP(F6371,Countries!$A$1:$B$161,2,0)</f>
        <v>Canada</v>
      </c>
    </row>
    <row r="6372" spans="1:8" x14ac:dyDescent="0.3">
      <c r="A6372" s="3">
        <v>46237.910231481481</v>
      </c>
      <c r="B6372" s="1">
        <v>4.38</v>
      </c>
      <c r="C6372" s="1">
        <v>3.81</v>
      </c>
      <c r="D6372" s="1">
        <v>0.45</v>
      </c>
      <c r="E6372" s="1" t="s">
        <v>152</v>
      </c>
      <c r="F6372" s="1" t="s">
        <v>152</v>
      </c>
      <c r="G6372" s="1" t="s">
        <v>152</v>
      </c>
      <c r="H6372" s="1" t="str">
        <f>VLOOKUP(F6372,Countries!$A$1:$B$161,2,0)</f>
        <v>Singapore</v>
      </c>
    </row>
    <row r="6373" spans="1:8" x14ac:dyDescent="0.3">
      <c r="A6373" s="3">
        <v>46237.894745370373</v>
      </c>
      <c r="B6373" s="1">
        <v>14.77</v>
      </c>
      <c r="C6373" s="1">
        <v>12.83</v>
      </c>
      <c r="D6373" s="1">
        <v>0.93</v>
      </c>
      <c r="E6373" s="1" t="s">
        <v>113</v>
      </c>
      <c r="F6373" s="1" t="s">
        <v>113</v>
      </c>
      <c r="G6373" s="1" t="s">
        <v>113</v>
      </c>
      <c r="H6373" s="1" t="str">
        <f>VLOOKUP(F6373,Countries!$A$1:$B$161,2,0)</f>
        <v>United States of America</v>
      </c>
    </row>
    <row r="6374" spans="1:8" x14ac:dyDescent="0.3">
      <c r="A6374" s="3">
        <v>46237.893912037027</v>
      </c>
      <c r="B6374" s="1">
        <v>6.37</v>
      </c>
      <c r="C6374" s="1">
        <v>5.54</v>
      </c>
      <c r="D6374" s="1">
        <v>0.54</v>
      </c>
      <c r="E6374" s="1" t="s">
        <v>113</v>
      </c>
      <c r="F6374" s="1" t="s">
        <v>113</v>
      </c>
      <c r="G6374" s="1" t="s">
        <v>113</v>
      </c>
      <c r="H6374" s="1" t="str">
        <f>VLOOKUP(F6374,Countries!$A$1:$B$161,2,0)</f>
        <v>United States of America</v>
      </c>
    </row>
    <row r="6375" spans="1:8" x14ac:dyDescent="0.3">
      <c r="A6375" s="3">
        <v>46237.886493055557</v>
      </c>
      <c r="B6375" s="1">
        <v>7.58</v>
      </c>
      <c r="C6375" s="1">
        <v>6.59</v>
      </c>
      <c r="D6375" s="1">
        <v>0.48</v>
      </c>
      <c r="E6375" s="1" t="s">
        <v>116</v>
      </c>
      <c r="F6375" s="1" t="s">
        <v>116</v>
      </c>
      <c r="G6375" s="1" t="s">
        <v>116</v>
      </c>
      <c r="H6375" s="1" t="str">
        <f>VLOOKUP(F6375,Countries!$A$1:$B$161,2,0)</f>
        <v>Spain</v>
      </c>
    </row>
    <row r="6376" spans="1:8" x14ac:dyDescent="0.3">
      <c r="A6376" s="3">
        <v>46237.884039351848</v>
      </c>
      <c r="B6376" s="1">
        <v>12.64</v>
      </c>
      <c r="C6376" s="1">
        <v>10.98</v>
      </c>
      <c r="D6376" s="1">
        <v>0.63</v>
      </c>
      <c r="E6376" s="1" t="s">
        <v>116</v>
      </c>
      <c r="F6376" s="1" t="s">
        <v>116</v>
      </c>
      <c r="G6376" s="1" t="s">
        <v>116</v>
      </c>
      <c r="H6376" s="1" t="str">
        <f>VLOOKUP(F6376,Countries!$A$1:$B$161,2,0)</f>
        <v>Spain</v>
      </c>
    </row>
    <row r="6377" spans="1:8" x14ac:dyDescent="0.3">
      <c r="A6377" s="3">
        <v>46237.881562499999</v>
      </c>
      <c r="B6377" s="1">
        <v>6.58</v>
      </c>
      <c r="C6377" s="1">
        <v>5.72</v>
      </c>
      <c r="D6377" s="1">
        <v>0.55000000000000004</v>
      </c>
      <c r="E6377" s="1" t="s">
        <v>152</v>
      </c>
      <c r="F6377" s="1" t="s">
        <v>152</v>
      </c>
      <c r="G6377" s="1" t="s">
        <v>152</v>
      </c>
      <c r="H6377" s="1" t="str">
        <f>VLOOKUP(F6377,Countries!$A$1:$B$161,2,0)</f>
        <v>Singapore</v>
      </c>
    </row>
    <row r="6378" spans="1:8" x14ac:dyDescent="0.3">
      <c r="A6378" s="3">
        <v>46237.875439814823</v>
      </c>
      <c r="B6378" s="1">
        <v>14.77</v>
      </c>
      <c r="C6378" s="1">
        <v>12.83</v>
      </c>
      <c r="D6378" s="1">
        <v>0.93</v>
      </c>
      <c r="E6378" s="1" t="s">
        <v>113</v>
      </c>
      <c r="F6378" s="1" t="s">
        <v>113</v>
      </c>
      <c r="G6378" s="1" t="s">
        <v>113</v>
      </c>
      <c r="H6378" s="1" t="str">
        <f>VLOOKUP(F6378,Countries!$A$1:$B$161,2,0)</f>
        <v>United States of America</v>
      </c>
    </row>
    <row r="6379" spans="1:8" x14ac:dyDescent="0.3">
      <c r="A6379" s="3">
        <v>46237.87332175926</v>
      </c>
      <c r="B6379" s="1">
        <v>7.58</v>
      </c>
      <c r="C6379" s="1">
        <v>6.59</v>
      </c>
      <c r="D6379" s="1">
        <v>0.59</v>
      </c>
      <c r="E6379" s="1" t="s">
        <v>116</v>
      </c>
      <c r="F6379" s="1" t="s">
        <v>225</v>
      </c>
      <c r="G6379" s="1" t="s">
        <v>225</v>
      </c>
      <c r="H6379" s="1" t="str">
        <f>VLOOKUP(F6379,Countries!$A$1:$B$161,2,0)</f>
        <v>Chili</v>
      </c>
    </row>
    <row r="6380" spans="1:8" x14ac:dyDescent="0.3">
      <c r="A6380" s="3">
        <v>46237.860138888893</v>
      </c>
      <c r="B6380" s="1">
        <v>15.43</v>
      </c>
      <c r="C6380" s="1">
        <v>13.41</v>
      </c>
      <c r="D6380" s="1">
        <v>0.96</v>
      </c>
      <c r="E6380" s="1" t="s">
        <v>130</v>
      </c>
      <c r="F6380" s="1" t="s">
        <v>130</v>
      </c>
      <c r="G6380" s="1" t="s">
        <v>130</v>
      </c>
      <c r="H6380" s="1" t="str">
        <f>VLOOKUP(F6380,Countries!$A$1:$B$161,2,0)</f>
        <v>Australia</v>
      </c>
    </row>
    <row r="6381" spans="1:8" x14ac:dyDescent="0.3">
      <c r="A6381" s="3">
        <v>46237.859259259261</v>
      </c>
      <c r="B6381" s="1">
        <v>2.58</v>
      </c>
      <c r="C6381" s="1">
        <v>2.2400000000000002</v>
      </c>
      <c r="D6381" s="1">
        <v>0.32</v>
      </c>
      <c r="E6381" s="1" t="s">
        <v>137</v>
      </c>
      <c r="F6381" s="1" t="s">
        <v>137</v>
      </c>
      <c r="G6381" s="1" t="s">
        <v>137</v>
      </c>
      <c r="H6381" s="1" t="str">
        <f>VLOOKUP(F6381,Countries!$A$1:$B$161,2,0)</f>
        <v>Poland</v>
      </c>
    </row>
    <row r="6382" spans="1:8" x14ac:dyDescent="0.3">
      <c r="A6382" s="3">
        <v>46237.854942129627</v>
      </c>
      <c r="B6382" s="1">
        <v>15.43</v>
      </c>
      <c r="C6382" s="1">
        <v>13.41</v>
      </c>
      <c r="D6382" s="1">
        <v>0.96</v>
      </c>
      <c r="E6382" s="1" t="s">
        <v>130</v>
      </c>
      <c r="F6382" s="1" t="s">
        <v>130</v>
      </c>
      <c r="G6382" s="1" t="s">
        <v>130</v>
      </c>
      <c r="H6382" s="1" t="str">
        <f>VLOOKUP(F6382,Countries!$A$1:$B$161,2,0)</f>
        <v>Australia</v>
      </c>
    </row>
    <row r="6383" spans="1:8" x14ac:dyDescent="0.3">
      <c r="A6383" s="3">
        <v>46237.850694444453</v>
      </c>
      <c r="B6383" s="1">
        <v>6.37</v>
      </c>
      <c r="C6383" s="1">
        <v>5.53</v>
      </c>
      <c r="D6383" s="1">
        <v>0.54</v>
      </c>
      <c r="E6383" s="1" t="s">
        <v>113</v>
      </c>
      <c r="F6383" s="1" t="s">
        <v>113</v>
      </c>
      <c r="G6383" s="1" t="s">
        <v>113</v>
      </c>
      <c r="H6383" s="1" t="str">
        <f>VLOOKUP(F6383,Countries!$A$1:$B$161,2,0)</f>
        <v>United States of America</v>
      </c>
    </row>
    <row r="6384" spans="1:8" x14ac:dyDescent="0.3">
      <c r="A6384" s="3">
        <v>46237.849212962959</v>
      </c>
      <c r="B6384" s="1">
        <v>26.61</v>
      </c>
      <c r="C6384" s="1">
        <v>23.12</v>
      </c>
      <c r="D6384" s="1">
        <v>1.46</v>
      </c>
      <c r="E6384" s="1" t="s">
        <v>113</v>
      </c>
      <c r="F6384" s="1" t="s">
        <v>113</v>
      </c>
      <c r="G6384" s="1" t="s">
        <v>113</v>
      </c>
      <c r="H6384" s="1" t="str">
        <f>VLOOKUP(F6384,Countries!$A$1:$B$161,2,0)</f>
        <v>United States of America</v>
      </c>
    </row>
    <row r="6385" spans="1:8" x14ac:dyDescent="0.3">
      <c r="A6385" s="3">
        <v>46237.837418981479</v>
      </c>
      <c r="B6385" s="1">
        <v>6.37</v>
      </c>
      <c r="C6385" s="1">
        <v>5.53</v>
      </c>
      <c r="D6385" s="1">
        <v>0.54</v>
      </c>
      <c r="E6385" s="1" t="s">
        <v>113</v>
      </c>
      <c r="F6385" s="1" t="s">
        <v>113</v>
      </c>
      <c r="G6385" s="1" t="s">
        <v>113</v>
      </c>
      <c r="H6385" s="1" t="str">
        <f>VLOOKUP(F6385,Countries!$A$1:$B$161,2,0)</f>
        <v>United States of America</v>
      </c>
    </row>
    <row r="6386" spans="1:8" x14ac:dyDescent="0.3">
      <c r="A6386" s="3">
        <v>46237.829884259263</v>
      </c>
      <c r="B6386" s="1">
        <v>17.010000000000002</v>
      </c>
      <c r="C6386" s="1">
        <v>14.77</v>
      </c>
      <c r="D6386" s="1">
        <v>1.03</v>
      </c>
      <c r="E6386" s="1" t="s">
        <v>113</v>
      </c>
      <c r="F6386" s="1" t="s">
        <v>113</v>
      </c>
      <c r="G6386" s="1" t="s">
        <v>113</v>
      </c>
      <c r="H6386" s="1" t="str">
        <f>VLOOKUP(F6386,Countries!$A$1:$B$161,2,0)</f>
        <v>United States of America</v>
      </c>
    </row>
    <row r="6387" spans="1:8" x14ac:dyDescent="0.3">
      <c r="A6387" s="3">
        <v>46237.829571759263</v>
      </c>
      <c r="B6387" s="1">
        <v>6.37</v>
      </c>
      <c r="C6387" s="1">
        <v>5.53</v>
      </c>
      <c r="D6387" s="1">
        <v>0.54</v>
      </c>
      <c r="E6387" s="1" t="s">
        <v>113</v>
      </c>
      <c r="F6387" s="1" t="s">
        <v>113</v>
      </c>
      <c r="G6387" s="1" t="s">
        <v>113</v>
      </c>
      <c r="H6387" s="1" t="str">
        <f>VLOOKUP(F6387,Countries!$A$1:$B$161,2,0)</f>
        <v>United States of America</v>
      </c>
    </row>
    <row r="6388" spans="1:8" x14ac:dyDescent="0.3">
      <c r="A6388" s="3">
        <v>46237.829548611109</v>
      </c>
      <c r="B6388" s="1">
        <v>14.77</v>
      </c>
      <c r="C6388" s="1">
        <v>12.83</v>
      </c>
      <c r="D6388" s="1">
        <v>0.93</v>
      </c>
      <c r="E6388" s="1" t="s">
        <v>113</v>
      </c>
      <c r="F6388" s="1" t="s">
        <v>113</v>
      </c>
      <c r="G6388" s="1" t="s">
        <v>113</v>
      </c>
      <c r="H6388" s="1" t="str">
        <f>VLOOKUP(F6388,Countries!$A$1:$B$161,2,0)</f>
        <v>United States of America</v>
      </c>
    </row>
    <row r="6389" spans="1:8" x14ac:dyDescent="0.3">
      <c r="A6389" s="3">
        <v>46237.824444444443</v>
      </c>
      <c r="B6389" s="1">
        <v>42.54</v>
      </c>
      <c r="C6389" s="1">
        <v>36.950000000000003</v>
      </c>
      <c r="D6389" s="1">
        <v>2.19</v>
      </c>
      <c r="E6389" s="1" t="s">
        <v>113</v>
      </c>
      <c r="F6389" s="1" t="s">
        <v>113</v>
      </c>
      <c r="G6389" s="1" t="s">
        <v>113</v>
      </c>
      <c r="H6389" s="1" t="str">
        <f>VLOOKUP(F6389,Countries!$A$1:$B$161,2,0)</f>
        <v>United States of America</v>
      </c>
    </row>
    <row r="6390" spans="1:8" x14ac:dyDescent="0.3">
      <c r="A6390" s="3">
        <v>46237.813773148147</v>
      </c>
      <c r="B6390" s="1">
        <v>6.37</v>
      </c>
      <c r="C6390" s="1">
        <v>5.53</v>
      </c>
      <c r="D6390" s="1">
        <v>0.54</v>
      </c>
      <c r="E6390" s="1" t="s">
        <v>113</v>
      </c>
      <c r="F6390" s="1" t="s">
        <v>113</v>
      </c>
      <c r="G6390" s="1" t="s">
        <v>113</v>
      </c>
      <c r="H6390" s="1" t="str">
        <f>VLOOKUP(F6390,Countries!$A$1:$B$161,2,0)</f>
        <v>United States of America</v>
      </c>
    </row>
    <row r="6391" spans="1:8" x14ac:dyDescent="0.3">
      <c r="A6391" s="3">
        <v>46237.798101851848</v>
      </c>
      <c r="B6391" s="1">
        <v>2.99</v>
      </c>
      <c r="C6391" s="1">
        <v>2.6</v>
      </c>
      <c r="D6391" s="1">
        <v>0.34</v>
      </c>
      <c r="E6391" s="1" t="s">
        <v>120</v>
      </c>
      <c r="F6391" s="1" t="s">
        <v>120</v>
      </c>
      <c r="G6391" s="1" t="s">
        <v>120</v>
      </c>
      <c r="H6391" s="1" t="str">
        <f>VLOOKUP(F6391,Countries!$A$1:$B$161,2,0)</f>
        <v>Czech Republic</v>
      </c>
    </row>
    <row r="6392" spans="1:8" x14ac:dyDescent="0.3">
      <c r="A6392" s="3">
        <v>46237.794999999998</v>
      </c>
      <c r="B6392" s="1">
        <v>6.37</v>
      </c>
      <c r="C6392" s="1">
        <v>5.53</v>
      </c>
      <c r="D6392" s="1">
        <v>0.54</v>
      </c>
      <c r="E6392" s="1" t="s">
        <v>113</v>
      </c>
      <c r="F6392" s="1" t="s">
        <v>113</v>
      </c>
      <c r="G6392" s="1" t="s">
        <v>113</v>
      </c>
      <c r="H6392" s="1" t="str">
        <f>VLOOKUP(F6392,Countries!$A$1:$B$161,2,0)</f>
        <v>United States of America</v>
      </c>
    </row>
    <row r="6393" spans="1:8" x14ac:dyDescent="0.3">
      <c r="A6393" s="3">
        <v>46237.793437499997</v>
      </c>
      <c r="B6393" s="1">
        <v>6.65</v>
      </c>
      <c r="C6393" s="1">
        <v>5.78</v>
      </c>
      <c r="D6393" s="1">
        <v>0.56000000000000005</v>
      </c>
      <c r="E6393" s="1" t="s">
        <v>121</v>
      </c>
      <c r="F6393" s="1" t="s">
        <v>121</v>
      </c>
      <c r="G6393" s="1" t="s">
        <v>121</v>
      </c>
      <c r="H6393" s="1" t="str">
        <f>VLOOKUP(F6393,Countries!$A$1:$B$161,2,0)</f>
        <v>Japan</v>
      </c>
    </row>
    <row r="6394" spans="1:8" x14ac:dyDescent="0.3">
      <c r="A6394" s="3">
        <v>46237.788298611107</v>
      </c>
      <c r="B6394" s="1">
        <v>6.37</v>
      </c>
      <c r="C6394" s="1">
        <v>5.54</v>
      </c>
      <c r="D6394" s="1">
        <v>0.54</v>
      </c>
      <c r="E6394" s="1" t="s">
        <v>113</v>
      </c>
      <c r="F6394" s="1" t="s">
        <v>113</v>
      </c>
      <c r="G6394" s="1" t="s">
        <v>113</v>
      </c>
      <c r="H6394" s="1" t="str">
        <f>VLOOKUP(F6394,Countries!$A$1:$B$161,2,0)</f>
        <v>United States of America</v>
      </c>
    </row>
    <row r="6395" spans="1:8" x14ac:dyDescent="0.3">
      <c r="A6395" s="3">
        <v>46237.780972222223</v>
      </c>
      <c r="B6395" s="1">
        <v>7.48</v>
      </c>
      <c r="C6395" s="1">
        <v>6.5</v>
      </c>
      <c r="D6395" s="1">
        <v>0.54</v>
      </c>
      <c r="E6395" s="1" t="s">
        <v>119</v>
      </c>
      <c r="F6395" s="1" t="s">
        <v>119</v>
      </c>
      <c r="G6395" s="1" t="s">
        <v>119</v>
      </c>
      <c r="H6395" s="1" t="str">
        <f>VLOOKUP(F6395,Countries!$A$1:$B$161,2,0)</f>
        <v>Great Britain (United Kingdom)</v>
      </c>
    </row>
    <row r="6396" spans="1:8" x14ac:dyDescent="0.3">
      <c r="A6396" s="3">
        <v>46237.774976851862</v>
      </c>
      <c r="B6396" s="1">
        <v>3.25</v>
      </c>
      <c r="C6396" s="1">
        <v>2.83</v>
      </c>
      <c r="D6396" s="1">
        <v>0.4</v>
      </c>
      <c r="E6396" s="1" t="s">
        <v>115</v>
      </c>
      <c r="F6396" s="1" t="s">
        <v>115</v>
      </c>
      <c r="G6396" s="1" t="s">
        <v>115</v>
      </c>
      <c r="H6396" s="1" t="str">
        <f>VLOOKUP(F6396,Countries!$A$1:$B$161,2,0)</f>
        <v>Switzerland</v>
      </c>
    </row>
    <row r="6397" spans="1:8" x14ac:dyDescent="0.3">
      <c r="A6397" s="3">
        <v>46237.767372685194</v>
      </c>
      <c r="B6397" s="1">
        <v>7.48</v>
      </c>
      <c r="C6397" s="1">
        <v>6.5</v>
      </c>
      <c r="D6397" s="1">
        <v>0.54</v>
      </c>
      <c r="E6397" s="1" t="s">
        <v>119</v>
      </c>
      <c r="F6397" s="1" t="s">
        <v>119</v>
      </c>
      <c r="G6397" s="1" t="s">
        <v>119</v>
      </c>
      <c r="H6397" s="1" t="str">
        <f>VLOOKUP(F6397,Countries!$A$1:$B$161,2,0)</f>
        <v>Great Britain (United Kingdom)</v>
      </c>
    </row>
    <row r="6398" spans="1:8" x14ac:dyDescent="0.3">
      <c r="A6398" s="3">
        <v>46237.766793981478</v>
      </c>
      <c r="B6398" s="1">
        <v>6.37</v>
      </c>
      <c r="C6398" s="1">
        <v>5.54</v>
      </c>
      <c r="D6398" s="1">
        <v>0.54</v>
      </c>
      <c r="E6398" s="1" t="s">
        <v>113</v>
      </c>
      <c r="F6398" s="1" t="s">
        <v>113</v>
      </c>
      <c r="G6398" s="1" t="s">
        <v>113</v>
      </c>
      <c r="H6398" s="1" t="str">
        <f>VLOOKUP(F6398,Countries!$A$1:$B$161,2,0)</f>
        <v>United States of America</v>
      </c>
    </row>
    <row r="6399" spans="1:8" x14ac:dyDescent="0.3">
      <c r="A6399" s="3">
        <v>46237.760682870372</v>
      </c>
      <c r="B6399" s="1">
        <v>6.37</v>
      </c>
      <c r="C6399" s="1">
        <v>5.54</v>
      </c>
      <c r="D6399" s="1">
        <v>0.54</v>
      </c>
      <c r="E6399" s="1" t="s">
        <v>113</v>
      </c>
      <c r="F6399" s="1" t="s">
        <v>113</v>
      </c>
      <c r="G6399" s="1" t="s">
        <v>113</v>
      </c>
      <c r="H6399" s="1" t="str">
        <f>VLOOKUP(F6399,Countries!$A$1:$B$161,2,0)</f>
        <v>United States of America</v>
      </c>
    </row>
    <row r="6400" spans="1:8" x14ac:dyDescent="0.3">
      <c r="A6400" s="3">
        <v>46237.748217592591</v>
      </c>
      <c r="B6400" s="1">
        <v>7.39</v>
      </c>
      <c r="C6400" s="1">
        <v>6.42</v>
      </c>
      <c r="D6400" s="1">
        <v>0.48</v>
      </c>
      <c r="E6400" s="1" t="s">
        <v>147</v>
      </c>
      <c r="F6400" s="1" t="s">
        <v>147</v>
      </c>
      <c r="G6400" s="1" t="s">
        <v>147</v>
      </c>
      <c r="H6400" s="1" t="str">
        <f>VLOOKUP(F6400,Countries!$A$1:$B$161,2,0)</f>
        <v>Germany</v>
      </c>
    </row>
    <row r="6401" spans="1:8" x14ac:dyDescent="0.3">
      <c r="A6401" s="3">
        <v>46237.73060185185</v>
      </c>
      <c r="B6401" s="1">
        <v>2.11</v>
      </c>
      <c r="C6401" s="1">
        <v>1.83</v>
      </c>
      <c r="D6401" s="1">
        <v>0.35</v>
      </c>
      <c r="E6401" s="1" t="s">
        <v>113</v>
      </c>
      <c r="F6401" s="1" t="s">
        <v>113</v>
      </c>
      <c r="G6401" s="1" t="s">
        <v>113</v>
      </c>
      <c r="H6401" s="1" t="str">
        <f>VLOOKUP(F6401,Countries!$A$1:$B$161,2,0)</f>
        <v>United States of America</v>
      </c>
    </row>
    <row r="6402" spans="1:8" x14ac:dyDescent="0.3">
      <c r="A6402" s="3">
        <v>46237.726273148153</v>
      </c>
      <c r="B6402" s="1">
        <v>2.99</v>
      </c>
      <c r="C6402" s="1">
        <v>2.6</v>
      </c>
      <c r="D6402" s="1">
        <v>0.38</v>
      </c>
      <c r="E6402" s="1" t="s">
        <v>114</v>
      </c>
      <c r="F6402" s="1" t="s">
        <v>114</v>
      </c>
      <c r="G6402" s="1" t="s">
        <v>114</v>
      </c>
      <c r="H6402" s="1" t="str">
        <f>VLOOKUP(F6402,Countries!$A$1:$B$161,2,0)</f>
        <v>Philippines</v>
      </c>
    </row>
    <row r="6403" spans="1:8" x14ac:dyDescent="0.3">
      <c r="A6403" s="3">
        <v>46237.718668981477</v>
      </c>
      <c r="B6403" s="1">
        <v>7.99</v>
      </c>
      <c r="C6403" s="1">
        <v>6.94</v>
      </c>
      <c r="D6403" s="1">
        <v>0.56000000000000005</v>
      </c>
      <c r="E6403" s="1" t="s">
        <v>119</v>
      </c>
      <c r="F6403" s="1" t="s">
        <v>119</v>
      </c>
      <c r="G6403" s="1" t="s">
        <v>119</v>
      </c>
      <c r="H6403" s="1" t="str">
        <f>VLOOKUP(F6403,Countries!$A$1:$B$161,2,0)</f>
        <v>Great Britain (United Kingdom)</v>
      </c>
    </row>
    <row r="6404" spans="1:8" x14ac:dyDescent="0.3">
      <c r="A6404" s="3">
        <v>46237.716469907413</v>
      </c>
      <c r="B6404" s="1">
        <v>14.77</v>
      </c>
      <c r="C6404" s="1">
        <v>12.84</v>
      </c>
      <c r="D6404" s="1">
        <v>0.93</v>
      </c>
      <c r="E6404" s="1" t="s">
        <v>113</v>
      </c>
      <c r="F6404" s="1" t="s">
        <v>113</v>
      </c>
      <c r="G6404" s="1" t="s">
        <v>113</v>
      </c>
      <c r="H6404" s="1" t="str">
        <f>VLOOKUP(F6404,Countries!$A$1:$B$161,2,0)</f>
        <v>United States of America</v>
      </c>
    </row>
    <row r="6405" spans="1:8" x14ac:dyDescent="0.3">
      <c r="A6405" s="3">
        <v>46237.705104166656</v>
      </c>
      <c r="B6405" s="1">
        <v>6.37</v>
      </c>
      <c r="C6405" s="1">
        <v>5.53</v>
      </c>
      <c r="D6405" s="1">
        <v>0.54</v>
      </c>
      <c r="E6405" s="1" t="s">
        <v>113</v>
      </c>
      <c r="F6405" s="1" t="s">
        <v>113</v>
      </c>
      <c r="G6405" s="1" t="s">
        <v>113</v>
      </c>
      <c r="H6405" s="1" t="str">
        <f>VLOOKUP(F6405,Countries!$A$1:$B$161,2,0)</f>
        <v>United States of America</v>
      </c>
    </row>
    <row r="6406" spans="1:8" x14ac:dyDescent="0.3">
      <c r="A6406" s="3">
        <v>46237.692326388889</v>
      </c>
      <c r="B6406" s="1">
        <v>14.77</v>
      </c>
      <c r="C6406" s="1">
        <v>12.83</v>
      </c>
      <c r="D6406" s="1">
        <v>0.93</v>
      </c>
      <c r="E6406" s="1" t="s">
        <v>113</v>
      </c>
      <c r="F6406" s="1" t="s">
        <v>113</v>
      </c>
      <c r="G6406" s="1" t="s">
        <v>113</v>
      </c>
      <c r="H6406" s="1" t="str">
        <f>VLOOKUP(F6406,Countries!$A$1:$B$161,2,0)</f>
        <v>United States of America</v>
      </c>
    </row>
    <row r="6407" spans="1:8" x14ac:dyDescent="0.3">
      <c r="A6407" s="3">
        <v>46237.687523148154</v>
      </c>
      <c r="B6407" s="1">
        <v>7.99</v>
      </c>
      <c r="C6407" s="1">
        <v>6.94</v>
      </c>
      <c r="D6407" s="1">
        <v>0.62</v>
      </c>
      <c r="E6407" s="1" t="s">
        <v>114</v>
      </c>
      <c r="F6407" s="1" t="s">
        <v>114</v>
      </c>
      <c r="G6407" s="1" t="s">
        <v>114</v>
      </c>
      <c r="H6407" s="1" t="str">
        <f>VLOOKUP(F6407,Countries!$A$1:$B$161,2,0)</f>
        <v>Philippines</v>
      </c>
    </row>
    <row r="6408" spans="1:8" x14ac:dyDescent="0.3">
      <c r="A6408" s="3">
        <v>46237.676932870367</v>
      </c>
      <c r="B6408" s="1">
        <v>6.37</v>
      </c>
      <c r="C6408" s="1">
        <v>5.53</v>
      </c>
      <c r="D6408" s="1">
        <v>0.54</v>
      </c>
      <c r="E6408" s="1" t="s">
        <v>113</v>
      </c>
      <c r="F6408" s="1" t="s">
        <v>113</v>
      </c>
      <c r="G6408" s="1" t="s">
        <v>113</v>
      </c>
      <c r="H6408" s="1" t="str">
        <f>VLOOKUP(F6408,Countries!$A$1:$B$161,2,0)</f>
        <v>United States of America</v>
      </c>
    </row>
    <row r="6409" spans="1:8" x14ac:dyDescent="0.3">
      <c r="A6409" s="3">
        <v>46237.676041666673</v>
      </c>
      <c r="B6409" s="1">
        <v>5.99</v>
      </c>
      <c r="C6409" s="1">
        <v>5.2</v>
      </c>
      <c r="D6409" s="1">
        <v>0.52</v>
      </c>
      <c r="E6409" s="1" t="s">
        <v>113</v>
      </c>
      <c r="F6409" s="1" t="s">
        <v>113</v>
      </c>
      <c r="G6409" s="1" t="s">
        <v>113</v>
      </c>
      <c r="H6409" s="1" t="str">
        <f>VLOOKUP(F6409,Countries!$A$1:$B$161,2,0)</f>
        <v>United States of America</v>
      </c>
    </row>
    <row r="6410" spans="1:8" x14ac:dyDescent="0.3">
      <c r="A6410" s="3">
        <v>46237.675474537027</v>
      </c>
      <c r="B6410" s="1">
        <v>6.3</v>
      </c>
      <c r="C6410" s="1">
        <v>5.47</v>
      </c>
      <c r="D6410" s="1">
        <v>0.54</v>
      </c>
      <c r="E6410" s="1" t="s">
        <v>132</v>
      </c>
      <c r="F6410" s="1" t="s">
        <v>132</v>
      </c>
      <c r="G6410" s="1" t="s">
        <v>132</v>
      </c>
      <c r="H6410" s="1" t="str">
        <f>VLOOKUP(F6410,Countries!$A$1:$B$161,2,0)</f>
        <v>Canada</v>
      </c>
    </row>
    <row r="6411" spans="1:8" x14ac:dyDescent="0.3">
      <c r="A6411" s="3">
        <v>46237.668761574067</v>
      </c>
      <c r="B6411" s="1">
        <v>6.37</v>
      </c>
      <c r="C6411" s="1">
        <v>5.53</v>
      </c>
      <c r="D6411" s="1">
        <v>0.54</v>
      </c>
      <c r="E6411" s="1" t="s">
        <v>113</v>
      </c>
      <c r="F6411" s="1" t="s">
        <v>113</v>
      </c>
      <c r="G6411" s="1" t="s">
        <v>113</v>
      </c>
      <c r="H6411" s="1" t="str">
        <f>VLOOKUP(F6411,Countries!$A$1:$B$161,2,0)</f>
        <v>United States of America</v>
      </c>
    </row>
    <row r="6412" spans="1:8" x14ac:dyDescent="0.3">
      <c r="A6412" s="3">
        <v>46237.66684027778</v>
      </c>
      <c r="B6412" s="1">
        <v>6.37</v>
      </c>
      <c r="C6412" s="1">
        <v>5.53</v>
      </c>
      <c r="D6412" s="1">
        <v>0.54</v>
      </c>
      <c r="E6412" s="1" t="s">
        <v>113</v>
      </c>
      <c r="F6412" s="1" t="s">
        <v>113</v>
      </c>
      <c r="G6412" s="1" t="s">
        <v>113</v>
      </c>
      <c r="H6412" s="1" t="str">
        <f>VLOOKUP(F6412,Countries!$A$1:$B$161,2,0)</f>
        <v>United States of America</v>
      </c>
    </row>
    <row r="6413" spans="1:8" x14ac:dyDescent="0.3">
      <c r="A6413" s="3">
        <v>46237.663599537038</v>
      </c>
      <c r="B6413" s="1">
        <v>6.37</v>
      </c>
      <c r="C6413" s="1">
        <v>5.53</v>
      </c>
      <c r="D6413" s="1">
        <v>0.54</v>
      </c>
      <c r="E6413" s="1" t="s">
        <v>113</v>
      </c>
      <c r="F6413" s="1" t="s">
        <v>113</v>
      </c>
      <c r="G6413" s="1" t="s">
        <v>113</v>
      </c>
      <c r="H6413" s="1" t="str">
        <f>VLOOKUP(F6413,Countries!$A$1:$B$161,2,0)</f>
        <v>United States of America</v>
      </c>
    </row>
    <row r="6414" spans="1:8" x14ac:dyDescent="0.3">
      <c r="A6414" s="3">
        <v>46237.652928240743</v>
      </c>
      <c r="B6414" s="1">
        <v>159.57</v>
      </c>
      <c r="C6414" s="1">
        <v>138.59</v>
      </c>
      <c r="D6414" s="1">
        <v>7.52</v>
      </c>
      <c r="E6414" s="1" t="s">
        <v>113</v>
      </c>
      <c r="F6414" s="1" t="s">
        <v>113</v>
      </c>
      <c r="G6414" s="1" t="s">
        <v>113</v>
      </c>
      <c r="H6414" s="1" t="str">
        <f>VLOOKUP(F6414,Countries!$A$1:$B$161,2,0)</f>
        <v>United States of America</v>
      </c>
    </row>
    <row r="6415" spans="1:8" x14ac:dyDescent="0.3">
      <c r="A6415" s="3">
        <v>46237.638865740737</v>
      </c>
      <c r="B6415" s="1">
        <v>51.13</v>
      </c>
      <c r="C6415" s="1">
        <v>44.41</v>
      </c>
      <c r="D6415" s="1">
        <v>2.58</v>
      </c>
      <c r="E6415" s="1" t="s">
        <v>114</v>
      </c>
      <c r="F6415" s="1" t="s">
        <v>114</v>
      </c>
      <c r="G6415" s="1" t="s">
        <v>114</v>
      </c>
      <c r="H6415" s="1" t="str">
        <f>VLOOKUP(F6415,Countries!$A$1:$B$161,2,0)</f>
        <v>Philippines</v>
      </c>
    </row>
    <row r="6416" spans="1:8" x14ac:dyDescent="0.3">
      <c r="A6416" s="3">
        <v>46237.638298611113</v>
      </c>
      <c r="B6416" s="1">
        <v>12.64</v>
      </c>
      <c r="C6416" s="1">
        <v>10.98</v>
      </c>
      <c r="D6416" s="1">
        <v>0.63</v>
      </c>
      <c r="E6416" s="1" t="s">
        <v>116</v>
      </c>
      <c r="F6416" s="1" t="s">
        <v>116</v>
      </c>
      <c r="G6416" s="1" t="s">
        <v>116</v>
      </c>
      <c r="H6416" s="1" t="str">
        <f>VLOOKUP(F6416,Countries!$A$1:$B$161,2,0)</f>
        <v>Spain</v>
      </c>
    </row>
    <row r="6417" spans="1:8" x14ac:dyDescent="0.3">
      <c r="A6417" s="3">
        <v>46237.630057870367</v>
      </c>
      <c r="B6417" s="1">
        <v>3.39</v>
      </c>
      <c r="C6417" s="1">
        <v>2.94</v>
      </c>
      <c r="D6417" s="1">
        <v>0.41</v>
      </c>
      <c r="E6417" s="1" t="s">
        <v>114</v>
      </c>
      <c r="F6417" s="1" t="s">
        <v>114</v>
      </c>
      <c r="G6417" s="1" t="s">
        <v>114</v>
      </c>
      <c r="H6417" s="1" t="str">
        <f>VLOOKUP(F6417,Countries!$A$1:$B$161,2,0)</f>
        <v>Philippines</v>
      </c>
    </row>
    <row r="6418" spans="1:8" x14ac:dyDescent="0.3">
      <c r="A6418" s="3">
        <v>46237.629178240742</v>
      </c>
      <c r="B6418" s="1">
        <v>7.48</v>
      </c>
      <c r="C6418" s="1">
        <v>6.5</v>
      </c>
      <c r="D6418" s="1">
        <v>0.48</v>
      </c>
      <c r="E6418" s="1" t="s">
        <v>123</v>
      </c>
      <c r="F6418" s="1" t="s">
        <v>123</v>
      </c>
      <c r="G6418" s="1" t="s">
        <v>123</v>
      </c>
      <c r="H6418" s="1" t="str">
        <f>VLOOKUP(F6418,Countries!$A$1:$B$161,2,0)</f>
        <v>France</v>
      </c>
    </row>
    <row r="6419" spans="1:8" x14ac:dyDescent="0.3">
      <c r="A6419" s="3">
        <v>46237.627129629633</v>
      </c>
      <c r="B6419" s="1">
        <v>12.64</v>
      </c>
      <c r="C6419" s="1">
        <v>10.98</v>
      </c>
      <c r="D6419" s="1">
        <v>0.63</v>
      </c>
      <c r="E6419" s="1" t="s">
        <v>116</v>
      </c>
      <c r="F6419" s="1" t="s">
        <v>116</v>
      </c>
      <c r="G6419" s="1" t="s">
        <v>116</v>
      </c>
      <c r="H6419" s="1" t="str">
        <f>VLOOKUP(F6419,Countries!$A$1:$B$161,2,0)</f>
        <v>Spain</v>
      </c>
    </row>
    <row r="6420" spans="1:8" x14ac:dyDescent="0.3">
      <c r="A6420" s="3">
        <v>46237.615393518521</v>
      </c>
      <c r="B6420" s="1">
        <v>6.37</v>
      </c>
      <c r="C6420" s="1">
        <v>5.53</v>
      </c>
      <c r="D6420" s="1">
        <v>0.54</v>
      </c>
      <c r="E6420" s="1" t="s">
        <v>113</v>
      </c>
      <c r="F6420" s="1" t="s">
        <v>113</v>
      </c>
      <c r="G6420" s="1" t="s">
        <v>113</v>
      </c>
      <c r="H6420" s="1" t="str">
        <f>VLOOKUP(F6420,Countries!$A$1:$B$161,2,0)</f>
        <v>United States of America</v>
      </c>
    </row>
    <row r="6421" spans="1:8" x14ac:dyDescent="0.3">
      <c r="A6421" s="3">
        <v>46237.614976851852</v>
      </c>
      <c r="B6421" s="1">
        <v>2.11</v>
      </c>
      <c r="C6421" s="1">
        <v>1.83</v>
      </c>
      <c r="D6421" s="1">
        <v>0.35</v>
      </c>
      <c r="E6421" s="1" t="s">
        <v>113</v>
      </c>
      <c r="F6421" s="1" t="s">
        <v>113</v>
      </c>
      <c r="G6421" s="1" t="s">
        <v>113</v>
      </c>
      <c r="H6421" s="1" t="str">
        <f>VLOOKUP(F6421,Countries!$A$1:$B$161,2,0)</f>
        <v>United States of America</v>
      </c>
    </row>
    <row r="6422" spans="1:8" x14ac:dyDescent="0.3">
      <c r="A6422" s="3">
        <v>46237.614583333343</v>
      </c>
      <c r="B6422" s="1">
        <v>12.64</v>
      </c>
      <c r="C6422" s="1">
        <v>10.97</v>
      </c>
      <c r="D6422" s="1">
        <v>0.63</v>
      </c>
      <c r="E6422" s="1" t="s">
        <v>116</v>
      </c>
      <c r="F6422" s="1" t="s">
        <v>116</v>
      </c>
      <c r="G6422" s="1" t="s">
        <v>116</v>
      </c>
      <c r="H6422" s="1" t="str">
        <f>VLOOKUP(F6422,Countries!$A$1:$B$161,2,0)</f>
        <v>Spain</v>
      </c>
    </row>
    <row r="6423" spans="1:8" x14ac:dyDescent="0.3">
      <c r="A6423" s="3">
        <v>46237.605856481481</v>
      </c>
      <c r="B6423" s="1">
        <v>6.37</v>
      </c>
      <c r="C6423" s="1">
        <v>5.53</v>
      </c>
      <c r="D6423" s="1">
        <v>0.54</v>
      </c>
      <c r="E6423" s="1" t="s">
        <v>113</v>
      </c>
      <c r="F6423" s="1" t="s">
        <v>113</v>
      </c>
      <c r="G6423" s="1" t="s">
        <v>113</v>
      </c>
      <c r="H6423" s="1" t="str">
        <f>VLOOKUP(F6423,Countries!$A$1:$B$161,2,0)</f>
        <v>United States of America</v>
      </c>
    </row>
    <row r="6424" spans="1:8" x14ac:dyDescent="0.3">
      <c r="A6424" s="3">
        <v>46237.596018518518</v>
      </c>
      <c r="B6424" s="1">
        <v>14.78</v>
      </c>
      <c r="C6424" s="1">
        <v>12.82</v>
      </c>
      <c r="D6424" s="1">
        <v>0.93</v>
      </c>
      <c r="E6424" s="1" t="s">
        <v>113</v>
      </c>
      <c r="F6424" s="1" t="s">
        <v>113</v>
      </c>
      <c r="G6424" s="1" t="s">
        <v>113</v>
      </c>
      <c r="H6424" s="1" t="str">
        <f>VLOOKUP(F6424,Countries!$A$1:$B$161,2,0)</f>
        <v>United States of America</v>
      </c>
    </row>
    <row r="6425" spans="1:8" x14ac:dyDescent="0.3">
      <c r="A6425" s="3">
        <v>46237.595405092587</v>
      </c>
      <c r="B6425" s="1">
        <v>59.14</v>
      </c>
      <c r="C6425" s="1">
        <v>51.31</v>
      </c>
      <c r="D6425" s="1">
        <v>2.95</v>
      </c>
      <c r="E6425" s="1" t="s">
        <v>113</v>
      </c>
      <c r="F6425" s="1" t="s">
        <v>113</v>
      </c>
      <c r="G6425" s="1" t="s">
        <v>113</v>
      </c>
      <c r="H6425" s="1" t="str">
        <f>VLOOKUP(F6425,Countries!$A$1:$B$161,2,0)</f>
        <v>United States of America</v>
      </c>
    </row>
    <row r="6426" spans="1:8" x14ac:dyDescent="0.3">
      <c r="A6426" s="3">
        <v>46237.595254629632</v>
      </c>
      <c r="B6426" s="1">
        <v>14.77</v>
      </c>
      <c r="C6426" s="1">
        <v>12.82</v>
      </c>
      <c r="D6426" s="1">
        <v>0.93</v>
      </c>
      <c r="E6426" s="1" t="s">
        <v>113</v>
      </c>
      <c r="F6426" s="1" t="s">
        <v>113</v>
      </c>
      <c r="G6426" s="1" t="s">
        <v>113</v>
      </c>
      <c r="H6426" s="1" t="str">
        <f>VLOOKUP(F6426,Countries!$A$1:$B$161,2,0)</f>
        <v>United States of America</v>
      </c>
    </row>
    <row r="6427" spans="1:8" x14ac:dyDescent="0.3">
      <c r="A6427" s="3">
        <v>46237.592870370368</v>
      </c>
      <c r="B6427" s="1">
        <v>12.64</v>
      </c>
      <c r="C6427" s="1">
        <v>10.97</v>
      </c>
      <c r="D6427" s="1">
        <v>0.63</v>
      </c>
      <c r="E6427" s="1" t="s">
        <v>116</v>
      </c>
      <c r="F6427" s="1" t="s">
        <v>116</v>
      </c>
      <c r="G6427" s="1" t="s">
        <v>116</v>
      </c>
      <c r="H6427" s="1" t="str">
        <f>VLOOKUP(F6427,Countries!$A$1:$B$161,2,0)</f>
        <v>Spain</v>
      </c>
    </row>
    <row r="6428" spans="1:8" x14ac:dyDescent="0.3">
      <c r="A6428" s="3">
        <v>46237.589490740742</v>
      </c>
      <c r="B6428" s="1">
        <v>6.37</v>
      </c>
      <c r="C6428" s="1">
        <v>5.53</v>
      </c>
      <c r="D6428" s="1">
        <v>0.54</v>
      </c>
      <c r="E6428" s="1" t="s">
        <v>113</v>
      </c>
      <c r="F6428" s="1" t="s">
        <v>113</v>
      </c>
      <c r="G6428" s="1" t="s">
        <v>113</v>
      </c>
      <c r="H6428" s="1" t="str">
        <f>VLOOKUP(F6428,Countries!$A$1:$B$161,2,0)</f>
        <v>United States of America</v>
      </c>
    </row>
    <row r="6429" spans="1:8" x14ac:dyDescent="0.3">
      <c r="A6429" s="3">
        <v>46237.586585648147</v>
      </c>
      <c r="B6429" s="1">
        <v>59.03</v>
      </c>
      <c r="C6429" s="1">
        <v>51.22</v>
      </c>
      <c r="D6429" s="1">
        <v>2.93</v>
      </c>
      <c r="E6429" s="1" t="s">
        <v>113</v>
      </c>
      <c r="F6429" s="1" t="s">
        <v>113</v>
      </c>
      <c r="G6429" s="1" t="s">
        <v>113</v>
      </c>
      <c r="H6429" s="1" t="str">
        <f>VLOOKUP(F6429,Countries!$A$1:$B$161,2,0)</f>
        <v>United States of America</v>
      </c>
    </row>
    <row r="6430" spans="1:8" x14ac:dyDescent="0.3">
      <c r="A6430" s="3">
        <v>46237.582905092589</v>
      </c>
      <c r="B6430" s="1">
        <v>1.99</v>
      </c>
      <c r="C6430" s="1">
        <v>1.73</v>
      </c>
      <c r="D6430" s="1">
        <v>0.34</v>
      </c>
      <c r="E6430" s="1" t="s">
        <v>127</v>
      </c>
      <c r="F6430" s="1" t="s">
        <v>127</v>
      </c>
      <c r="G6430" s="1" t="s">
        <v>127</v>
      </c>
      <c r="H6430" s="1" t="str">
        <f>VLOOKUP(F6430,Countries!$A$1:$B$161,2,0)</f>
        <v>Puerto Rico</v>
      </c>
    </row>
    <row r="6431" spans="1:8" x14ac:dyDescent="0.3">
      <c r="A6431" s="3">
        <v>46237.581562500003</v>
      </c>
      <c r="B6431" s="1">
        <v>12.64</v>
      </c>
      <c r="C6431" s="1">
        <v>10.96</v>
      </c>
      <c r="D6431" s="1">
        <v>0.63</v>
      </c>
      <c r="E6431" s="1" t="s">
        <v>116</v>
      </c>
      <c r="F6431" s="1" t="s">
        <v>116</v>
      </c>
      <c r="G6431" s="1" t="s">
        <v>116</v>
      </c>
      <c r="H6431" s="1" t="str">
        <f>VLOOKUP(F6431,Countries!$A$1:$B$161,2,0)</f>
        <v>Spain</v>
      </c>
    </row>
    <row r="6432" spans="1:8" x14ac:dyDescent="0.3">
      <c r="A6432" s="3">
        <v>46237.571215277778</v>
      </c>
      <c r="B6432" s="1">
        <v>7.98</v>
      </c>
      <c r="C6432" s="1">
        <v>6.92</v>
      </c>
      <c r="D6432" s="1">
        <v>0.49</v>
      </c>
      <c r="E6432" s="1" t="s">
        <v>125</v>
      </c>
      <c r="F6432" s="1" t="s">
        <v>125</v>
      </c>
      <c r="G6432" s="1" t="s">
        <v>125</v>
      </c>
      <c r="H6432" s="1" t="str">
        <f>VLOOKUP(F6432,Countries!$A$1:$B$161,2,0)</f>
        <v>Norway</v>
      </c>
    </row>
    <row r="6433" spans="1:8" x14ac:dyDescent="0.3">
      <c r="A6433" s="3">
        <v>46237.56925925926</v>
      </c>
      <c r="B6433" s="1">
        <v>12.64</v>
      </c>
      <c r="C6433" s="1">
        <v>10.96</v>
      </c>
      <c r="D6433" s="1">
        <v>0.63</v>
      </c>
      <c r="E6433" s="1" t="s">
        <v>116</v>
      </c>
      <c r="F6433" s="1" t="s">
        <v>116</v>
      </c>
      <c r="G6433" s="1" t="s">
        <v>116</v>
      </c>
      <c r="H6433" s="1" t="str">
        <f>VLOOKUP(F6433,Countries!$A$1:$B$161,2,0)</f>
        <v>Spain</v>
      </c>
    </row>
    <row r="6434" spans="1:8" x14ac:dyDescent="0.3">
      <c r="A6434" s="3">
        <v>46237.566446759258</v>
      </c>
      <c r="B6434" s="1">
        <v>6.37</v>
      </c>
      <c r="C6434" s="1">
        <v>5.53</v>
      </c>
      <c r="D6434" s="1">
        <v>0.54</v>
      </c>
      <c r="E6434" s="1" t="s">
        <v>113</v>
      </c>
      <c r="F6434" s="1" t="s">
        <v>113</v>
      </c>
      <c r="G6434" s="1" t="s">
        <v>113</v>
      </c>
      <c r="H6434" s="1" t="str">
        <f>VLOOKUP(F6434,Countries!$A$1:$B$161,2,0)</f>
        <v>United States of America</v>
      </c>
    </row>
    <row r="6435" spans="1:8" x14ac:dyDescent="0.3">
      <c r="A6435" s="3">
        <v>46237.561620370368</v>
      </c>
      <c r="B6435" s="1">
        <v>42.55</v>
      </c>
      <c r="C6435" s="1">
        <v>36.909999999999997</v>
      </c>
      <c r="D6435" s="1">
        <v>2.19</v>
      </c>
      <c r="E6435" s="1" t="s">
        <v>113</v>
      </c>
      <c r="F6435" s="1" t="s">
        <v>113</v>
      </c>
      <c r="G6435" s="1" t="s">
        <v>113</v>
      </c>
      <c r="H6435" s="1" t="str">
        <f>VLOOKUP(F6435,Countries!$A$1:$B$161,2,0)</f>
        <v>United States of America</v>
      </c>
    </row>
    <row r="6436" spans="1:8" x14ac:dyDescent="0.3">
      <c r="A6436" s="3">
        <v>46237.557337962957</v>
      </c>
      <c r="B6436" s="1">
        <v>42.54</v>
      </c>
      <c r="C6436" s="1">
        <v>36.9</v>
      </c>
      <c r="D6436" s="1">
        <v>2.19</v>
      </c>
      <c r="E6436" s="1" t="s">
        <v>113</v>
      </c>
      <c r="F6436" s="1" t="s">
        <v>113</v>
      </c>
      <c r="G6436" s="1" t="s">
        <v>113</v>
      </c>
      <c r="H6436" s="1" t="str">
        <f>VLOOKUP(F6436,Countries!$A$1:$B$161,2,0)</f>
        <v>United States of America</v>
      </c>
    </row>
    <row r="6437" spans="1:8" x14ac:dyDescent="0.3">
      <c r="A6437" s="3">
        <v>46237.554120370369</v>
      </c>
      <c r="B6437" s="1">
        <v>2.11</v>
      </c>
      <c r="C6437" s="1">
        <v>1.83</v>
      </c>
      <c r="D6437" s="1">
        <v>0.35</v>
      </c>
      <c r="E6437" s="1" t="s">
        <v>127</v>
      </c>
      <c r="F6437" s="1" t="s">
        <v>113</v>
      </c>
      <c r="G6437" s="1" t="s">
        <v>113</v>
      </c>
      <c r="H6437" s="1" t="str">
        <f>VLOOKUP(F6437,Countries!$A$1:$B$161,2,0)</f>
        <v>United States of America</v>
      </c>
    </row>
    <row r="6438" spans="1:8" x14ac:dyDescent="0.3">
      <c r="A6438" s="3">
        <v>46237.546261574083</v>
      </c>
      <c r="B6438" s="1">
        <v>6.37</v>
      </c>
      <c r="C6438" s="1">
        <v>5.53</v>
      </c>
      <c r="D6438" s="1">
        <v>0.54</v>
      </c>
      <c r="E6438" s="1" t="s">
        <v>113</v>
      </c>
      <c r="F6438" s="1" t="s">
        <v>113</v>
      </c>
      <c r="G6438" s="1" t="s">
        <v>113</v>
      </c>
      <c r="H6438" s="1" t="str">
        <f>VLOOKUP(F6438,Countries!$A$1:$B$161,2,0)</f>
        <v>United States of America</v>
      </c>
    </row>
    <row r="6439" spans="1:8" x14ac:dyDescent="0.3">
      <c r="A6439" s="3">
        <v>46237.545868055553</v>
      </c>
      <c r="B6439" s="1">
        <v>85.09</v>
      </c>
      <c r="C6439" s="1">
        <v>73.81</v>
      </c>
      <c r="D6439" s="1">
        <v>4.13</v>
      </c>
      <c r="E6439" s="1" t="s">
        <v>113</v>
      </c>
      <c r="F6439" s="1" t="s">
        <v>113</v>
      </c>
      <c r="G6439" s="1" t="s">
        <v>113</v>
      </c>
      <c r="H6439" s="1" t="str">
        <f>VLOOKUP(F6439,Countries!$A$1:$B$161,2,0)</f>
        <v>United States of America</v>
      </c>
    </row>
    <row r="6440" spans="1:8" x14ac:dyDescent="0.3">
      <c r="A6440" s="3">
        <v>46237.541550925933</v>
      </c>
      <c r="B6440" s="1">
        <v>5.99</v>
      </c>
      <c r="C6440" s="1">
        <v>5.19</v>
      </c>
      <c r="D6440" s="1">
        <v>0.52</v>
      </c>
      <c r="E6440" s="1" t="s">
        <v>119</v>
      </c>
      <c r="F6440" s="1" t="s">
        <v>129</v>
      </c>
      <c r="G6440" s="1" t="s">
        <v>129</v>
      </c>
      <c r="H6440" s="1" t="str">
        <f>VLOOKUP(F6440,Countries!$A$1:$B$161,2,0)</f>
        <v>Qatar</v>
      </c>
    </row>
    <row r="6441" spans="1:8" x14ac:dyDescent="0.3">
      <c r="A6441" s="3">
        <v>46237.537835648152</v>
      </c>
      <c r="B6441" s="1">
        <v>6.37</v>
      </c>
      <c r="C6441" s="1">
        <v>5.52</v>
      </c>
      <c r="D6441" s="1">
        <v>0.54</v>
      </c>
      <c r="E6441" s="1" t="s">
        <v>113</v>
      </c>
      <c r="F6441" s="1" t="s">
        <v>113</v>
      </c>
      <c r="G6441" s="1" t="s">
        <v>113</v>
      </c>
      <c r="H6441" s="1" t="str">
        <f>VLOOKUP(F6441,Countries!$A$1:$B$161,2,0)</f>
        <v>United States of America</v>
      </c>
    </row>
    <row r="6442" spans="1:8" x14ac:dyDescent="0.3">
      <c r="A6442" s="3">
        <v>46237.536076388889</v>
      </c>
      <c r="B6442" s="1">
        <v>59.14</v>
      </c>
      <c r="C6442" s="1">
        <v>51.29</v>
      </c>
      <c r="D6442" s="1">
        <v>2.95</v>
      </c>
      <c r="E6442" s="1" t="s">
        <v>113</v>
      </c>
      <c r="F6442" s="1" t="s">
        <v>113</v>
      </c>
      <c r="G6442" s="1" t="s">
        <v>113</v>
      </c>
      <c r="H6442" s="1" t="str">
        <f>VLOOKUP(F6442,Countries!$A$1:$B$161,2,0)</f>
        <v>United States of America</v>
      </c>
    </row>
    <row r="6443" spans="1:8" x14ac:dyDescent="0.3">
      <c r="A6443" s="3">
        <v>46237.534675925926</v>
      </c>
      <c r="B6443" s="1">
        <v>59.14</v>
      </c>
      <c r="C6443" s="1">
        <v>51.29</v>
      </c>
      <c r="D6443" s="1">
        <v>2.95</v>
      </c>
      <c r="E6443" s="1" t="s">
        <v>113</v>
      </c>
      <c r="F6443" s="1" t="s">
        <v>113</v>
      </c>
      <c r="G6443" s="1" t="s">
        <v>113</v>
      </c>
      <c r="H6443" s="1" t="str">
        <f>VLOOKUP(F6443,Countries!$A$1:$B$161,2,0)</f>
        <v>United States of America</v>
      </c>
    </row>
    <row r="6444" spans="1:8" x14ac:dyDescent="0.3">
      <c r="A6444" s="3">
        <v>46237.529768518521</v>
      </c>
      <c r="B6444" s="1">
        <v>59.03</v>
      </c>
      <c r="C6444" s="1">
        <v>51.19</v>
      </c>
      <c r="D6444" s="1">
        <v>2.93</v>
      </c>
      <c r="E6444" s="1" t="s">
        <v>113</v>
      </c>
      <c r="F6444" s="1" t="s">
        <v>113</v>
      </c>
      <c r="G6444" s="1" t="s">
        <v>113</v>
      </c>
      <c r="H6444" s="1" t="str">
        <f>VLOOKUP(F6444,Countries!$A$1:$B$161,2,0)</f>
        <v>United States of America</v>
      </c>
    </row>
    <row r="6445" spans="1:8" x14ac:dyDescent="0.3">
      <c r="A6445" s="3">
        <v>46237.526828703703</v>
      </c>
      <c r="B6445" s="1">
        <v>44.36</v>
      </c>
      <c r="C6445" s="1">
        <v>38.47</v>
      </c>
      <c r="D6445" s="1">
        <v>2.27</v>
      </c>
      <c r="E6445" s="1" t="s">
        <v>113</v>
      </c>
      <c r="F6445" s="1" t="s">
        <v>113</v>
      </c>
      <c r="G6445" s="1" t="s">
        <v>113</v>
      </c>
      <c r="H6445" s="1" t="str">
        <f>VLOOKUP(F6445,Countries!$A$1:$B$161,2,0)</f>
        <v>United States of America</v>
      </c>
    </row>
    <row r="6446" spans="1:8" x14ac:dyDescent="0.3">
      <c r="A6446" s="3">
        <v>46237.522847222222</v>
      </c>
      <c r="B6446" s="1">
        <v>36.96</v>
      </c>
      <c r="C6446" s="1">
        <v>32.049999999999997</v>
      </c>
      <c r="D6446" s="1">
        <v>1.93</v>
      </c>
      <c r="E6446" s="1" t="s">
        <v>113</v>
      </c>
      <c r="F6446" s="1" t="s">
        <v>113</v>
      </c>
      <c r="G6446" s="1" t="s">
        <v>113</v>
      </c>
      <c r="H6446" s="1" t="str">
        <f>VLOOKUP(F6446,Countries!$A$1:$B$161,2,0)</f>
        <v>United States of America</v>
      </c>
    </row>
    <row r="6447" spans="1:8" x14ac:dyDescent="0.3">
      <c r="A6447" s="3">
        <v>46237.519108796303</v>
      </c>
      <c r="B6447" s="1">
        <v>7.58</v>
      </c>
      <c r="C6447" s="1">
        <v>6.57</v>
      </c>
      <c r="D6447" s="1">
        <v>0.48</v>
      </c>
      <c r="E6447" s="1" t="s">
        <v>116</v>
      </c>
      <c r="F6447" s="1" t="s">
        <v>116</v>
      </c>
      <c r="G6447" s="1" t="s">
        <v>116</v>
      </c>
      <c r="H6447" s="1" t="str">
        <f>VLOOKUP(F6447,Countries!$A$1:$B$161,2,0)</f>
        <v>Spain</v>
      </c>
    </row>
    <row r="6448" spans="1:8" x14ac:dyDescent="0.3">
      <c r="A6448" s="3">
        <v>46237.498553240737</v>
      </c>
      <c r="B6448" s="1">
        <v>15.78</v>
      </c>
      <c r="C6448" s="1">
        <v>13.7</v>
      </c>
      <c r="D6448" s="1">
        <v>0.97</v>
      </c>
      <c r="E6448" s="1" t="s">
        <v>114</v>
      </c>
      <c r="F6448" s="1" t="s">
        <v>114</v>
      </c>
      <c r="G6448" s="1" t="s">
        <v>114</v>
      </c>
      <c r="H6448" s="1" t="str">
        <f>VLOOKUP(F6448,Countries!$A$1:$B$161,2,0)</f>
        <v>Philippines</v>
      </c>
    </row>
    <row r="6449" spans="1:8" x14ac:dyDescent="0.3">
      <c r="A6449" s="3">
        <v>46237.492962962962</v>
      </c>
      <c r="B6449" s="1">
        <v>2.11</v>
      </c>
      <c r="C6449" s="1">
        <v>1.83</v>
      </c>
      <c r="D6449" s="1">
        <v>0.35</v>
      </c>
      <c r="E6449" s="1" t="s">
        <v>113</v>
      </c>
      <c r="F6449" s="1" t="s">
        <v>113</v>
      </c>
      <c r="G6449" s="1" t="s">
        <v>113</v>
      </c>
      <c r="H6449" s="1" t="str">
        <f>VLOOKUP(F6449,Countries!$A$1:$B$161,2,0)</f>
        <v>United States of America</v>
      </c>
    </row>
    <row r="6450" spans="1:8" x14ac:dyDescent="0.3">
      <c r="A6450" s="3">
        <v>46237.492291666669</v>
      </c>
      <c r="B6450" s="1">
        <v>3.32</v>
      </c>
      <c r="C6450" s="1">
        <v>2.88</v>
      </c>
      <c r="D6450" s="1">
        <v>0.4</v>
      </c>
      <c r="E6450" s="1" t="s">
        <v>130</v>
      </c>
      <c r="F6450" s="1" t="s">
        <v>130</v>
      </c>
      <c r="G6450" s="1" t="s">
        <v>130</v>
      </c>
      <c r="H6450" s="1" t="str">
        <f>VLOOKUP(F6450,Countries!$A$1:$B$161,2,0)</f>
        <v>Australia</v>
      </c>
    </row>
    <row r="6451" spans="1:8" x14ac:dyDescent="0.3">
      <c r="A6451" s="3">
        <v>46237.487141203703</v>
      </c>
      <c r="B6451" s="1">
        <v>7.98</v>
      </c>
      <c r="C6451" s="1">
        <v>6.93</v>
      </c>
      <c r="D6451" s="1">
        <v>0.49</v>
      </c>
      <c r="E6451" s="1" t="s">
        <v>133</v>
      </c>
      <c r="F6451" s="1" t="s">
        <v>133</v>
      </c>
      <c r="G6451" s="1" t="s">
        <v>133</v>
      </c>
      <c r="H6451" s="1" t="str">
        <f>VLOOKUP(F6451,Countries!$A$1:$B$161,2,0)</f>
        <v>Denmark</v>
      </c>
    </row>
    <row r="6452" spans="1:8" x14ac:dyDescent="0.3">
      <c r="A6452" s="3">
        <v>46237.483055555553</v>
      </c>
      <c r="B6452" s="1">
        <v>6.37</v>
      </c>
      <c r="C6452" s="1">
        <v>5.53</v>
      </c>
      <c r="D6452" s="1">
        <v>0.54</v>
      </c>
      <c r="E6452" s="1" t="s">
        <v>152</v>
      </c>
      <c r="F6452" s="1" t="s">
        <v>152</v>
      </c>
      <c r="G6452" s="1" t="s">
        <v>152</v>
      </c>
      <c r="H6452" s="1" t="str">
        <f>VLOOKUP(F6452,Countries!$A$1:$B$161,2,0)</f>
        <v>Singapore</v>
      </c>
    </row>
    <row r="6453" spans="1:8" x14ac:dyDescent="0.3">
      <c r="A6453" s="3">
        <v>46237.476458333331</v>
      </c>
      <c r="B6453" s="1">
        <v>26.25</v>
      </c>
      <c r="C6453" s="1">
        <v>22.78</v>
      </c>
      <c r="D6453" s="1">
        <v>1.45</v>
      </c>
      <c r="E6453" s="1" t="s">
        <v>171</v>
      </c>
      <c r="F6453" s="1" t="s">
        <v>171</v>
      </c>
      <c r="G6453" s="1" t="s">
        <v>171</v>
      </c>
      <c r="H6453" s="1" t="str">
        <f>VLOOKUP(F6453,Countries!$A$1:$B$161,2,0)</f>
        <v>Korea (South)</v>
      </c>
    </row>
    <row r="6454" spans="1:8" x14ac:dyDescent="0.3">
      <c r="A6454" s="3">
        <v>46237.476041666669</v>
      </c>
      <c r="B6454" s="1">
        <v>6.37</v>
      </c>
      <c r="C6454" s="1">
        <v>5.53</v>
      </c>
      <c r="D6454" s="1">
        <v>0.54</v>
      </c>
      <c r="E6454" s="1" t="s">
        <v>113</v>
      </c>
      <c r="F6454" s="1" t="s">
        <v>113</v>
      </c>
      <c r="G6454" s="1" t="s">
        <v>113</v>
      </c>
      <c r="H6454" s="1" t="str">
        <f>VLOOKUP(F6454,Countries!$A$1:$B$161,2,0)</f>
        <v>United States of America</v>
      </c>
    </row>
    <row r="6455" spans="1:8" x14ac:dyDescent="0.3">
      <c r="A6455" s="3">
        <v>46237.473449074067</v>
      </c>
      <c r="B6455" s="1">
        <v>11.35</v>
      </c>
      <c r="C6455" s="1">
        <v>9.85</v>
      </c>
      <c r="D6455" s="1">
        <v>0.77</v>
      </c>
      <c r="E6455" s="1" t="s">
        <v>114</v>
      </c>
      <c r="F6455" s="1" t="s">
        <v>114</v>
      </c>
      <c r="G6455" s="1" t="s">
        <v>114</v>
      </c>
      <c r="H6455" s="1" t="str">
        <f>VLOOKUP(F6455,Countries!$A$1:$B$161,2,0)</f>
        <v>Philippines</v>
      </c>
    </row>
    <row r="6456" spans="1:8" x14ac:dyDescent="0.3">
      <c r="A6456" s="3">
        <v>46237.468923611108</v>
      </c>
      <c r="B6456" s="1">
        <v>6.65</v>
      </c>
      <c r="C6456" s="1">
        <v>5.77</v>
      </c>
      <c r="D6456" s="1">
        <v>0.56000000000000005</v>
      </c>
      <c r="E6456" s="1" t="s">
        <v>171</v>
      </c>
      <c r="F6456" s="1" t="s">
        <v>171</v>
      </c>
      <c r="G6456" s="1" t="s">
        <v>171</v>
      </c>
      <c r="H6456" s="1" t="str">
        <f>VLOOKUP(F6456,Countries!$A$1:$B$161,2,0)</f>
        <v>Korea (South)</v>
      </c>
    </row>
    <row r="6457" spans="1:8" x14ac:dyDescent="0.3">
      <c r="A6457" s="3">
        <v>46237.466319444437</v>
      </c>
      <c r="B6457" s="1">
        <v>30.88</v>
      </c>
      <c r="C6457" s="1">
        <v>26.8</v>
      </c>
      <c r="D6457" s="1">
        <v>1.66</v>
      </c>
      <c r="E6457" s="1" t="s">
        <v>130</v>
      </c>
      <c r="F6457" s="1" t="s">
        <v>130</v>
      </c>
      <c r="G6457" s="1" t="s">
        <v>130</v>
      </c>
      <c r="H6457" s="1" t="str">
        <f>VLOOKUP(F6457,Countries!$A$1:$B$161,2,0)</f>
        <v>Australia</v>
      </c>
    </row>
    <row r="6458" spans="1:8" x14ac:dyDescent="0.3">
      <c r="A6458" s="3">
        <v>46237.464421296303</v>
      </c>
      <c r="B6458" s="1">
        <v>2.11</v>
      </c>
      <c r="C6458" s="1">
        <v>1.83</v>
      </c>
      <c r="D6458" s="1">
        <v>0.35</v>
      </c>
      <c r="E6458" s="1" t="s">
        <v>113</v>
      </c>
      <c r="F6458" s="1" t="s">
        <v>113</v>
      </c>
      <c r="G6458" s="1" t="s">
        <v>113</v>
      </c>
      <c r="H6458" s="1" t="str">
        <f>VLOOKUP(F6458,Countries!$A$1:$B$161,2,0)</f>
        <v>United States of America</v>
      </c>
    </row>
    <row r="6459" spans="1:8" x14ac:dyDescent="0.3">
      <c r="A6459" s="3">
        <v>46237.462627314817</v>
      </c>
      <c r="B6459" s="1">
        <v>15.43</v>
      </c>
      <c r="C6459" s="1">
        <v>13.39</v>
      </c>
      <c r="D6459" s="1">
        <v>0.96</v>
      </c>
      <c r="E6459" s="1" t="s">
        <v>130</v>
      </c>
      <c r="F6459" s="1" t="s">
        <v>130</v>
      </c>
      <c r="G6459" s="1" t="s">
        <v>130</v>
      </c>
      <c r="H6459" s="1" t="str">
        <f>VLOOKUP(F6459,Countries!$A$1:$B$161,2,0)</f>
        <v>Australia</v>
      </c>
    </row>
    <row r="6460" spans="1:8" x14ac:dyDescent="0.3">
      <c r="A6460" s="3">
        <v>46237.446458333332</v>
      </c>
      <c r="B6460" s="1">
        <v>2.11</v>
      </c>
      <c r="C6460" s="1">
        <v>1.83</v>
      </c>
      <c r="D6460" s="1">
        <v>0.35</v>
      </c>
      <c r="E6460" s="1" t="s">
        <v>113</v>
      </c>
      <c r="F6460" s="1" t="s">
        <v>113</v>
      </c>
      <c r="G6460" s="1" t="s">
        <v>113</v>
      </c>
      <c r="H6460" s="1" t="str">
        <f>VLOOKUP(F6460,Countries!$A$1:$B$161,2,0)</f>
        <v>United States of America</v>
      </c>
    </row>
    <row r="6461" spans="1:8" x14ac:dyDescent="0.3">
      <c r="A6461" s="3">
        <v>46237.444930555554</v>
      </c>
      <c r="B6461" s="1">
        <v>6.37</v>
      </c>
      <c r="C6461" s="1">
        <v>5.53</v>
      </c>
      <c r="D6461" s="1">
        <v>0.54</v>
      </c>
      <c r="E6461" s="1" t="s">
        <v>113</v>
      </c>
      <c r="F6461" s="1" t="s">
        <v>113</v>
      </c>
      <c r="G6461" s="1" t="s">
        <v>113</v>
      </c>
      <c r="H6461" s="1" t="str">
        <f>VLOOKUP(F6461,Countries!$A$1:$B$161,2,0)</f>
        <v>United States of America</v>
      </c>
    </row>
    <row r="6462" spans="1:8" x14ac:dyDescent="0.3">
      <c r="A6462" s="3">
        <v>46237.431805555563</v>
      </c>
      <c r="B6462" s="1">
        <v>36.96</v>
      </c>
      <c r="C6462" s="1">
        <v>32.08</v>
      </c>
      <c r="D6462" s="1">
        <v>1.93</v>
      </c>
      <c r="E6462" s="1" t="s">
        <v>113</v>
      </c>
      <c r="F6462" s="1" t="s">
        <v>113</v>
      </c>
      <c r="G6462" s="1" t="s">
        <v>113</v>
      </c>
      <c r="H6462" s="1" t="str">
        <f>VLOOKUP(F6462,Countries!$A$1:$B$161,2,0)</f>
        <v>United States of America</v>
      </c>
    </row>
    <row r="6463" spans="1:8" x14ac:dyDescent="0.3">
      <c r="A6463" s="3">
        <v>46237.428842592592</v>
      </c>
      <c r="B6463" s="1">
        <v>10.62</v>
      </c>
      <c r="C6463" s="1">
        <v>9.2200000000000006</v>
      </c>
      <c r="D6463" s="1">
        <v>0.73</v>
      </c>
      <c r="E6463" s="1" t="s">
        <v>113</v>
      </c>
      <c r="F6463" s="1" t="s">
        <v>113</v>
      </c>
      <c r="G6463" s="1" t="s">
        <v>113</v>
      </c>
      <c r="H6463" s="1" t="str">
        <f>VLOOKUP(F6463,Countries!$A$1:$B$161,2,0)</f>
        <v>United States of America</v>
      </c>
    </row>
    <row r="6464" spans="1:8" x14ac:dyDescent="0.3">
      <c r="A6464" s="3">
        <v>46237.426053240742</v>
      </c>
      <c r="B6464" s="1">
        <v>5.99</v>
      </c>
      <c r="C6464" s="1">
        <v>5.2</v>
      </c>
      <c r="D6464" s="1">
        <v>0.52</v>
      </c>
      <c r="E6464" s="1" t="s">
        <v>135</v>
      </c>
      <c r="F6464" s="1" t="s">
        <v>135</v>
      </c>
      <c r="G6464" s="1" t="s">
        <v>135</v>
      </c>
      <c r="H6464" s="1" t="str">
        <f>VLOOKUP(F6464,Countries!$A$1:$B$161,2,0)</f>
        <v>Kuwait</v>
      </c>
    </row>
    <row r="6465" spans="1:8" x14ac:dyDescent="0.3">
      <c r="A6465" s="3">
        <v>46237.421956018523</v>
      </c>
      <c r="B6465" s="1">
        <v>6.37</v>
      </c>
      <c r="C6465" s="1">
        <v>5.53</v>
      </c>
      <c r="D6465" s="1">
        <v>0.54</v>
      </c>
      <c r="E6465" s="1" t="s">
        <v>113</v>
      </c>
      <c r="F6465" s="1" t="s">
        <v>113</v>
      </c>
      <c r="G6465" s="1" t="s">
        <v>113</v>
      </c>
      <c r="H6465" s="1" t="str">
        <f>VLOOKUP(F6465,Countries!$A$1:$B$161,2,0)</f>
        <v>United States of America</v>
      </c>
    </row>
    <row r="6466" spans="1:8" x14ac:dyDescent="0.3">
      <c r="A6466" s="3">
        <v>46237.421331018522</v>
      </c>
      <c r="B6466" s="1">
        <v>6.37</v>
      </c>
      <c r="C6466" s="1">
        <v>5.53</v>
      </c>
      <c r="D6466" s="1">
        <v>0.54</v>
      </c>
      <c r="E6466" s="1" t="s">
        <v>113</v>
      </c>
      <c r="F6466" s="1" t="s">
        <v>113</v>
      </c>
      <c r="G6466" s="1" t="s">
        <v>113</v>
      </c>
      <c r="H6466" s="1" t="str">
        <f>VLOOKUP(F6466,Countries!$A$1:$B$161,2,0)</f>
        <v>United States of America</v>
      </c>
    </row>
    <row r="6467" spans="1:8" x14ac:dyDescent="0.3">
      <c r="A6467" s="3">
        <v>46237.395810185182</v>
      </c>
      <c r="B6467" s="1">
        <v>6.37</v>
      </c>
      <c r="C6467" s="1">
        <v>5.53</v>
      </c>
      <c r="D6467" s="1">
        <v>0.54</v>
      </c>
      <c r="E6467" s="1" t="s">
        <v>113</v>
      </c>
      <c r="F6467" s="1" t="s">
        <v>113</v>
      </c>
      <c r="G6467" s="1" t="s">
        <v>113</v>
      </c>
      <c r="H6467" s="1" t="str">
        <f>VLOOKUP(F6467,Countries!$A$1:$B$161,2,0)</f>
        <v>United States of America</v>
      </c>
    </row>
    <row r="6468" spans="1:8" x14ac:dyDescent="0.3">
      <c r="A6468" s="3">
        <v>46237.384826388887</v>
      </c>
      <c r="B6468" s="1">
        <v>6.37</v>
      </c>
      <c r="C6468" s="1">
        <v>5.53</v>
      </c>
      <c r="D6468" s="1">
        <v>0.54</v>
      </c>
      <c r="E6468" s="1" t="s">
        <v>113</v>
      </c>
      <c r="F6468" s="1" t="s">
        <v>113</v>
      </c>
      <c r="G6468" s="1" t="s">
        <v>113</v>
      </c>
      <c r="H6468" s="1" t="str">
        <f>VLOOKUP(F6468,Countries!$A$1:$B$161,2,0)</f>
        <v>United States of America</v>
      </c>
    </row>
    <row r="6469" spans="1:8" x14ac:dyDescent="0.3">
      <c r="A6469" s="3">
        <v>46237.376342592594</v>
      </c>
      <c r="B6469" s="1">
        <v>6.37</v>
      </c>
      <c r="C6469" s="1">
        <v>5.53</v>
      </c>
      <c r="D6469" s="1">
        <v>0.54</v>
      </c>
      <c r="E6469" s="1" t="s">
        <v>113</v>
      </c>
      <c r="F6469" s="1" t="s">
        <v>113</v>
      </c>
      <c r="G6469" s="1" t="s">
        <v>113</v>
      </c>
      <c r="H6469" s="1" t="str">
        <f>VLOOKUP(F6469,Countries!$A$1:$B$161,2,0)</f>
        <v>United States of America</v>
      </c>
    </row>
    <row r="6470" spans="1:8" x14ac:dyDescent="0.3">
      <c r="A6470" s="3">
        <v>46237.368287037039</v>
      </c>
      <c r="B6470" s="1">
        <v>7.48</v>
      </c>
      <c r="C6470" s="1">
        <v>6.49</v>
      </c>
      <c r="D6470" s="1">
        <v>0.54</v>
      </c>
      <c r="E6470" s="1" t="s">
        <v>119</v>
      </c>
      <c r="F6470" s="1" t="s">
        <v>119</v>
      </c>
      <c r="G6470" s="1" t="s">
        <v>119</v>
      </c>
      <c r="H6470" s="1" t="str">
        <f>VLOOKUP(F6470,Countries!$A$1:$B$161,2,0)</f>
        <v>Great Britain (United Kingdom)</v>
      </c>
    </row>
    <row r="6471" spans="1:8" x14ac:dyDescent="0.3">
      <c r="A6471" s="3">
        <v>46237.362199074072</v>
      </c>
      <c r="B6471" s="1">
        <v>5.31</v>
      </c>
      <c r="C6471" s="1">
        <v>4.6100000000000003</v>
      </c>
      <c r="D6471" s="1">
        <v>0.49</v>
      </c>
      <c r="E6471" s="1" t="s">
        <v>113</v>
      </c>
      <c r="F6471" s="1" t="s">
        <v>113</v>
      </c>
      <c r="G6471" s="1" t="s">
        <v>113</v>
      </c>
      <c r="H6471" s="1" t="str">
        <f>VLOOKUP(F6471,Countries!$A$1:$B$161,2,0)</f>
        <v>United States of America</v>
      </c>
    </row>
    <row r="6472" spans="1:8" x14ac:dyDescent="0.3">
      <c r="A6472" s="3">
        <v>46237.360775462963</v>
      </c>
      <c r="B6472" s="1">
        <v>10.63</v>
      </c>
      <c r="C6472" s="1">
        <v>9.2200000000000006</v>
      </c>
      <c r="D6472" s="1">
        <v>0.73</v>
      </c>
      <c r="E6472" s="1" t="s">
        <v>113</v>
      </c>
      <c r="F6472" s="1" t="s">
        <v>113</v>
      </c>
      <c r="G6472" s="1" t="s">
        <v>113</v>
      </c>
      <c r="H6472" s="1" t="str">
        <f>VLOOKUP(F6472,Countries!$A$1:$B$161,2,0)</f>
        <v>United States of America</v>
      </c>
    </row>
    <row r="6473" spans="1:8" x14ac:dyDescent="0.3">
      <c r="A6473" s="3">
        <v>46237.358576388891</v>
      </c>
      <c r="B6473" s="1">
        <v>6.37</v>
      </c>
      <c r="C6473" s="1">
        <v>5.53</v>
      </c>
      <c r="D6473" s="1">
        <v>0.54</v>
      </c>
      <c r="E6473" s="1" t="s">
        <v>113</v>
      </c>
      <c r="F6473" s="1" t="s">
        <v>113</v>
      </c>
      <c r="G6473" s="1" t="s">
        <v>113</v>
      </c>
      <c r="H6473" s="1" t="str">
        <f>VLOOKUP(F6473,Countries!$A$1:$B$161,2,0)</f>
        <v>United States of America</v>
      </c>
    </row>
    <row r="6474" spans="1:8" x14ac:dyDescent="0.3">
      <c r="A6474" s="3">
        <v>46237.358310185176</v>
      </c>
      <c r="B6474" s="1">
        <v>5.31</v>
      </c>
      <c r="C6474" s="1">
        <v>4.6100000000000003</v>
      </c>
      <c r="D6474" s="1">
        <v>0.49</v>
      </c>
      <c r="E6474" s="1" t="s">
        <v>113</v>
      </c>
      <c r="F6474" s="1" t="s">
        <v>113</v>
      </c>
      <c r="G6474" s="1" t="s">
        <v>113</v>
      </c>
      <c r="H6474" s="1" t="str">
        <f>VLOOKUP(F6474,Countries!$A$1:$B$161,2,0)</f>
        <v>United States of America</v>
      </c>
    </row>
    <row r="6475" spans="1:8" x14ac:dyDescent="0.3">
      <c r="A6475" s="3">
        <v>46237.357256944437</v>
      </c>
      <c r="B6475" s="1">
        <v>13.32</v>
      </c>
      <c r="C6475" s="1">
        <v>11.56</v>
      </c>
      <c r="D6475" s="1">
        <v>0.65</v>
      </c>
      <c r="E6475" s="1" t="s">
        <v>178</v>
      </c>
      <c r="F6475" s="1" t="s">
        <v>178</v>
      </c>
      <c r="G6475" s="1" t="s">
        <v>178</v>
      </c>
      <c r="H6475" s="1" t="str">
        <f>VLOOKUP(F6475,Countries!$A$1:$B$161,2,0)</f>
        <v>Sweden</v>
      </c>
    </row>
    <row r="6476" spans="1:8" x14ac:dyDescent="0.3">
      <c r="A6476" s="3">
        <v>46237.356192129628</v>
      </c>
      <c r="B6476" s="1">
        <v>10.63</v>
      </c>
      <c r="C6476" s="1">
        <v>9.2200000000000006</v>
      </c>
      <c r="D6476" s="1">
        <v>0.73</v>
      </c>
      <c r="E6476" s="1" t="s">
        <v>113</v>
      </c>
      <c r="F6476" s="1" t="s">
        <v>113</v>
      </c>
      <c r="G6476" s="1" t="s">
        <v>113</v>
      </c>
      <c r="H6476" s="1" t="str">
        <f>VLOOKUP(F6476,Countries!$A$1:$B$161,2,0)</f>
        <v>United States of America</v>
      </c>
    </row>
    <row r="6477" spans="1:8" x14ac:dyDescent="0.3">
      <c r="A6477" s="3">
        <v>46237.355428240742</v>
      </c>
      <c r="B6477" s="1">
        <v>5.31</v>
      </c>
      <c r="C6477" s="1">
        <v>4.6100000000000003</v>
      </c>
      <c r="D6477" s="1">
        <v>0.49</v>
      </c>
      <c r="E6477" s="1" t="s">
        <v>113</v>
      </c>
      <c r="F6477" s="1" t="s">
        <v>113</v>
      </c>
      <c r="G6477" s="1" t="s">
        <v>113</v>
      </c>
      <c r="H6477" s="1" t="str">
        <f>VLOOKUP(F6477,Countries!$A$1:$B$161,2,0)</f>
        <v>United States of America</v>
      </c>
    </row>
    <row r="6478" spans="1:8" x14ac:dyDescent="0.3">
      <c r="A6478" s="3">
        <v>46237.354861111111</v>
      </c>
      <c r="B6478" s="1">
        <v>10.63</v>
      </c>
      <c r="C6478" s="1">
        <v>9.2200000000000006</v>
      </c>
      <c r="D6478" s="1">
        <v>0.73</v>
      </c>
      <c r="E6478" s="1" t="s">
        <v>113</v>
      </c>
      <c r="F6478" s="1" t="s">
        <v>113</v>
      </c>
      <c r="G6478" s="1" t="s">
        <v>113</v>
      </c>
      <c r="H6478" s="1" t="str">
        <f>VLOOKUP(F6478,Countries!$A$1:$B$161,2,0)</f>
        <v>United States of America</v>
      </c>
    </row>
    <row r="6479" spans="1:8" x14ac:dyDescent="0.3">
      <c r="A6479" s="3">
        <v>46237.35428240741</v>
      </c>
      <c r="B6479" s="1">
        <v>21.27</v>
      </c>
      <c r="C6479" s="1">
        <v>18.45</v>
      </c>
      <c r="D6479" s="1">
        <v>1.22</v>
      </c>
      <c r="E6479" s="1" t="s">
        <v>113</v>
      </c>
      <c r="F6479" s="1" t="s">
        <v>113</v>
      </c>
      <c r="G6479" s="1" t="s">
        <v>113</v>
      </c>
      <c r="H6479" s="1" t="str">
        <f>VLOOKUP(F6479,Countries!$A$1:$B$161,2,0)</f>
        <v>United States of America</v>
      </c>
    </row>
    <row r="6480" spans="1:8" x14ac:dyDescent="0.3">
      <c r="A6480" s="3">
        <v>46237.353865740741</v>
      </c>
      <c r="B6480" s="1">
        <v>7.77</v>
      </c>
      <c r="C6480" s="1">
        <v>6.74</v>
      </c>
      <c r="D6480" s="1">
        <v>0.48</v>
      </c>
      <c r="E6480" s="1" t="s">
        <v>112</v>
      </c>
      <c r="F6480" s="1" t="s">
        <v>112</v>
      </c>
      <c r="G6480" s="1" t="s">
        <v>112</v>
      </c>
      <c r="H6480" s="1" t="str">
        <f>VLOOKUP(F6480,Countries!$A$1:$B$161,2,0)</f>
        <v>Ireland</v>
      </c>
    </row>
    <row r="6481" spans="1:8" x14ac:dyDescent="0.3">
      <c r="A6481" s="3">
        <v>46237.353391203702</v>
      </c>
      <c r="B6481" s="1">
        <v>3.98</v>
      </c>
      <c r="C6481" s="1">
        <v>3.45</v>
      </c>
      <c r="D6481" s="1">
        <v>0.37</v>
      </c>
      <c r="E6481" s="1" t="s">
        <v>178</v>
      </c>
      <c r="F6481" s="1" t="s">
        <v>178</v>
      </c>
      <c r="G6481" s="1" t="s">
        <v>178</v>
      </c>
      <c r="H6481" s="1" t="str">
        <f>VLOOKUP(F6481,Countries!$A$1:$B$161,2,0)</f>
        <v>Sweden</v>
      </c>
    </row>
    <row r="6482" spans="1:8" x14ac:dyDescent="0.3">
      <c r="A6482" s="3">
        <v>46237.348958333343</v>
      </c>
      <c r="B6482" s="1">
        <v>4.24</v>
      </c>
      <c r="C6482" s="1">
        <v>3.68</v>
      </c>
      <c r="D6482" s="1">
        <v>0.44</v>
      </c>
      <c r="E6482" s="1" t="s">
        <v>113</v>
      </c>
      <c r="F6482" s="1" t="s">
        <v>113</v>
      </c>
      <c r="G6482" s="1" t="s">
        <v>113</v>
      </c>
      <c r="H6482" s="1" t="str">
        <f>VLOOKUP(F6482,Countries!$A$1:$B$161,2,0)</f>
        <v>United States of America</v>
      </c>
    </row>
    <row r="6483" spans="1:8" x14ac:dyDescent="0.3">
      <c r="A6483" s="3">
        <v>46237.348229166673</v>
      </c>
      <c r="B6483" s="1">
        <v>7.04</v>
      </c>
      <c r="C6483" s="1">
        <v>6.11</v>
      </c>
      <c r="D6483" s="1">
        <v>0.56999999999999995</v>
      </c>
      <c r="E6483" s="1" t="s">
        <v>163</v>
      </c>
      <c r="F6483" s="1" t="s">
        <v>163</v>
      </c>
      <c r="G6483" s="1" t="s">
        <v>163</v>
      </c>
      <c r="H6483" s="1" t="str">
        <f>VLOOKUP(F6483,Countries!$A$1:$B$161,2,0)</f>
        <v>Saudi Arabia</v>
      </c>
    </row>
    <row r="6484" spans="1:8" x14ac:dyDescent="0.3">
      <c r="A6484" s="3">
        <v>46237.345555555563</v>
      </c>
      <c r="B6484" s="1">
        <v>53.32</v>
      </c>
      <c r="C6484" s="1">
        <v>46.26</v>
      </c>
      <c r="D6484" s="1">
        <v>1.87</v>
      </c>
      <c r="E6484" s="1" t="s">
        <v>178</v>
      </c>
      <c r="F6484" s="1" t="s">
        <v>178</v>
      </c>
      <c r="G6484" s="1" t="s">
        <v>178</v>
      </c>
      <c r="H6484" s="1" t="str">
        <f>VLOOKUP(F6484,Countries!$A$1:$B$161,2,0)</f>
        <v>Sweden</v>
      </c>
    </row>
    <row r="6485" spans="1:8" x14ac:dyDescent="0.3">
      <c r="A6485" s="3">
        <v>46237.343321759261</v>
      </c>
      <c r="B6485" s="1">
        <v>17.010000000000002</v>
      </c>
      <c r="C6485" s="1">
        <v>14.76</v>
      </c>
      <c r="D6485" s="1">
        <v>1.03</v>
      </c>
      <c r="E6485" s="1" t="s">
        <v>113</v>
      </c>
      <c r="F6485" s="1" t="s">
        <v>113</v>
      </c>
      <c r="G6485" s="1" t="s">
        <v>113</v>
      </c>
      <c r="H6485" s="1" t="str">
        <f>VLOOKUP(F6485,Countries!$A$1:$B$161,2,0)</f>
        <v>United States of America</v>
      </c>
    </row>
    <row r="6486" spans="1:8" x14ac:dyDescent="0.3">
      <c r="A6486" s="3">
        <v>46237.339675925927</v>
      </c>
      <c r="B6486" s="1">
        <v>2.2599999999999998</v>
      </c>
      <c r="C6486" s="1">
        <v>1.96</v>
      </c>
      <c r="D6486" s="1">
        <v>0.35</v>
      </c>
      <c r="E6486" s="1" t="s">
        <v>170</v>
      </c>
      <c r="F6486" s="1" t="s">
        <v>170</v>
      </c>
      <c r="G6486" s="1" t="s">
        <v>170</v>
      </c>
      <c r="H6486" s="1" t="str">
        <f>VLOOKUP(F6486,Countries!$A$1:$B$161,2,0)</f>
        <v>Kyrgyzstan</v>
      </c>
    </row>
    <row r="6487" spans="1:8" x14ac:dyDescent="0.3">
      <c r="A6487" s="3">
        <v>46237.338900462957</v>
      </c>
      <c r="B6487" s="1">
        <v>6.37</v>
      </c>
      <c r="C6487" s="1">
        <v>5.53</v>
      </c>
      <c r="D6487" s="1">
        <v>0.54</v>
      </c>
      <c r="E6487" s="1" t="s">
        <v>113</v>
      </c>
      <c r="F6487" s="1" t="s">
        <v>113</v>
      </c>
      <c r="G6487" s="1" t="s">
        <v>113</v>
      </c>
      <c r="H6487" s="1" t="str">
        <f>VLOOKUP(F6487,Countries!$A$1:$B$161,2,0)</f>
        <v>United States of America</v>
      </c>
    </row>
    <row r="6488" spans="1:8" x14ac:dyDescent="0.3">
      <c r="A6488" s="3">
        <v>46237.338379629633</v>
      </c>
      <c r="B6488" s="1">
        <v>6.8</v>
      </c>
      <c r="C6488" s="1">
        <v>5.9</v>
      </c>
      <c r="D6488" s="1">
        <v>0.56000000000000005</v>
      </c>
      <c r="E6488" s="1" t="s">
        <v>114</v>
      </c>
      <c r="F6488" s="1" t="s">
        <v>114</v>
      </c>
      <c r="G6488" s="1" t="s">
        <v>114</v>
      </c>
      <c r="H6488" s="1" t="str">
        <f>VLOOKUP(F6488,Countries!$A$1:$B$161,2,0)</f>
        <v>Philippines</v>
      </c>
    </row>
    <row r="6489" spans="1:8" x14ac:dyDescent="0.3">
      <c r="A6489" s="3">
        <v>46237.338240740741</v>
      </c>
      <c r="B6489" s="1">
        <v>17.36</v>
      </c>
      <c r="C6489" s="1">
        <v>15.06</v>
      </c>
      <c r="D6489" s="1">
        <v>0.78</v>
      </c>
      <c r="E6489" s="1" t="s">
        <v>123</v>
      </c>
      <c r="F6489" s="1" t="s">
        <v>123</v>
      </c>
      <c r="G6489" s="1" t="s">
        <v>123</v>
      </c>
      <c r="H6489" s="1" t="str">
        <f>VLOOKUP(F6489,Countries!$A$1:$B$161,2,0)</f>
        <v>France</v>
      </c>
    </row>
    <row r="6490" spans="1:8" x14ac:dyDescent="0.3">
      <c r="A6490" s="3">
        <v>46237.336493055547</v>
      </c>
      <c r="B6490" s="1">
        <v>13.32</v>
      </c>
      <c r="C6490" s="1">
        <v>11.56</v>
      </c>
      <c r="D6490" s="1">
        <v>0.65</v>
      </c>
      <c r="E6490" s="1" t="s">
        <v>178</v>
      </c>
      <c r="F6490" s="1" t="s">
        <v>178</v>
      </c>
      <c r="G6490" s="1" t="s">
        <v>178</v>
      </c>
      <c r="H6490" s="1" t="str">
        <f>VLOOKUP(F6490,Countries!$A$1:$B$161,2,0)</f>
        <v>Sweden</v>
      </c>
    </row>
    <row r="6491" spans="1:8" x14ac:dyDescent="0.3">
      <c r="A6491" s="3">
        <v>46237.331388888888</v>
      </c>
      <c r="B6491" s="1">
        <v>106.38</v>
      </c>
      <c r="C6491" s="1">
        <v>92.29</v>
      </c>
      <c r="D6491" s="1">
        <v>5.0999999999999996</v>
      </c>
      <c r="E6491" s="1" t="s">
        <v>113</v>
      </c>
      <c r="F6491" s="1" t="s">
        <v>113</v>
      </c>
      <c r="G6491" s="1" t="s">
        <v>113</v>
      </c>
      <c r="H6491" s="1" t="str">
        <f>VLOOKUP(F6491,Countries!$A$1:$B$161,2,0)</f>
        <v>United States of America</v>
      </c>
    </row>
    <row r="6492" spans="1:8" x14ac:dyDescent="0.3">
      <c r="A6492" s="3">
        <v>46237.330034722218</v>
      </c>
      <c r="B6492" s="1">
        <v>7.48</v>
      </c>
      <c r="C6492" s="1">
        <v>6.49</v>
      </c>
      <c r="D6492" s="1">
        <v>0.48</v>
      </c>
      <c r="E6492" s="1" t="s">
        <v>123</v>
      </c>
      <c r="F6492" s="1" t="s">
        <v>123</v>
      </c>
      <c r="G6492" s="1" t="s">
        <v>123</v>
      </c>
      <c r="H6492" s="1" t="str">
        <f>VLOOKUP(F6492,Countries!$A$1:$B$161,2,0)</f>
        <v>France</v>
      </c>
    </row>
    <row r="6493" spans="1:8" x14ac:dyDescent="0.3">
      <c r="A6493" s="3">
        <v>46237.326874999999</v>
      </c>
      <c r="B6493" s="1">
        <v>26.59</v>
      </c>
      <c r="C6493" s="1">
        <v>23.07</v>
      </c>
      <c r="D6493" s="1">
        <v>1.46</v>
      </c>
      <c r="E6493" s="1" t="s">
        <v>113</v>
      </c>
      <c r="F6493" s="1" t="s">
        <v>113</v>
      </c>
      <c r="G6493" s="1" t="s">
        <v>113</v>
      </c>
      <c r="H6493" s="1" t="str">
        <f>VLOOKUP(F6493,Countries!$A$1:$B$161,2,0)</f>
        <v>United States of America</v>
      </c>
    </row>
    <row r="6494" spans="1:8" x14ac:dyDescent="0.3">
      <c r="A6494" s="3">
        <v>46237.326504629629</v>
      </c>
      <c r="B6494" s="1">
        <v>14.77</v>
      </c>
      <c r="C6494" s="1">
        <v>12.81</v>
      </c>
      <c r="D6494" s="1">
        <v>0.93</v>
      </c>
      <c r="E6494" s="1" t="s">
        <v>113</v>
      </c>
      <c r="F6494" s="1" t="s">
        <v>113</v>
      </c>
      <c r="G6494" s="1" t="s">
        <v>113</v>
      </c>
      <c r="H6494" s="1" t="str">
        <f>VLOOKUP(F6494,Countries!$A$1:$B$161,2,0)</f>
        <v>United States of America</v>
      </c>
    </row>
    <row r="6495" spans="1:8" x14ac:dyDescent="0.3">
      <c r="A6495" s="3">
        <v>46237.324699074074</v>
      </c>
      <c r="B6495" s="1">
        <v>6.37</v>
      </c>
      <c r="C6495" s="1">
        <v>5.53</v>
      </c>
      <c r="D6495" s="1">
        <v>0.54</v>
      </c>
      <c r="E6495" s="1" t="s">
        <v>113</v>
      </c>
      <c r="F6495" s="1" t="s">
        <v>113</v>
      </c>
      <c r="G6495" s="1" t="s">
        <v>113</v>
      </c>
      <c r="H6495" s="1" t="str">
        <f>VLOOKUP(F6495,Countries!$A$1:$B$161,2,0)</f>
        <v>United States of America</v>
      </c>
    </row>
    <row r="6496" spans="1:8" x14ac:dyDescent="0.3">
      <c r="A6496" s="3">
        <v>46237.320254629631</v>
      </c>
      <c r="B6496" s="1">
        <v>4.24</v>
      </c>
      <c r="C6496" s="1">
        <v>3.68</v>
      </c>
      <c r="D6496" s="1">
        <v>0.44</v>
      </c>
      <c r="E6496" s="1" t="s">
        <v>113</v>
      </c>
      <c r="F6496" s="1" t="s">
        <v>113</v>
      </c>
      <c r="G6496" s="1" t="s">
        <v>113</v>
      </c>
      <c r="H6496" s="1" t="str">
        <f>VLOOKUP(F6496,Countries!$A$1:$B$161,2,0)</f>
        <v>United States of America</v>
      </c>
    </row>
    <row r="6497" spans="1:8" x14ac:dyDescent="0.3">
      <c r="A6497" s="3">
        <v>46237.319826388892</v>
      </c>
      <c r="B6497" s="1">
        <v>26.61</v>
      </c>
      <c r="C6497" s="1">
        <v>23.08</v>
      </c>
      <c r="D6497" s="1">
        <v>1.46</v>
      </c>
      <c r="E6497" s="1" t="s">
        <v>113</v>
      </c>
      <c r="F6497" s="1" t="s">
        <v>113</v>
      </c>
      <c r="G6497" s="1" t="s">
        <v>113</v>
      </c>
      <c r="H6497" s="1" t="str">
        <f>VLOOKUP(F6497,Countries!$A$1:$B$161,2,0)</f>
        <v>United States of America</v>
      </c>
    </row>
    <row r="6498" spans="1:8" x14ac:dyDescent="0.3">
      <c r="A6498" s="3">
        <v>46237.315682870372</v>
      </c>
      <c r="B6498" s="1">
        <v>6.3</v>
      </c>
      <c r="C6498" s="1">
        <v>5.47</v>
      </c>
      <c r="D6498" s="1">
        <v>0.54</v>
      </c>
      <c r="E6498" s="1" t="s">
        <v>152</v>
      </c>
      <c r="F6498" s="1" t="s">
        <v>152</v>
      </c>
      <c r="G6498" s="1" t="s">
        <v>152</v>
      </c>
      <c r="H6498" s="1" t="str">
        <f>VLOOKUP(F6498,Countries!$A$1:$B$161,2,0)</f>
        <v>Singapore</v>
      </c>
    </row>
    <row r="6499" spans="1:8" x14ac:dyDescent="0.3">
      <c r="A6499" s="3">
        <v>46237.312060185177</v>
      </c>
      <c r="B6499" s="1">
        <v>10.62</v>
      </c>
      <c r="C6499" s="1">
        <v>9.2100000000000009</v>
      </c>
      <c r="D6499" s="1">
        <v>0.73</v>
      </c>
      <c r="E6499" s="1" t="s">
        <v>113</v>
      </c>
      <c r="F6499" s="1" t="s">
        <v>113</v>
      </c>
      <c r="G6499" s="1" t="s">
        <v>113</v>
      </c>
      <c r="H6499" s="1" t="str">
        <f>VLOOKUP(F6499,Countries!$A$1:$B$161,2,0)</f>
        <v>United States of America</v>
      </c>
    </row>
    <row r="6500" spans="1:8" x14ac:dyDescent="0.3">
      <c r="A6500" s="3">
        <v>46237.305949074071</v>
      </c>
      <c r="B6500" s="1">
        <v>17.36</v>
      </c>
      <c r="C6500" s="1">
        <v>15.06</v>
      </c>
      <c r="D6500" s="1">
        <v>0.78</v>
      </c>
      <c r="E6500" s="1" t="s">
        <v>123</v>
      </c>
      <c r="F6500" s="1" t="s">
        <v>123</v>
      </c>
      <c r="G6500" s="1" t="s">
        <v>123</v>
      </c>
      <c r="H6500" s="1" t="str">
        <f>VLOOKUP(F6500,Countries!$A$1:$B$161,2,0)</f>
        <v>France</v>
      </c>
    </row>
    <row r="6501" spans="1:8" x14ac:dyDescent="0.3">
      <c r="A6501" s="3">
        <v>46237.303831018522</v>
      </c>
      <c r="B6501" s="1">
        <v>1.99</v>
      </c>
      <c r="C6501" s="1">
        <v>1.73</v>
      </c>
      <c r="D6501" s="1">
        <v>0.34</v>
      </c>
      <c r="E6501" s="1" t="s">
        <v>126</v>
      </c>
      <c r="F6501" s="1" t="s">
        <v>126</v>
      </c>
      <c r="G6501" s="1" t="s">
        <v>126</v>
      </c>
      <c r="H6501" s="1" t="str">
        <f>VLOOKUP(F6501,Countries!$A$1:$B$161,2,0)</f>
        <v>Cambodia</v>
      </c>
    </row>
    <row r="6502" spans="1:8" x14ac:dyDescent="0.3">
      <c r="A6502" s="3">
        <v>46237.299085648148</v>
      </c>
      <c r="B6502" s="1">
        <v>6.37</v>
      </c>
      <c r="C6502" s="1">
        <v>5.53</v>
      </c>
      <c r="D6502" s="1">
        <v>0.54</v>
      </c>
      <c r="E6502" s="1" t="s">
        <v>113</v>
      </c>
      <c r="F6502" s="1" t="s">
        <v>113</v>
      </c>
      <c r="G6502" s="1" t="s">
        <v>113</v>
      </c>
      <c r="H6502" s="1" t="str">
        <f>VLOOKUP(F6502,Countries!$A$1:$B$161,2,0)</f>
        <v>United States of America</v>
      </c>
    </row>
    <row r="6503" spans="1:8" x14ac:dyDescent="0.3">
      <c r="A6503" s="3">
        <v>46237.282638888893</v>
      </c>
      <c r="B6503" s="1">
        <v>2.11</v>
      </c>
      <c r="C6503" s="1">
        <v>1.83</v>
      </c>
      <c r="D6503" s="1">
        <v>0.35</v>
      </c>
      <c r="E6503" s="1" t="s">
        <v>113</v>
      </c>
      <c r="F6503" s="1" t="s">
        <v>113</v>
      </c>
      <c r="G6503" s="1" t="s">
        <v>113</v>
      </c>
      <c r="H6503" s="1" t="str">
        <f>VLOOKUP(F6503,Countries!$A$1:$B$161,2,0)</f>
        <v>United States of America</v>
      </c>
    </row>
    <row r="6504" spans="1:8" x14ac:dyDescent="0.3">
      <c r="A6504" s="3">
        <v>46237.281354166669</v>
      </c>
      <c r="B6504" s="1">
        <v>6.37</v>
      </c>
      <c r="C6504" s="1">
        <v>5.52</v>
      </c>
      <c r="D6504" s="1">
        <v>0.54</v>
      </c>
      <c r="E6504" s="1" t="s">
        <v>113</v>
      </c>
      <c r="F6504" s="1" t="s">
        <v>113</v>
      </c>
      <c r="G6504" s="1" t="s">
        <v>113</v>
      </c>
      <c r="H6504" s="1" t="str">
        <f>VLOOKUP(F6504,Countries!$A$1:$B$161,2,0)</f>
        <v>United States of America</v>
      </c>
    </row>
    <row r="6505" spans="1:8" x14ac:dyDescent="0.3">
      <c r="A6505" s="3">
        <v>46237.279768518521</v>
      </c>
      <c r="B6505" s="1">
        <v>13.89</v>
      </c>
      <c r="C6505" s="1">
        <v>12.04</v>
      </c>
      <c r="D6505" s="1">
        <v>0.88</v>
      </c>
      <c r="E6505" s="1" t="s">
        <v>134</v>
      </c>
      <c r="F6505" s="1" t="s">
        <v>134</v>
      </c>
      <c r="G6505" s="1" t="s">
        <v>134</v>
      </c>
      <c r="H6505" s="1" t="str">
        <f>VLOOKUP(F6505,Countries!$A$1:$B$161,2,0)</f>
        <v>Hong Kong</v>
      </c>
    </row>
    <row r="6506" spans="1:8" x14ac:dyDescent="0.3">
      <c r="A6506" s="3">
        <v>46237.266724537039</v>
      </c>
      <c r="B6506" s="1">
        <v>7.48</v>
      </c>
      <c r="C6506" s="1">
        <v>6.48</v>
      </c>
      <c r="D6506" s="1">
        <v>0.48</v>
      </c>
      <c r="E6506" s="1" t="s">
        <v>123</v>
      </c>
      <c r="F6506" s="1" t="s">
        <v>123</v>
      </c>
      <c r="G6506" s="1" t="s">
        <v>123</v>
      </c>
      <c r="H6506" s="1" t="str">
        <f>VLOOKUP(F6506,Countries!$A$1:$B$161,2,0)</f>
        <v>France</v>
      </c>
    </row>
    <row r="6507" spans="1:8" x14ac:dyDescent="0.3">
      <c r="A6507" s="3">
        <v>46237.260069444441</v>
      </c>
      <c r="B6507" s="1">
        <v>6.37</v>
      </c>
      <c r="C6507" s="1">
        <v>5.52</v>
      </c>
      <c r="D6507" s="1">
        <v>0.54</v>
      </c>
      <c r="E6507" s="1" t="s">
        <v>206</v>
      </c>
      <c r="F6507" s="1" t="s">
        <v>113</v>
      </c>
      <c r="G6507" s="1" t="s">
        <v>113</v>
      </c>
      <c r="H6507" s="1" t="str">
        <f>VLOOKUP(F6507,Countries!$A$1:$B$161,2,0)</f>
        <v>United States of America</v>
      </c>
    </row>
    <row r="6508" spans="1:8" x14ac:dyDescent="0.3">
      <c r="A6508" s="3">
        <v>46237.246354166673</v>
      </c>
      <c r="B6508" s="1">
        <v>17.010000000000002</v>
      </c>
      <c r="C6508" s="1">
        <v>14.75</v>
      </c>
      <c r="D6508" s="1">
        <v>1.03</v>
      </c>
      <c r="E6508" s="1" t="s">
        <v>113</v>
      </c>
      <c r="F6508" s="1" t="s">
        <v>113</v>
      </c>
      <c r="G6508" s="1" t="s">
        <v>113</v>
      </c>
      <c r="H6508" s="1" t="str">
        <f>VLOOKUP(F6508,Countries!$A$1:$B$161,2,0)</f>
        <v>United States of America</v>
      </c>
    </row>
    <row r="6509" spans="1:8" x14ac:dyDescent="0.3">
      <c r="A6509" s="3">
        <v>46237.240300925929</v>
      </c>
      <c r="B6509" s="1">
        <v>17.010000000000002</v>
      </c>
      <c r="C6509" s="1">
        <v>14.75</v>
      </c>
      <c r="D6509" s="1">
        <v>1.03</v>
      </c>
      <c r="E6509" s="1" t="s">
        <v>113</v>
      </c>
      <c r="F6509" s="1" t="s">
        <v>113</v>
      </c>
      <c r="G6509" s="1" t="s">
        <v>113</v>
      </c>
      <c r="H6509" s="1" t="str">
        <f>VLOOKUP(F6509,Countries!$A$1:$B$161,2,0)</f>
        <v>United States of America</v>
      </c>
    </row>
    <row r="6510" spans="1:8" x14ac:dyDescent="0.3">
      <c r="A6510" s="3">
        <v>46237.237372685187</v>
      </c>
      <c r="B6510" s="1">
        <v>2.11</v>
      </c>
      <c r="C6510" s="1">
        <v>1.83</v>
      </c>
      <c r="D6510" s="1">
        <v>0.35</v>
      </c>
      <c r="E6510" s="1" t="s">
        <v>113</v>
      </c>
      <c r="F6510" s="1" t="s">
        <v>113</v>
      </c>
      <c r="G6510" s="1" t="s">
        <v>113</v>
      </c>
      <c r="H6510" s="1" t="str">
        <f>VLOOKUP(F6510,Countries!$A$1:$B$161,2,0)</f>
        <v>United States of America</v>
      </c>
    </row>
    <row r="6511" spans="1:8" x14ac:dyDescent="0.3">
      <c r="A6511" s="3">
        <v>46237.236979166657</v>
      </c>
      <c r="B6511" s="1">
        <v>2.5099999999999998</v>
      </c>
      <c r="C6511" s="1">
        <v>2.1800000000000002</v>
      </c>
      <c r="D6511" s="1">
        <v>0.32</v>
      </c>
      <c r="E6511" s="1" t="s">
        <v>151</v>
      </c>
      <c r="F6511" s="1" t="s">
        <v>151</v>
      </c>
      <c r="G6511" s="1" t="s">
        <v>151</v>
      </c>
      <c r="H6511" s="1" t="str">
        <f>VLOOKUP(F6511,Countries!$A$1:$B$161,2,0)</f>
        <v>Netherlands (Holland)</v>
      </c>
    </row>
    <row r="6512" spans="1:8" x14ac:dyDescent="0.3">
      <c r="A6512" s="3">
        <v>46237.213240740741</v>
      </c>
      <c r="B6512" s="1">
        <v>2.09</v>
      </c>
      <c r="C6512" s="1">
        <v>1.81</v>
      </c>
      <c r="D6512" s="1">
        <v>0.35</v>
      </c>
      <c r="E6512" s="1" t="s">
        <v>132</v>
      </c>
      <c r="F6512" s="1" t="s">
        <v>132</v>
      </c>
      <c r="G6512" s="1" t="s">
        <v>132</v>
      </c>
      <c r="H6512" s="1" t="str">
        <f>VLOOKUP(F6512,Countries!$A$1:$B$161,2,0)</f>
        <v>Canada</v>
      </c>
    </row>
    <row r="6513" spans="1:8" x14ac:dyDescent="0.3">
      <c r="A6513" s="3">
        <v>46237.202881944453</v>
      </c>
      <c r="B6513" s="1">
        <v>6.37</v>
      </c>
      <c r="C6513" s="1">
        <v>5.53</v>
      </c>
      <c r="D6513" s="1">
        <v>0.54</v>
      </c>
      <c r="E6513" s="1" t="s">
        <v>113</v>
      </c>
      <c r="F6513" s="1" t="s">
        <v>113</v>
      </c>
      <c r="G6513" s="1" t="s">
        <v>113</v>
      </c>
      <c r="H6513" s="1" t="str">
        <f>VLOOKUP(F6513,Countries!$A$1:$B$161,2,0)</f>
        <v>United States of America</v>
      </c>
    </row>
    <row r="6514" spans="1:8" x14ac:dyDescent="0.3">
      <c r="A6514" s="3">
        <v>46237.201099537036</v>
      </c>
      <c r="B6514" s="1">
        <v>7.04</v>
      </c>
      <c r="C6514" s="1">
        <v>6.11</v>
      </c>
      <c r="D6514" s="1">
        <v>0.56999999999999995</v>
      </c>
      <c r="E6514" s="1" t="s">
        <v>160</v>
      </c>
      <c r="F6514" s="1" t="s">
        <v>160</v>
      </c>
      <c r="G6514" s="1" t="s">
        <v>160</v>
      </c>
      <c r="H6514" s="1" t="str">
        <f>VLOOKUP(F6514,Countries!$A$1:$B$161,2,0)</f>
        <v>New Zealand</v>
      </c>
    </row>
    <row r="6515" spans="1:8" x14ac:dyDescent="0.3">
      <c r="A6515" s="3">
        <v>46237.199699074074</v>
      </c>
      <c r="B6515" s="1">
        <v>6.37</v>
      </c>
      <c r="C6515" s="1">
        <v>5.53</v>
      </c>
      <c r="D6515" s="1">
        <v>0.54</v>
      </c>
      <c r="E6515" s="1" t="s">
        <v>113</v>
      </c>
      <c r="F6515" s="1" t="s">
        <v>113</v>
      </c>
      <c r="G6515" s="1" t="s">
        <v>113</v>
      </c>
      <c r="H6515" s="1" t="str">
        <f>VLOOKUP(F6515,Countries!$A$1:$B$161,2,0)</f>
        <v>United States of America</v>
      </c>
    </row>
    <row r="6516" spans="1:8" x14ac:dyDescent="0.3">
      <c r="A6516" s="3">
        <v>46237.187974537039</v>
      </c>
      <c r="B6516" s="1">
        <v>10.62</v>
      </c>
      <c r="C6516" s="1">
        <v>9.2100000000000009</v>
      </c>
      <c r="D6516" s="1">
        <v>0.73</v>
      </c>
      <c r="E6516" s="1" t="s">
        <v>113</v>
      </c>
      <c r="F6516" s="1" t="s">
        <v>113</v>
      </c>
      <c r="G6516" s="1" t="s">
        <v>113</v>
      </c>
      <c r="H6516" s="1" t="str">
        <f>VLOOKUP(F6516,Countries!$A$1:$B$161,2,0)</f>
        <v>United States of America</v>
      </c>
    </row>
    <row r="6517" spans="1:8" x14ac:dyDescent="0.3">
      <c r="A6517" s="3">
        <v>46237.185960648138</v>
      </c>
      <c r="B6517" s="1">
        <v>2.11</v>
      </c>
      <c r="C6517" s="1">
        <v>1.83</v>
      </c>
      <c r="D6517" s="1">
        <v>0.35</v>
      </c>
      <c r="E6517" s="1" t="s">
        <v>116</v>
      </c>
      <c r="F6517" s="1" t="s">
        <v>115</v>
      </c>
      <c r="G6517" s="1" t="s">
        <v>115</v>
      </c>
      <c r="H6517" s="1" t="str">
        <f>VLOOKUP(F6517,Countries!$A$1:$B$161,2,0)</f>
        <v>Switzerland</v>
      </c>
    </row>
    <row r="6518" spans="1:8" x14ac:dyDescent="0.3">
      <c r="A6518" s="3">
        <v>46237.185081018521</v>
      </c>
      <c r="B6518" s="1">
        <v>6.37</v>
      </c>
      <c r="C6518" s="1">
        <v>5.53</v>
      </c>
      <c r="D6518" s="1">
        <v>0.54</v>
      </c>
      <c r="E6518" s="1" t="s">
        <v>113</v>
      </c>
      <c r="F6518" s="1" t="s">
        <v>113</v>
      </c>
      <c r="G6518" s="1" t="s">
        <v>113</v>
      </c>
      <c r="H6518" s="1" t="str">
        <f>VLOOKUP(F6518,Countries!$A$1:$B$161,2,0)</f>
        <v>United States of America</v>
      </c>
    </row>
    <row r="6519" spans="1:8" x14ac:dyDescent="0.3">
      <c r="A6519" s="3">
        <v>46237.175092592603</v>
      </c>
      <c r="B6519" s="1">
        <v>10.62</v>
      </c>
      <c r="C6519" s="1">
        <v>9.2100000000000009</v>
      </c>
      <c r="D6519" s="1">
        <v>0.73</v>
      </c>
      <c r="E6519" s="1" t="s">
        <v>113</v>
      </c>
      <c r="F6519" s="1" t="s">
        <v>113</v>
      </c>
      <c r="G6519" s="1" t="s">
        <v>113</v>
      </c>
      <c r="H6519" s="1" t="str">
        <f>VLOOKUP(F6519,Countries!$A$1:$B$161,2,0)</f>
        <v>United States of America</v>
      </c>
    </row>
    <row r="6520" spans="1:8" x14ac:dyDescent="0.3">
      <c r="A6520" s="3">
        <v>46237.175000000003</v>
      </c>
      <c r="B6520" s="1">
        <v>6.37</v>
      </c>
      <c r="C6520" s="1">
        <v>5.53</v>
      </c>
      <c r="D6520" s="1">
        <v>0.54</v>
      </c>
      <c r="E6520" s="1" t="s">
        <v>113</v>
      </c>
      <c r="F6520" s="1" t="s">
        <v>113</v>
      </c>
      <c r="G6520" s="1" t="s">
        <v>113</v>
      </c>
      <c r="H6520" s="1" t="str">
        <f>VLOOKUP(F6520,Countries!$A$1:$B$161,2,0)</f>
        <v>United States of America</v>
      </c>
    </row>
    <row r="6521" spans="1:8" x14ac:dyDescent="0.3">
      <c r="A6521" s="3">
        <v>46237.174837962957</v>
      </c>
      <c r="B6521" s="1">
        <v>10.63</v>
      </c>
      <c r="C6521" s="1">
        <v>9.2200000000000006</v>
      </c>
      <c r="D6521" s="1">
        <v>0.73</v>
      </c>
      <c r="E6521" s="1" t="s">
        <v>113</v>
      </c>
      <c r="F6521" s="1" t="s">
        <v>113</v>
      </c>
      <c r="G6521" s="1" t="s">
        <v>113</v>
      </c>
      <c r="H6521" s="1" t="str">
        <f>VLOOKUP(F6521,Countries!$A$1:$B$161,2,0)</f>
        <v>United States of America</v>
      </c>
    </row>
    <row r="6522" spans="1:8" x14ac:dyDescent="0.3">
      <c r="A6522" s="3">
        <v>46237.173090277778</v>
      </c>
      <c r="B6522" s="1">
        <v>6.65</v>
      </c>
      <c r="C6522" s="1">
        <v>5.77</v>
      </c>
      <c r="D6522" s="1">
        <v>0.56000000000000005</v>
      </c>
      <c r="E6522" s="1" t="s">
        <v>130</v>
      </c>
      <c r="F6522" s="1" t="s">
        <v>130</v>
      </c>
      <c r="G6522" s="1" t="s">
        <v>130</v>
      </c>
      <c r="H6522" s="1" t="str">
        <f>VLOOKUP(F6522,Countries!$A$1:$B$161,2,0)</f>
        <v>Australia</v>
      </c>
    </row>
    <row r="6523" spans="1:8" x14ac:dyDescent="0.3">
      <c r="A6523" s="3">
        <v>46237.169872685183</v>
      </c>
      <c r="B6523" s="1">
        <v>17.02</v>
      </c>
      <c r="C6523" s="1">
        <v>14.76</v>
      </c>
      <c r="D6523" s="1">
        <v>1.03</v>
      </c>
      <c r="E6523" s="1" t="s">
        <v>113</v>
      </c>
      <c r="F6523" s="1" t="s">
        <v>113</v>
      </c>
      <c r="G6523" s="1" t="s">
        <v>113</v>
      </c>
      <c r="H6523" s="1" t="str">
        <f>VLOOKUP(F6523,Countries!$A$1:$B$161,2,0)</f>
        <v>United States of America</v>
      </c>
    </row>
    <row r="6524" spans="1:8" x14ac:dyDescent="0.3">
      <c r="A6524" s="3">
        <v>46237.169664351852</v>
      </c>
      <c r="B6524" s="1">
        <v>6.65</v>
      </c>
      <c r="C6524" s="1">
        <v>5.77</v>
      </c>
      <c r="D6524" s="1">
        <v>0.56000000000000005</v>
      </c>
      <c r="E6524" s="1" t="s">
        <v>171</v>
      </c>
      <c r="F6524" s="1" t="s">
        <v>171</v>
      </c>
      <c r="G6524" s="1" t="s">
        <v>171</v>
      </c>
      <c r="H6524" s="1" t="str">
        <f>VLOOKUP(F6524,Countries!$A$1:$B$161,2,0)</f>
        <v>Korea (South)</v>
      </c>
    </row>
    <row r="6525" spans="1:8" x14ac:dyDescent="0.3">
      <c r="A6525" s="3">
        <v>46237.164351851847</v>
      </c>
      <c r="B6525" s="1">
        <v>16.829999999999998</v>
      </c>
      <c r="C6525" s="1">
        <v>14.6</v>
      </c>
      <c r="D6525" s="1">
        <v>1.01</v>
      </c>
      <c r="E6525" s="1" t="s">
        <v>132</v>
      </c>
      <c r="F6525" s="1" t="s">
        <v>132</v>
      </c>
      <c r="G6525" s="1" t="s">
        <v>132</v>
      </c>
      <c r="H6525" s="1" t="str">
        <f>VLOOKUP(F6525,Countries!$A$1:$B$161,2,0)</f>
        <v>Canada</v>
      </c>
    </row>
    <row r="6526" spans="1:8" x14ac:dyDescent="0.3">
      <c r="A6526" s="3">
        <v>46237.162766203714</v>
      </c>
      <c r="B6526" s="1">
        <v>6.37</v>
      </c>
      <c r="C6526" s="1">
        <v>5.52</v>
      </c>
      <c r="D6526" s="1">
        <v>0.54</v>
      </c>
      <c r="E6526" s="1" t="s">
        <v>113</v>
      </c>
      <c r="F6526" s="1" t="s">
        <v>113</v>
      </c>
      <c r="G6526" s="1" t="s">
        <v>113</v>
      </c>
      <c r="H6526" s="1" t="str">
        <f>VLOOKUP(F6526,Countries!$A$1:$B$161,2,0)</f>
        <v>United States of America</v>
      </c>
    </row>
    <row r="6527" spans="1:8" x14ac:dyDescent="0.3">
      <c r="A6527" s="3">
        <v>46237.159282407411</v>
      </c>
      <c r="B6527" s="1">
        <v>3.73</v>
      </c>
      <c r="C6527" s="1">
        <v>3.23</v>
      </c>
      <c r="D6527" s="1">
        <v>0.36</v>
      </c>
      <c r="E6527" s="1" t="s">
        <v>123</v>
      </c>
      <c r="F6527" s="1" t="s">
        <v>123</v>
      </c>
      <c r="G6527" s="1" t="s">
        <v>123</v>
      </c>
      <c r="H6527" s="1" t="str">
        <f>VLOOKUP(F6527,Countries!$A$1:$B$161,2,0)</f>
        <v>France</v>
      </c>
    </row>
    <row r="6528" spans="1:8" x14ac:dyDescent="0.3">
      <c r="A6528" s="3">
        <v>46237.159050925933</v>
      </c>
      <c r="B6528" s="1">
        <v>6.37</v>
      </c>
      <c r="C6528" s="1">
        <v>5.52</v>
      </c>
      <c r="D6528" s="1">
        <v>0.54</v>
      </c>
      <c r="E6528" s="1" t="s">
        <v>113</v>
      </c>
      <c r="F6528" s="1" t="s">
        <v>113</v>
      </c>
      <c r="G6528" s="1" t="s">
        <v>113</v>
      </c>
      <c r="H6528" s="1" t="str">
        <f>VLOOKUP(F6528,Countries!$A$1:$B$161,2,0)</f>
        <v>United States of America</v>
      </c>
    </row>
    <row r="6529" spans="1:8" x14ac:dyDescent="0.3">
      <c r="A6529" s="3">
        <v>46237.156782407408</v>
      </c>
      <c r="B6529" s="1">
        <v>18.079999999999998</v>
      </c>
      <c r="C6529" s="1">
        <v>15.68</v>
      </c>
      <c r="D6529" s="1">
        <v>1.07</v>
      </c>
      <c r="E6529" s="1" t="s">
        <v>113</v>
      </c>
      <c r="F6529" s="1" t="s">
        <v>113</v>
      </c>
      <c r="G6529" s="1" t="s">
        <v>113</v>
      </c>
      <c r="H6529" s="1" t="str">
        <f>VLOOKUP(F6529,Countries!$A$1:$B$161,2,0)</f>
        <v>United States of America</v>
      </c>
    </row>
    <row r="6530" spans="1:8" x14ac:dyDescent="0.3">
      <c r="A6530" s="3">
        <v>46237.156469907408</v>
      </c>
      <c r="B6530" s="1">
        <v>7.99</v>
      </c>
      <c r="C6530" s="1">
        <v>6.93</v>
      </c>
      <c r="D6530" s="1">
        <v>0.62</v>
      </c>
      <c r="E6530" s="1" t="s">
        <v>121</v>
      </c>
      <c r="F6530" s="1" t="s">
        <v>121</v>
      </c>
      <c r="G6530" s="1" t="s">
        <v>121</v>
      </c>
      <c r="H6530" s="1" t="str">
        <f>VLOOKUP(F6530,Countries!$A$1:$B$161,2,0)</f>
        <v>Japan</v>
      </c>
    </row>
    <row r="6531" spans="1:8" x14ac:dyDescent="0.3">
      <c r="A6531" s="3">
        <v>46237.147060185183</v>
      </c>
      <c r="B6531" s="1">
        <v>6.8</v>
      </c>
      <c r="C6531" s="1">
        <v>5.9</v>
      </c>
      <c r="D6531" s="1">
        <v>0.56000000000000005</v>
      </c>
      <c r="E6531" s="1" t="s">
        <v>114</v>
      </c>
      <c r="F6531" s="1" t="s">
        <v>114</v>
      </c>
      <c r="G6531" s="1" t="s">
        <v>114</v>
      </c>
      <c r="H6531" s="1" t="str">
        <f>VLOOKUP(F6531,Countries!$A$1:$B$161,2,0)</f>
        <v>Philippines</v>
      </c>
    </row>
    <row r="6532" spans="1:8" x14ac:dyDescent="0.3">
      <c r="A6532" s="3">
        <v>46237.145949074067</v>
      </c>
      <c r="B6532" s="1">
        <v>9.4</v>
      </c>
      <c r="C6532" s="1">
        <v>8.15</v>
      </c>
      <c r="D6532" s="1">
        <v>0.67</v>
      </c>
      <c r="E6532" s="1" t="s">
        <v>163</v>
      </c>
      <c r="F6532" s="1" t="s">
        <v>163</v>
      </c>
      <c r="G6532" s="1" t="s">
        <v>163</v>
      </c>
      <c r="H6532" s="1" t="str">
        <f>VLOOKUP(F6532,Countries!$A$1:$B$161,2,0)</f>
        <v>Saudi Arabia</v>
      </c>
    </row>
    <row r="6533" spans="1:8" x14ac:dyDescent="0.3">
      <c r="A6533" s="3">
        <v>46237.144143518519</v>
      </c>
      <c r="B6533" s="1">
        <v>7.58</v>
      </c>
      <c r="C6533" s="1">
        <v>6.57</v>
      </c>
      <c r="D6533" s="1">
        <v>0.48</v>
      </c>
      <c r="E6533" s="1" t="s">
        <v>120</v>
      </c>
      <c r="F6533" s="1" t="s">
        <v>120</v>
      </c>
      <c r="G6533" s="1" t="s">
        <v>120</v>
      </c>
      <c r="H6533" s="1" t="str">
        <f>VLOOKUP(F6533,Countries!$A$1:$B$161,2,0)</f>
        <v>Czech Republic</v>
      </c>
    </row>
    <row r="6534" spans="1:8" x14ac:dyDescent="0.3">
      <c r="A6534" s="3">
        <v>46237.127627314818</v>
      </c>
      <c r="B6534" s="1">
        <v>6.37</v>
      </c>
      <c r="C6534" s="1">
        <v>5.52</v>
      </c>
      <c r="D6534" s="1">
        <v>0.54</v>
      </c>
      <c r="E6534" s="1" t="s">
        <v>113</v>
      </c>
      <c r="F6534" s="1" t="s">
        <v>113</v>
      </c>
      <c r="G6534" s="1" t="s">
        <v>113</v>
      </c>
      <c r="H6534" s="1" t="str">
        <f>VLOOKUP(F6534,Countries!$A$1:$B$161,2,0)</f>
        <v>United States of America</v>
      </c>
    </row>
    <row r="6535" spans="1:8" x14ac:dyDescent="0.3">
      <c r="A6535" s="3">
        <v>46237.119050925918</v>
      </c>
      <c r="B6535" s="1">
        <v>15.43</v>
      </c>
      <c r="C6535" s="1">
        <v>13.38</v>
      </c>
      <c r="D6535" s="1">
        <v>0.95</v>
      </c>
      <c r="E6535" s="1" t="s">
        <v>130</v>
      </c>
      <c r="F6535" s="1" t="s">
        <v>130</v>
      </c>
      <c r="G6535" s="1" t="s">
        <v>130</v>
      </c>
      <c r="H6535" s="1" t="str">
        <f>VLOOKUP(F6535,Countries!$A$1:$B$161,2,0)</f>
        <v>Australia</v>
      </c>
    </row>
    <row r="6536" spans="1:8" x14ac:dyDescent="0.3">
      <c r="A6536" s="3">
        <v>46237.114999999998</v>
      </c>
      <c r="B6536" s="1">
        <v>7.04</v>
      </c>
      <c r="C6536" s="1">
        <v>6.11</v>
      </c>
      <c r="D6536" s="1">
        <v>0.56999999999999995</v>
      </c>
      <c r="E6536" s="1" t="s">
        <v>128</v>
      </c>
      <c r="F6536" s="1" t="s">
        <v>128</v>
      </c>
      <c r="G6536" s="1" t="s">
        <v>128</v>
      </c>
      <c r="H6536" s="1" t="str">
        <f>VLOOKUP(F6536,Countries!$A$1:$B$161,2,0)</f>
        <v>South Africa</v>
      </c>
    </row>
    <row r="6537" spans="1:8" x14ac:dyDescent="0.3">
      <c r="A6537" s="3">
        <v>46237.113194444442</v>
      </c>
      <c r="B6537" s="1">
        <v>6.37</v>
      </c>
      <c r="C6537" s="1">
        <v>5.52</v>
      </c>
      <c r="D6537" s="1">
        <v>0.54</v>
      </c>
      <c r="E6537" s="1" t="s">
        <v>113</v>
      </c>
      <c r="F6537" s="1" t="s">
        <v>113</v>
      </c>
      <c r="G6537" s="1" t="s">
        <v>113</v>
      </c>
      <c r="H6537" s="1" t="str">
        <f>VLOOKUP(F6537,Countries!$A$1:$B$161,2,0)</f>
        <v>United States of America</v>
      </c>
    </row>
    <row r="6538" spans="1:8" x14ac:dyDescent="0.3">
      <c r="A6538" s="3">
        <v>46237.090474537043</v>
      </c>
      <c r="B6538" s="1">
        <v>6.37</v>
      </c>
      <c r="C6538" s="1">
        <v>5.52</v>
      </c>
      <c r="D6538" s="1">
        <v>0.54</v>
      </c>
      <c r="E6538" s="1" t="s">
        <v>113</v>
      </c>
      <c r="F6538" s="1" t="s">
        <v>113</v>
      </c>
      <c r="G6538" s="1" t="s">
        <v>113</v>
      </c>
      <c r="H6538" s="1" t="str">
        <f>VLOOKUP(F6538,Countries!$A$1:$B$161,2,0)</f>
        <v>United States of America</v>
      </c>
    </row>
    <row r="6539" spans="1:8" x14ac:dyDescent="0.3">
      <c r="A6539" s="3">
        <v>46237.082314814812</v>
      </c>
      <c r="B6539" s="1">
        <v>6.37</v>
      </c>
      <c r="C6539" s="1">
        <v>5.52</v>
      </c>
      <c r="D6539" s="1">
        <v>0.54</v>
      </c>
      <c r="E6539" s="1" t="s">
        <v>113</v>
      </c>
      <c r="F6539" s="1" t="s">
        <v>113</v>
      </c>
      <c r="G6539" s="1" t="s">
        <v>113</v>
      </c>
      <c r="H6539" s="1" t="str">
        <f>VLOOKUP(F6539,Countries!$A$1:$B$161,2,0)</f>
        <v>United States of America</v>
      </c>
    </row>
    <row r="6540" spans="1:8" x14ac:dyDescent="0.3">
      <c r="A6540" s="3">
        <v>46237.078402777777</v>
      </c>
      <c r="B6540" s="1">
        <v>2.99</v>
      </c>
      <c r="C6540" s="1">
        <v>2.59</v>
      </c>
      <c r="D6540" s="1">
        <v>0.38</v>
      </c>
      <c r="E6540" s="1" t="s">
        <v>129</v>
      </c>
      <c r="F6540" s="1" t="s">
        <v>129</v>
      </c>
      <c r="G6540" s="1" t="s">
        <v>129</v>
      </c>
      <c r="H6540" s="1" t="str">
        <f>VLOOKUP(F6540,Countries!$A$1:$B$161,2,0)</f>
        <v>Qatar</v>
      </c>
    </row>
    <row r="6541" spans="1:8" x14ac:dyDescent="0.3">
      <c r="A6541" s="3">
        <v>46237.06585648148</v>
      </c>
      <c r="B6541" s="1">
        <v>6.37</v>
      </c>
      <c r="C6541" s="1">
        <v>5.52</v>
      </c>
      <c r="D6541" s="1">
        <v>0.54</v>
      </c>
      <c r="E6541" s="1" t="s">
        <v>113</v>
      </c>
      <c r="F6541" s="1" t="s">
        <v>113</v>
      </c>
      <c r="G6541" s="1" t="s">
        <v>113</v>
      </c>
      <c r="H6541" s="1" t="str">
        <f>VLOOKUP(F6541,Countries!$A$1:$B$161,2,0)</f>
        <v>United States of America</v>
      </c>
    </row>
    <row r="6542" spans="1:8" x14ac:dyDescent="0.3">
      <c r="A6542" s="3">
        <v>46237.065462962957</v>
      </c>
      <c r="B6542" s="1">
        <v>6.37</v>
      </c>
      <c r="C6542" s="1">
        <v>5.52</v>
      </c>
      <c r="D6542" s="1">
        <v>0.54</v>
      </c>
      <c r="E6542" s="1" t="s">
        <v>113</v>
      </c>
      <c r="F6542" s="1" t="s">
        <v>113</v>
      </c>
      <c r="G6542" s="1" t="s">
        <v>113</v>
      </c>
      <c r="H6542" s="1" t="str">
        <f>VLOOKUP(F6542,Countries!$A$1:$B$161,2,0)</f>
        <v>United States of America</v>
      </c>
    </row>
    <row r="6543" spans="1:8" x14ac:dyDescent="0.3">
      <c r="A6543" s="3">
        <v>46237.062256944453</v>
      </c>
      <c r="B6543" s="1">
        <v>3.93</v>
      </c>
      <c r="C6543" s="1">
        <v>3.4</v>
      </c>
      <c r="D6543" s="1">
        <v>0.37</v>
      </c>
      <c r="E6543" s="1" t="s">
        <v>137</v>
      </c>
      <c r="F6543" s="1" t="s">
        <v>138</v>
      </c>
      <c r="G6543" s="1" t="s">
        <v>138</v>
      </c>
      <c r="H6543" s="1" t="str">
        <f>VLOOKUP(F6543,Countries!$A$1:$B$161,2,0)</f>
        <v>Iceland</v>
      </c>
    </row>
    <row r="6544" spans="1:8" x14ac:dyDescent="0.3">
      <c r="A6544" s="3">
        <v>46237.052268518521</v>
      </c>
      <c r="B6544" s="1">
        <v>20.76</v>
      </c>
      <c r="C6544" s="1">
        <v>17.98</v>
      </c>
      <c r="D6544" s="1">
        <v>0.88</v>
      </c>
      <c r="E6544" s="1" t="s">
        <v>137</v>
      </c>
      <c r="F6544" s="1" t="s">
        <v>137</v>
      </c>
      <c r="G6544" s="1" t="s">
        <v>137</v>
      </c>
      <c r="H6544" s="1" t="str">
        <f>VLOOKUP(F6544,Countries!$A$1:$B$161,2,0)</f>
        <v>Poland</v>
      </c>
    </row>
    <row r="6545" spans="1:8" x14ac:dyDescent="0.3">
      <c r="A6545" s="3">
        <v>46237.049618055556</v>
      </c>
      <c r="B6545" s="1">
        <v>6.37</v>
      </c>
      <c r="C6545" s="1">
        <v>5.52</v>
      </c>
      <c r="D6545" s="1">
        <v>0.54</v>
      </c>
      <c r="E6545" s="1" t="s">
        <v>113</v>
      </c>
      <c r="F6545" s="1" t="s">
        <v>113</v>
      </c>
      <c r="G6545" s="1" t="s">
        <v>113</v>
      </c>
      <c r="H6545" s="1" t="str">
        <f>VLOOKUP(F6545,Countries!$A$1:$B$161,2,0)</f>
        <v>United States of America</v>
      </c>
    </row>
    <row r="6546" spans="1:8" x14ac:dyDescent="0.3">
      <c r="A6546" s="3">
        <v>46237.046597222223</v>
      </c>
      <c r="B6546" s="1">
        <v>3.32</v>
      </c>
      <c r="C6546" s="1">
        <v>2.88</v>
      </c>
      <c r="D6546" s="1">
        <v>0.4</v>
      </c>
      <c r="E6546" s="1" t="s">
        <v>121</v>
      </c>
      <c r="F6546" s="1" t="s">
        <v>121</v>
      </c>
      <c r="G6546" s="1" t="s">
        <v>121</v>
      </c>
      <c r="H6546" s="1" t="str">
        <f>VLOOKUP(F6546,Countries!$A$1:$B$161,2,0)</f>
        <v>Japan</v>
      </c>
    </row>
    <row r="6547" spans="1:8" x14ac:dyDescent="0.3">
      <c r="A6547" s="3">
        <v>46237.039548611108</v>
      </c>
      <c r="B6547" s="1">
        <v>20.239999999999998</v>
      </c>
      <c r="C6547" s="1">
        <v>17.53</v>
      </c>
      <c r="D6547" s="1">
        <v>0.86</v>
      </c>
      <c r="E6547" s="1" t="s">
        <v>116</v>
      </c>
      <c r="F6547" s="1" t="s">
        <v>116</v>
      </c>
      <c r="G6547" s="1" t="s">
        <v>116</v>
      </c>
      <c r="H6547" s="1" t="str">
        <f>VLOOKUP(F6547,Countries!$A$1:$B$161,2,0)</f>
        <v>Spain</v>
      </c>
    </row>
    <row r="6548" spans="1:8" x14ac:dyDescent="0.3">
      <c r="A6548" s="3">
        <v>46237.035717592589</v>
      </c>
      <c r="B6548" s="1">
        <v>6.37</v>
      </c>
      <c r="C6548" s="1">
        <v>5.52</v>
      </c>
      <c r="D6548" s="1">
        <v>0.54</v>
      </c>
      <c r="E6548" s="1" t="s">
        <v>113</v>
      </c>
      <c r="F6548" s="1" t="s">
        <v>113</v>
      </c>
      <c r="G6548" s="1" t="s">
        <v>113</v>
      </c>
      <c r="H6548" s="1" t="str">
        <f>VLOOKUP(F6548,Countries!$A$1:$B$161,2,0)</f>
        <v>United States of America</v>
      </c>
    </row>
    <row r="6549" spans="1:8" x14ac:dyDescent="0.3">
      <c r="A6549" s="3">
        <v>46237.034432870372</v>
      </c>
      <c r="B6549" s="1">
        <v>3.64</v>
      </c>
      <c r="C6549" s="1">
        <v>3.15</v>
      </c>
      <c r="D6549" s="1">
        <v>0.41</v>
      </c>
      <c r="E6549" s="1" t="s">
        <v>208</v>
      </c>
      <c r="F6549" s="1" t="s">
        <v>208</v>
      </c>
      <c r="G6549" s="1" t="s">
        <v>208</v>
      </c>
      <c r="H6549" s="1" t="str">
        <f>VLOOKUP(F6549,Countries!$A$1:$B$161,2,0)</f>
        <v>Georgia</v>
      </c>
    </row>
    <row r="6550" spans="1:8" x14ac:dyDescent="0.3">
      <c r="A6550" s="3">
        <v>46237.029537037037</v>
      </c>
      <c r="B6550" s="1">
        <v>3.39</v>
      </c>
      <c r="C6550" s="1">
        <v>2.94</v>
      </c>
      <c r="D6550" s="1">
        <v>0.41</v>
      </c>
      <c r="E6550" s="1" t="s">
        <v>114</v>
      </c>
      <c r="F6550" s="1" t="s">
        <v>114</v>
      </c>
      <c r="G6550" s="1" t="s">
        <v>114</v>
      </c>
      <c r="H6550" s="1" t="str">
        <f>VLOOKUP(F6550,Countries!$A$1:$B$161,2,0)</f>
        <v>Philippines</v>
      </c>
    </row>
    <row r="6551" spans="1:8" x14ac:dyDescent="0.3">
      <c r="A6551" s="3">
        <v>46237.013518518521</v>
      </c>
      <c r="B6551" s="1">
        <v>6.37</v>
      </c>
      <c r="C6551" s="1">
        <v>5.52</v>
      </c>
      <c r="D6551" s="1">
        <v>0.54</v>
      </c>
      <c r="E6551" s="1" t="s">
        <v>113</v>
      </c>
      <c r="F6551" s="1" t="s">
        <v>113</v>
      </c>
      <c r="G6551" s="1" t="s">
        <v>113</v>
      </c>
      <c r="H6551" s="1" t="str">
        <f>VLOOKUP(F6551,Countries!$A$1:$B$161,2,0)</f>
        <v>United States of America</v>
      </c>
    </row>
    <row r="6552" spans="1:8" x14ac:dyDescent="0.3">
      <c r="A6552" s="3">
        <v>46237.006527777783</v>
      </c>
      <c r="B6552" s="1">
        <v>1.99</v>
      </c>
      <c r="C6552" s="1">
        <v>1.72</v>
      </c>
      <c r="D6552" s="1">
        <v>0.34</v>
      </c>
      <c r="E6552" s="1" t="s">
        <v>126</v>
      </c>
      <c r="F6552" s="1" t="s">
        <v>126</v>
      </c>
      <c r="G6552" s="1" t="s">
        <v>126</v>
      </c>
      <c r="H6552" s="1" t="str">
        <f>VLOOKUP(F6552,Countries!$A$1:$B$161,2,0)</f>
        <v>Cambodia</v>
      </c>
    </row>
    <row r="6553" spans="1:8" x14ac:dyDescent="0.3">
      <c r="A6553" s="3">
        <v>46236.99832175926</v>
      </c>
      <c r="B6553" s="1">
        <v>6.37</v>
      </c>
      <c r="C6553" s="1">
        <v>5.52</v>
      </c>
      <c r="D6553" s="1">
        <v>0.54</v>
      </c>
      <c r="E6553" s="1" t="s">
        <v>113</v>
      </c>
      <c r="F6553" s="1" t="s">
        <v>113</v>
      </c>
      <c r="G6553" s="1" t="s">
        <v>113</v>
      </c>
      <c r="H6553" s="1" t="str">
        <f>VLOOKUP(F6553,Countries!$A$1:$B$161,2,0)</f>
        <v>United States of America</v>
      </c>
    </row>
    <row r="6554" spans="1:8" x14ac:dyDescent="0.3">
      <c r="A6554" s="3">
        <v>46236.991400462961</v>
      </c>
      <c r="B6554" s="1">
        <v>6.37</v>
      </c>
      <c r="C6554" s="1">
        <v>5.52</v>
      </c>
      <c r="D6554" s="1">
        <v>0.54</v>
      </c>
      <c r="E6554" s="1" t="s">
        <v>113</v>
      </c>
      <c r="F6554" s="1" t="s">
        <v>113</v>
      </c>
      <c r="G6554" s="1" t="s">
        <v>113</v>
      </c>
      <c r="H6554" s="1" t="str">
        <f>VLOOKUP(F6554,Countries!$A$1:$B$161,2,0)</f>
        <v>United States of America</v>
      </c>
    </row>
    <row r="6555" spans="1:8" x14ac:dyDescent="0.3">
      <c r="A6555" s="3">
        <v>46236.98841435185</v>
      </c>
      <c r="B6555" s="1">
        <v>14.77</v>
      </c>
      <c r="C6555" s="1">
        <v>12.79</v>
      </c>
      <c r="D6555" s="1">
        <v>0.93</v>
      </c>
      <c r="E6555" s="1" t="s">
        <v>113</v>
      </c>
      <c r="F6555" s="1" t="s">
        <v>113</v>
      </c>
      <c r="G6555" s="1" t="s">
        <v>113</v>
      </c>
      <c r="H6555" s="1" t="str">
        <f>VLOOKUP(F6555,Countries!$A$1:$B$161,2,0)</f>
        <v>United States of America</v>
      </c>
    </row>
    <row r="6556" spans="1:8" x14ac:dyDescent="0.3">
      <c r="A6556" s="3">
        <v>46236.982465277782</v>
      </c>
      <c r="B6556" s="1">
        <v>1.99</v>
      </c>
      <c r="C6556" s="1">
        <v>1.72</v>
      </c>
      <c r="D6556" s="1">
        <v>0.34</v>
      </c>
      <c r="E6556" s="1" t="s">
        <v>150</v>
      </c>
      <c r="F6556" s="1" t="s">
        <v>150</v>
      </c>
      <c r="G6556" s="1" t="s">
        <v>150</v>
      </c>
      <c r="H6556" s="1" t="str">
        <f>VLOOKUP(F6556,Countries!$A$1:$B$161,2,0)</f>
        <v>El Salvador</v>
      </c>
    </row>
    <row r="6557" spans="1:8" x14ac:dyDescent="0.3">
      <c r="A6557" s="3">
        <v>46236.970879629633</v>
      </c>
      <c r="B6557" s="1">
        <v>1.99</v>
      </c>
      <c r="C6557" s="1">
        <v>1.72</v>
      </c>
      <c r="D6557" s="1">
        <v>0.34</v>
      </c>
      <c r="E6557" s="1" t="s">
        <v>156</v>
      </c>
      <c r="F6557" s="1" t="s">
        <v>156</v>
      </c>
      <c r="G6557" s="1" t="s">
        <v>156</v>
      </c>
      <c r="H6557" s="1" t="str">
        <f>VLOOKUP(F6557,Countries!$A$1:$B$161,2,0)</f>
        <v>Cote d'Ivoire</v>
      </c>
    </row>
    <row r="6558" spans="1:8" x14ac:dyDescent="0.3">
      <c r="A6558" s="3">
        <v>46236.962708333333</v>
      </c>
      <c r="B6558" s="1">
        <v>6.3</v>
      </c>
      <c r="C6558" s="1">
        <v>5.46</v>
      </c>
      <c r="D6558" s="1">
        <v>0.54</v>
      </c>
      <c r="E6558" s="1" t="s">
        <v>132</v>
      </c>
      <c r="F6558" s="1" t="s">
        <v>132</v>
      </c>
      <c r="G6558" s="1" t="s">
        <v>132</v>
      </c>
      <c r="H6558" s="1" t="str">
        <f>VLOOKUP(F6558,Countries!$A$1:$B$161,2,0)</f>
        <v>Canada</v>
      </c>
    </row>
    <row r="6559" spans="1:8" x14ac:dyDescent="0.3">
      <c r="A6559" s="3">
        <v>46236.950219907398</v>
      </c>
      <c r="B6559" s="1">
        <v>4.09</v>
      </c>
      <c r="C6559" s="1">
        <v>3.54</v>
      </c>
      <c r="D6559" s="1">
        <v>0.37</v>
      </c>
      <c r="E6559" s="1" t="s">
        <v>177</v>
      </c>
      <c r="F6559" s="1" t="s">
        <v>177</v>
      </c>
      <c r="G6559" s="1" t="s">
        <v>177</v>
      </c>
      <c r="H6559" s="1" t="str">
        <f>VLOOKUP(F6559,Countries!$A$1:$B$161,2,0)</f>
        <v>Hungary</v>
      </c>
    </row>
    <row r="6560" spans="1:8" x14ac:dyDescent="0.3">
      <c r="A6560" s="3">
        <v>46236.938703703701</v>
      </c>
      <c r="B6560" s="1">
        <v>6.37</v>
      </c>
      <c r="C6560" s="1">
        <v>5.52</v>
      </c>
      <c r="D6560" s="1">
        <v>0.54</v>
      </c>
      <c r="E6560" s="1" t="s">
        <v>113</v>
      </c>
      <c r="F6560" s="1" t="s">
        <v>113</v>
      </c>
      <c r="G6560" s="1" t="s">
        <v>113</v>
      </c>
      <c r="H6560" s="1" t="str">
        <f>VLOOKUP(F6560,Countries!$A$1:$B$161,2,0)</f>
        <v>United States of America</v>
      </c>
    </row>
    <row r="6561" spans="1:8" x14ac:dyDescent="0.3">
      <c r="A6561" s="3">
        <v>46236.935983796298</v>
      </c>
      <c r="B6561" s="1">
        <v>5.99</v>
      </c>
      <c r="C6561" s="1">
        <v>5.19</v>
      </c>
      <c r="D6561" s="1">
        <v>0.52</v>
      </c>
      <c r="E6561" s="1" t="s">
        <v>113</v>
      </c>
      <c r="F6561" s="1" t="s">
        <v>113</v>
      </c>
      <c r="G6561" s="1" t="s">
        <v>113</v>
      </c>
      <c r="H6561" s="1" t="str">
        <f>VLOOKUP(F6561,Countries!$A$1:$B$161,2,0)</f>
        <v>United States of America</v>
      </c>
    </row>
    <row r="6562" spans="1:8" x14ac:dyDescent="0.3">
      <c r="A6562" s="3">
        <v>46236.934849537043</v>
      </c>
      <c r="B6562" s="1">
        <v>3.25</v>
      </c>
      <c r="C6562" s="1">
        <v>2.81</v>
      </c>
      <c r="D6562" s="1">
        <v>0.4</v>
      </c>
      <c r="E6562" s="1" t="s">
        <v>115</v>
      </c>
      <c r="F6562" s="1" t="s">
        <v>115</v>
      </c>
      <c r="G6562" s="1" t="s">
        <v>115</v>
      </c>
      <c r="H6562" s="1" t="str">
        <f>VLOOKUP(F6562,Countries!$A$1:$B$161,2,0)</f>
        <v>Switzerland</v>
      </c>
    </row>
    <row r="6563" spans="1:8" x14ac:dyDescent="0.3">
      <c r="A6563" s="3">
        <v>46236.933634259258</v>
      </c>
      <c r="B6563" s="1">
        <v>16.34</v>
      </c>
      <c r="C6563" s="1">
        <v>14.15</v>
      </c>
      <c r="D6563" s="1">
        <v>0.99</v>
      </c>
      <c r="E6563" s="1" t="s">
        <v>160</v>
      </c>
      <c r="F6563" s="1" t="s">
        <v>160</v>
      </c>
      <c r="G6563" s="1" t="s">
        <v>160</v>
      </c>
      <c r="H6563" s="1" t="str">
        <f>VLOOKUP(F6563,Countries!$A$1:$B$161,2,0)</f>
        <v>New Zealand</v>
      </c>
    </row>
    <row r="6564" spans="1:8" x14ac:dyDescent="0.3">
      <c r="A6564" s="3">
        <v>46236.927222222221</v>
      </c>
      <c r="B6564" s="1">
        <v>34.75</v>
      </c>
      <c r="C6564" s="1">
        <v>30.09</v>
      </c>
      <c r="D6564" s="1">
        <v>1.83</v>
      </c>
      <c r="E6564" s="1" t="s">
        <v>126</v>
      </c>
      <c r="F6564" s="1" t="s">
        <v>126</v>
      </c>
      <c r="G6564" s="1" t="s">
        <v>126</v>
      </c>
      <c r="H6564" s="1" t="str">
        <f>VLOOKUP(F6564,Countries!$A$1:$B$161,2,0)</f>
        <v>Cambodia</v>
      </c>
    </row>
    <row r="6565" spans="1:8" x14ac:dyDescent="0.3">
      <c r="A6565" s="3">
        <v>46236.919062499997</v>
      </c>
      <c r="B6565" s="1">
        <v>27.8</v>
      </c>
      <c r="C6565" s="1">
        <v>24.07</v>
      </c>
      <c r="D6565" s="1">
        <v>1.51</v>
      </c>
      <c r="E6565" s="1" t="s">
        <v>126</v>
      </c>
      <c r="F6565" s="1" t="s">
        <v>126</v>
      </c>
      <c r="G6565" s="1" t="s">
        <v>126</v>
      </c>
      <c r="H6565" s="1" t="str">
        <f>VLOOKUP(F6565,Countries!$A$1:$B$161,2,0)</f>
        <v>Cambodia</v>
      </c>
    </row>
    <row r="6566" spans="1:8" x14ac:dyDescent="0.3">
      <c r="A6566" s="3">
        <v>46236.912303240737</v>
      </c>
      <c r="B6566" s="1">
        <v>6.37</v>
      </c>
      <c r="C6566" s="1">
        <v>5.52</v>
      </c>
      <c r="D6566" s="1">
        <v>0.54</v>
      </c>
      <c r="E6566" s="1" t="s">
        <v>113</v>
      </c>
      <c r="F6566" s="1" t="s">
        <v>113</v>
      </c>
      <c r="G6566" s="1" t="s">
        <v>113</v>
      </c>
      <c r="H6566" s="1" t="str">
        <f>VLOOKUP(F6566,Countries!$A$1:$B$161,2,0)</f>
        <v>United States of America</v>
      </c>
    </row>
    <row r="6567" spans="1:8" x14ac:dyDescent="0.3">
      <c r="A6567" s="3">
        <v>46236.900983796288</v>
      </c>
      <c r="B6567" s="1">
        <v>1.99</v>
      </c>
      <c r="C6567" s="1">
        <v>1.72</v>
      </c>
      <c r="D6567" s="1">
        <v>0.31</v>
      </c>
      <c r="E6567" s="1" t="s">
        <v>116</v>
      </c>
      <c r="F6567" s="1" t="s">
        <v>116</v>
      </c>
      <c r="G6567" s="1" t="s">
        <v>116</v>
      </c>
      <c r="H6567" s="1" t="str">
        <f>VLOOKUP(F6567,Countries!$A$1:$B$161,2,0)</f>
        <v>Spain</v>
      </c>
    </row>
    <row r="6568" spans="1:8" x14ac:dyDescent="0.3">
      <c r="A6568" s="3">
        <v>46236.898877314823</v>
      </c>
      <c r="B6568" s="1">
        <v>9.99</v>
      </c>
      <c r="C6568" s="1">
        <v>8.65</v>
      </c>
      <c r="D6568" s="1">
        <v>0.7</v>
      </c>
      <c r="E6568" s="1" t="s">
        <v>126</v>
      </c>
      <c r="F6568" s="1" t="s">
        <v>126</v>
      </c>
      <c r="G6568" s="1" t="s">
        <v>126</v>
      </c>
      <c r="H6568" s="1" t="str">
        <f>VLOOKUP(F6568,Countries!$A$1:$B$161,2,0)</f>
        <v>Cambodia</v>
      </c>
    </row>
    <row r="6569" spans="1:8" x14ac:dyDescent="0.3">
      <c r="A6569" s="3">
        <v>46236.889525462961</v>
      </c>
      <c r="B6569" s="1">
        <v>7.48</v>
      </c>
      <c r="C6569" s="1">
        <v>6.48</v>
      </c>
      <c r="D6569" s="1">
        <v>0.59</v>
      </c>
      <c r="E6569" s="1" t="s">
        <v>113</v>
      </c>
      <c r="F6569" s="1" t="s">
        <v>113</v>
      </c>
      <c r="G6569" s="1" t="s">
        <v>113</v>
      </c>
      <c r="H6569" s="1" t="str">
        <f>VLOOKUP(F6569,Countries!$A$1:$B$161,2,0)</f>
        <v>United States of America</v>
      </c>
    </row>
    <row r="6570" spans="1:8" x14ac:dyDescent="0.3">
      <c r="A6570" s="3">
        <v>46236.884351851862</v>
      </c>
      <c r="B6570" s="1">
        <v>1.99</v>
      </c>
      <c r="C6570" s="1">
        <v>1.72</v>
      </c>
      <c r="D6570" s="1">
        <v>0.34</v>
      </c>
      <c r="E6570" s="1" t="s">
        <v>126</v>
      </c>
      <c r="F6570" s="1" t="s">
        <v>126</v>
      </c>
      <c r="G6570" s="1" t="s">
        <v>126</v>
      </c>
      <c r="H6570" s="1" t="str">
        <f>VLOOKUP(F6570,Countries!$A$1:$B$161,2,0)</f>
        <v>Cambodia</v>
      </c>
    </row>
    <row r="6571" spans="1:8" x14ac:dyDescent="0.3">
      <c r="A6571" s="3">
        <v>46236.881944444453</v>
      </c>
      <c r="B6571" s="1">
        <v>17.010000000000002</v>
      </c>
      <c r="C6571" s="1">
        <v>14.73</v>
      </c>
      <c r="D6571" s="1">
        <v>1.02</v>
      </c>
      <c r="E6571" s="1" t="s">
        <v>113</v>
      </c>
      <c r="F6571" s="1" t="s">
        <v>113</v>
      </c>
      <c r="G6571" s="1" t="s">
        <v>113</v>
      </c>
      <c r="H6571" s="1" t="str">
        <f>VLOOKUP(F6571,Countries!$A$1:$B$161,2,0)</f>
        <v>United States of America</v>
      </c>
    </row>
    <row r="6572" spans="1:8" x14ac:dyDescent="0.3">
      <c r="A6572" s="3">
        <v>46236.872557870367</v>
      </c>
      <c r="B6572" s="1">
        <v>6.37</v>
      </c>
      <c r="C6572" s="1">
        <v>5.52</v>
      </c>
      <c r="D6572" s="1">
        <v>0.54</v>
      </c>
      <c r="E6572" s="1" t="s">
        <v>113</v>
      </c>
      <c r="F6572" s="1" t="s">
        <v>113</v>
      </c>
      <c r="G6572" s="1" t="s">
        <v>113</v>
      </c>
      <c r="H6572" s="1" t="str">
        <f>VLOOKUP(F6572,Countries!$A$1:$B$161,2,0)</f>
        <v>United States of America</v>
      </c>
    </row>
    <row r="6573" spans="1:8" x14ac:dyDescent="0.3">
      <c r="A6573" s="3">
        <v>46236.861550925933</v>
      </c>
      <c r="B6573" s="1">
        <v>7.48</v>
      </c>
      <c r="C6573" s="1">
        <v>6.48</v>
      </c>
      <c r="D6573" s="1">
        <v>0.48</v>
      </c>
      <c r="E6573" s="1" t="s">
        <v>123</v>
      </c>
      <c r="F6573" s="1" t="s">
        <v>123</v>
      </c>
      <c r="G6573" s="1" t="s">
        <v>123</v>
      </c>
      <c r="H6573" s="1" t="str">
        <f>VLOOKUP(F6573,Countries!$A$1:$B$161,2,0)</f>
        <v>France</v>
      </c>
    </row>
    <row r="6574" spans="1:8" x14ac:dyDescent="0.3">
      <c r="A6574" s="3">
        <v>46236.860775462963</v>
      </c>
      <c r="B6574" s="1">
        <v>14.77</v>
      </c>
      <c r="C6574" s="1">
        <v>12.79</v>
      </c>
      <c r="D6574" s="1">
        <v>0.93</v>
      </c>
      <c r="E6574" s="1" t="s">
        <v>113</v>
      </c>
      <c r="F6574" s="1" t="s">
        <v>113</v>
      </c>
      <c r="G6574" s="1" t="s">
        <v>113</v>
      </c>
      <c r="H6574" s="1" t="str">
        <f>VLOOKUP(F6574,Countries!$A$1:$B$161,2,0)</f>
        <v>United States of America</v>
      </c>
    </row>
    <row r="6575" spans="1:8" x14ac:dyDescent="0.3">
      <c r="A6575" s="3">
        <v>46236.856481481482</v>
      </c>
      <c r="B6575" s="1">
        <v>20.239999999999998</v>
      </c>
      <c r="C6575" s="1">
        <v>17.52</v>
      </c>
      <c r="D6575" s="1">
        <v>0.86</v>
      </c>
      <c r="E6575" s="1" t="s">
        <v>151</v>
      </c>
      <c r="F6575" s="1" t="s">
        <v>151</v>
      </c>
      <c r="G6575" s="1" t="s">
        <v>151</v>
      </c>
      <c r="H6575" s="1" t="str">
        <f>VLOOKUP(F6575,Countries!$A$1:$B$161,2,0)</f>
        <v>Netherlands (Holland)</v>
      </c>
    </row>
    <row r="6576" spans="1:8" x14ac:dyDescent="0.3">
      <c r="A6576" s="3">
        <v>46236.853888888887</v>
      </c>
      <c r="B6576" s="1">
        <v>2.99</v>
      </c>
      <c r="C6576" s="1">
        <v>2.59</v>
      </c>
      <c r="D6576" s="1">
        <v>0.38</v>
      </c>
      <c r="E6576" s="1" t="s">
        <v>135</v>
      </c>
      <c r="F6576" s="1" t="s">
        <v>135</v>
      </c>
      <c r="G6576" s="1" t="s">
        <v>135</v>
      </c>
      <c r="H6576" s="1" t="str">
        <f>VLOOKUP(F6576,Countries!$A$1:$B$161,2,0)</f>
        <v>Kuwait</v>
      </c>
    </row>
    <row r="6577" spans="1:8" x14ac:dyDescent="0.3">
      <c r="A6577" s="3">
        <v>46236.845497685194</v>
      </c>
      <c r="B6577" s="1">
        <v>6.37</v>
      </c>
      <c r="C6577" s="1">
        <v>5.52</v>
      </c>
      <c r="D6577" s="1">
        <v>0.54</v>
      </c>
      <c r="E6577" s="1" t="s">
        <v>113</v>
      </c>
      <c r="F6577" s="1" t="s">
        <v>113</v>
      </c>
      <c r="G6577" s="1" t="s">
        <v>113</v>
      </c>
      <c r="H6577" s="1" t="str">
        <f>VLOOKUP(F6577,Countries!$A$1:$B$161,2,0)</f>
        <v>United States of America</v>
      </c>
    </row>
    <row r="6578" spans="1:8" x14ac:dyDescent="0.3">
      <c r="A6578" s="3">
        <v>46236.839699074073</v>
      </c>
      <c r="B6578" s="1">
        <v>7.39</v>
      </c>
      <c r="C6578" s="1">
        <v>6.4</v>
      </c>
      <c r="D6578" s="1">
        <v>0.48</v>
      </c>
      <c r="E6578" s="1" t="s">
        <v>147</v>
      </c>
      <c r="F6578" s="1" t="s">
        <v>137</v>
      </c>
      <c r="G6578" s="1" t="s">
        <v>137</v>
      </c>
      <c r="H6578" s="1" t="str">
        <f>VLOOKUP(F6578,Countries!$A$1:$B$161,2,0)</f>
        <v>Poland</v>
      </c>
    </row>
    <row r="6579" spans="1:8" x14ac:dyDescent="0.3">
      <c r="A6579" s="3">
        <v>46236.823125000003</v>
      </c>
      <c r="B6579" s="1">
        <v>2.99</v>
      </c>
      <c r="C6579" s="1">
        <v>2.59</v>
      </c>
      <c r="D6579" s="1">
        <v>0.38</v>
      </c>
      <c r="E6579" s="1" t="s">
        <v>142</v>
      </c>
      <c r="F6579" s="1" t="s">
        <v>142</v>
      </c>
      <c r="G6579" s="1" t="s">
        <v>142</v>
      </c>
      <c r="H6579" s="1" t="str">
        <f>VLOOKUP(F6579,Countries!$A$1:$B$161,2,0)</f>
        <v>India</v>
      </c>
    </row>
    <row r="6580" spans="1:8" x14ac:dyDescent="0.3">
      <c r="A6580" s="3">
        <v>46236.817824074067</v>
      </c>
      <c r="B6580" s="1">
        <v>14.77</v>
      </c>
      <c r="C6580" s="1">
        <v>12.81</v>
      </c>
      <c r="D6580" s="1">
        <v>0.93</v>
      </c>
      <c r="E6580" s="1" t="s">
        <v>113</v>
      </c>
      <c r="F6580" s="1" t="s">
        <v>113</v>
      </c>
      <c r="G6580" s="1" t="s">
        <v>113</v>
      </c>
      <c r="H6580" s="1" t="str">
        <f>VLOOKUP(F6580,Countries!$A$1:$B$161,2,0)</f>
        <v>United States of America</v>
      </c>
    </row>
    <row r="6581" spans="1:8" x14ac:dyDescent="0.3">
      <c r="A6581" s="3">
        <v>46236.813784722217</v>
      </c>
      <c r="B6581" s="1">
        <v>3.99</v>
      </c>
      <c r="C6581" s="1">
        <v>3.46</v>
      </c>
      <c r="D6581" s="1">
        <v>0.43</v>
      </c>
      <c r="E6581" s="1" t="s">
        <v>121</v>
      </c>
      <c r="F6581" s="1" t="s">
        <v>121</v>
      </c>
      <c r="G6581" s="1" t="s">
        <v>121</v>
      </c>
      <c r="H6581" s="1" t="str">
        <f>VLOOKUP(F6581,Countries!$A$1:$B$161,2,0)</f>
        <v>Japan</v>
      </c>
    </row>
    <row r="6582" spans="1:8" x14ac:dyDescent="0.3">
      <c r="A6582" s="3">
        <v>46236.80945601852</v>
      </c>
      <c r="B6582" s="1">
        <v>1.99</v>
      </c>
      <c r="C6582" s="1">
        <v>1.73</v>
      </c>
      <c r="D6582" s="1">
        <v>0.32</v>
      </c>
      <c r="E6582" s="1" t="s">
        <v>119</v>
      </c>
      <c r="F6582" s="1" t="s">
        <v>119</v>
      </c>
      <c r="G6582" s="1" t="s">
        <v>119</v>
      </c>
      <c r="H6582" s="1" t="str">
        <f>VLOOKUP(F6582,Countries!$A$1:$B$161,2,0)</f>
        <v>Great Britain (United Kingdom)</v>
      </c>
    </row>
    <row r="6583" spans="1:8" x14ac:dyDescent="0.3">
      <c r="A6583" s="3">
        <v>46236.794733796298</v>
      </c>
      <c r="B6583" s="1">
        <v>1.99</v>
      </c>
      <c r="C6583" s="1">
        <v>1.73</v>
      </c>
      <c r="D6583" s="1">
        <v>0.31</v>
      </c>
      <c r="E6583" s="1" t="s">
        <v>147</v>
      </c>
      <c r="F6583" s="1" t="s">
        <v>147</v>
      </c>
      <c r="G6583" s="1" t="s">
        <v>147</v>
      </c>
      <c r="H6583" s="1" t="str">
        <f>VLOOKUP(F6583,Countries!$A$1:$B$161,2,0)</f>
        <v>Germany</v>
      </c>
    </row>
    <row r="6584" spans="1:8" x14ac:dyDescent="0.3">
      <c r="A6584" s="3">
        <v>46236.771365740737</v>
      </c>
      <c r="B6584" s="1">
        <v>14.77</v>
      </c>
      <c r="C6584" s="1">
        <v>12.81</v>
      </c>
      <c r="D6584" s="1">
        <v>0.93</v>
      </c>
      <c r="E6584" s="1" t="s">
        <v>113</v>
      </c>
      <c r="F6584" s="1" t="s">
        <v>113</v>
      </c>
      <c r="G6584" s="1" t="s">
        <v>113</v>
      </c>
      <c r="H6584" s="1" t="str">
        <f>VLOOKUP(F6584,Countries!$A$1:$B$161,2,0)</f>
        <v>United States of America</v>
      </c>
    </row>
    <row r="6585" spans="1:8" x14ac:dyDescent="0.3">
      <c r="A6585" s="3">
        <v>46236.76972222222</v>
      </c>
      <c r="B6585" s="1">
        <v>3.39</v>
      </c>
      <c r="C6585" s="1">
        <v>2.94</v>
      </c>
      <c r="D6585" s="1">
        <v>0.41</v>
      </c>
      <c r="E6585" s="1" t="s">
        <v>114</v>
      </c>
      <c r="F6585" s="1" t="s">
        <v>114</v>
      </c>
      <c r="G6585" s="1" t="s">
        <v>114</v>
      </c>
      <c r="H6585" s="1" t="str">
        <f>VLOOKUP(F6585,Countries!$A$1:$B$161,2,0)</f>
        <v>Philippines</v>
      </c>
    </row>
    <row r="6586" spans="1:8" x14ac:dyDescent="0.3">
      <c r="A6586" s="3">
        <v>46236.762152777781</v>
      </c>
      <c r="B6586" s="1">
        <v>6.3</v>
      </c>
      <c r="C6586" s="1">
        <v>5.46</v>
      </c>
      <c r="D6586" s="1">
        <v>0.54</v>
      </c>
      <c r="E6586" s="1" t="s">
        <v>132</v>
      </c>
      <c r="F6586" s="1" t="s">
        <v>132</v>
      </c>
      <c r="G6586" s="1" t="s">
        <v>132</v>
      </c>
      <c r="H6586" s="1" t="str">
        <f>VLOOKUP(F6586,Countries!$A$1:$B$161,2,0)</f>
        <v>Canada</v>
      </c>
    </row>
    <row r="6587" spans="1:8" x14ac:dyDescent="0.3">
      <c r="A6587" s="3">
        <v>46236.749363425923</v>
      </c>
      <c r="B6587" s="1">
        <v>12.48</v>
      </c>
      <c r="C6587" s="1">
        <v>10.82</v>
      </c>
      <c r="D6587" s="1">
        <v>0.74</v>
      </c>
      <c r="E6587" s="1" t="s">
        <v>119</v>
      </c>
      <c r="F6587" s="1" t="s">
        <v>119</v>
      </c>
      <c r="G6587" s="1" t="s">
        <v>119</v>
      </c>
      <c r="H6587" s="1" t="str">
        <f>VLOOKUP(F6587,Countries!$A$1:$B$161,2,0)</f>
        <v>Great Britain (United Kingdom)</v>
      </c>
    </row>
    <row r="6588" spans="1:8" x14ac:dyDescent="0.3">
      <c r="A6588" s="3">
        <v>46236.746840277781</v>
      </c>
      <c r="B6588" s="1">
        <v>7.48</v>
      </c>
      <c r="C6588" s="1">
        <v>6.49</v>
      </c>
      <c r="D6588" s="1">
        <v>0.54</v>
      </c>
      <c r="E6588" s="1" t="s">
        <v>119</v>
      </c>
      <c r="F6588" s="1" t="s">
        <v>119</v>
      </c>
      <c r="G6588" s="1" t="s">
        <v>119</v>
      </c>
      <c r="H6588" s="1" t="str">
        <f>VLOOKUP(F6588,Countries!$A$1:$B$161,2,0)</f>
        <v>Great Britain (United Kingdom)</v>
      </c>
    </row>
    <row r="6589" spans="1:8" x14ac:dyDescent="0.3">
      <c r="A6589" s="3">
        <v>46236.744016203702</v>
      </c>
      <c r="B6589" s="1">
        <v>14.77</v>
      </c>
      <c r="C6589" s="1">
        <v>12.81</v>
      </c>
      <c r="D6589" s="1">
        <v>0.93</v>
      </c>
      <c r="E6589" s="1" t="s">
        <v>113</v>
      </c>
      <c r="F6589" s="1" t="s">
        <v>113</v>
      </c>
      <c r="G6589" s="1" t="s">
        <v>113</v>
      </c>
      <c r="H6589" s="1" t="str">
        <f>VLOOKUP(F6589,Countries!$A$1:$B$161,2,0)</f>
        <v>United States of America</v>
      </c>
    </row>
    <row r="6590" spans="1:8" x14ac:dyDescent="0.3">
      <c r="A6590" s="3">
        <v>46236.737986111111</v>
      </c>
      <c r="B6590" s="1">
        <v>32.36</v>
      </c>
      <c r="C6590" s="1">
        <v>28.06</v>
      </c>
      <c r="D6590" s="1">
        <v>1.72</v>
      </c>
      <c r="E6590" s="1" t="s">
        <v>113</v>
      </c>
      <c r="F6590" s="1" t="s">
        <v>113</v>
      </c>
      <c r="G6590" s="1" t="s">
        <v>113</v>
      </c>
      <c r="H6590" s="1" t="str">
        <f>VLOOKUP(F6590,Countries!$A$1:$B$161,2,0)</f>
        <v>United States of America</v>
      </c>
    </row>
    <row r="6591" spans="1:8" x14ac:dyDescent="0.3">
      <c r="A6591" s="3">
        <v>46236.737743055557</v>
      </c>
      <c r="B6591" s="1">
        <v>9.07</v>
      </c>
      <c r="C6591" s="1">
        <v>7.86</v>
      </c>
      <c r="D6591" s="1">
        <v>0.67</v>
      </c>
      <c r="E6591" s="1" t="s">
        <v>114</v>
      </c>
      <c r="F6591" s="1" t="s">
        <v>114</v>
      </c>
      <c r="G6591" s="1" t="s">
        <v>114</v>
      </c>
      <c r="H6591" s="1" t="str">
        <f>VLOOKUP(F6591,Countries!$A$1:$B$161,2,0)</f>
        <v>Philippines</v>
      </c>
    </row>
    <row r="6592" spans="1:8" x14ac:dyDescent="0.3">
      <c r="A6592" s="3">
        <v>46236.735081018523</v>
      </c>
      <c r="B6592" s="1">
        <v>29.26</v>
      </c>
      <c r="C6592" s="1">
        <v>25.37</v>
      </c>
      <c r="D6592" s="1">
        <v>1.58</v>
      </c>
      <c r="E6592" s="1" t="s">
        <v>132</v>
      </c>
      <c r="F6592" s="1" t="s">
        <v>132</v>
      </c>
      <c r="G6592" s="1" t="s">
        <v>132</v>
      </c>
      <c r="H6592" s="1" t="str">
        <f>VLOOKUP(F6592,Countries!$A$1:$B$161,2,0)</f>
        <v>Canada</v>
      </c>
    </row>
    <row r="6593" spans="1:8" x14ac:dyDescent="0.3">
      <c r="A6593" s="3">
        <v>46236.725439814807</v>
      </c>
      <c r="B6593" s="1">
        <v>2.11</v>
      </c>
      <c r="C6593" s="1">
        <v>1.83</v>
      </c>
      <c r="D6593" s="1">
        <v>0.35</v>
      </c>
      <c r="E6593" s="1" t="s">
        <v>113</v>
      </c>
      <c r="F6593" s="1" t="s">
        <v>113</v>
      </c>
      <c r="G6593" s="1" t="s">
        <v>113</v>
      </c>
      <c r="H6593" s="1" t="str">
        <f>VLOOKUP(F6593,Countries!$A$1:$B$161,2,0)</f>
        <v>United States of America</v>
      </c>
    </row>
    <row r="6594" spans="1:8" x14ac:dyDescent="0.3">
      <c r="A6594" s="3">
        <v>46236.722233796303</v>
      </c>
      <c r="B6594" s="1">
        <v>14.77</v>
      </c>
      <c r="C6594" s="1">
        <v>12.81</v>
      </c>
      <c r="D6594" s="1">
        <v>0.93</v>
      </c>
      <c r="E6594" s="1" t="s">
        <v>113</v>
      </c>
      <c r="F6594" s="1" t="s">
        <v>113</v>
      </c>
      <c r="G6594" s="1" t="s">
        <v>113</v>
      </c>
      <c r="H6594" s="1" t="str">
        <f>VLOOKUP(F6594,Countries!$A$1:$B$161,2,0)</f>
        <v>United States of America</v>
      </c>
    </row>
    <row r="6595" spans="1:8" x14ac:dyDescent="0.3">
      <c r="A6595" s="3">
        <v>46236.721342592587</v>
      </c>
      <c r="B6595" s="1">
        <v>4.24</v>
      </c>
      <c r="C6595" s="1">
        <v>3.68</v>
      </c>
      <c r="D6595" s="1">
        <v>0.44</v>
      </c>
      <c r="E6595" s="1" t="s">
        <v>113</v>
      </c>
      <c r="F6595" s="1" t="s">
        <v>113</v>
      </c>
      <c r="G6595" s="1" t="s">
        <v>113</v>
      </c>
      <c r="H6595" s="1" t="str">
        <f>VLOOKUP(F6595,Countries!$A$1:$B$161,2,0)</f>
        <v>United States of America</v>
      </c>
    </row>
    <row r="6596" spans="1:8" x14ac:dyDescent="0.3">
      <c r="A6596" s="3">
        <v>46236.709652777783</v>
      </c>
      <c r="B6596" s="1">
        <v>14.77</v>
      </c>
      <c r="C6596" s="1">
        <v>12.81</v>
      </c>
      <c r="D6596" s="1">
        <v>0.93</v>
      </c>
      <c r="E6596" s="1" t="s">
        <v>113</v>
      </c>
      <c r="F6596" s="1" t="s">
        <v>113</v>
      </c>
      <c r="G6596" s="1" t="s">
        <v>113</v>
      </c>
      <c r="H6596" s="1" t="str">
        <f>VLOOKUP(F6596,Countries!$A$1:$B$161,2,0)</f>
        <v>United States of America</v>
      </c>
    </row>
    <row r="6597" spans="1:8" x14ac:dyDescent="0.3">
      <c r="A6597" s="3">
        <v>46236.702719907407</v>
      </c>
      <c r="B6597" s="1">
        <v>13.89</v>
      </c>
      <c r="C6597" s="1">
        <v>12.04</v>
      </c>
      <c r="D6597" s="1">
        <v>0.88</v>
      </c>
      <c r="E6597" s="1" t="s">
        <v>134</v>
      </c>
      <c r="F6597" s="1" t="s">
        <v>134</v>
      </c>
      <c r="G6597" s="1" t="s">
        <v>134</v>
      </c>
      <c r="H6597" s="1" t="str">
        <f>VLOOKUP(F6597,Countries!$A$1:$B$161,2,0)</f>
        <v>Hong Kong</v>
      </c>
    </row>
    <row r="6598" spans="1:8" x14ac:dyDescent="0.3">
      <c r="A6598" s="3">
        <v>46236.701284722221</v>
      </c>
      <c r="B6598" s="1">
        <v>3.69</v>
      </c>
      <c r="C6598" s="1">
        <v>3.2</v>
      </c>
      <c r="D6598" s="1">
        <v>0.36</v>
      </c>
      <c r="E6598" s="1" t="s">
        <v>159</v>
      </c>
      <c r="F6598" s="1" t="s">
        <v>159</v>
      </c>
      <c r="G6598" s="1" t="s">
        <v>159</v>
      </c>
      <c r="H6598" s="1" t="str">
        <f>VLOOKUP(F6598,Countries!$A$1:$B$161,2,0)</f>
        <v>Romania</v>
      </c>
    </row>
    <row r="6599" spans="1:8" x14ac:dyDescent="0.3">
      <c r="A6599" s="3">
        <v>46236.692789351851</v>
      </c>
      <c r="B6599" s="1">
        <v>10</v>
      </c>
      <c r="C6599" s="1">
        <v>8.67</v>
      </c>
      <c r="D6599" s="1">
        <v>0.7</v>
      </c>
      <c r="E6599" s="1" t="s">
        <v>134</v>
      </c>
      <c r="F6599" s="1" t="s">
        <v>134</v>
      </c>
      <c r="G6599" s="1" t="s">
        <v>134</v>
      </c>
      <c r="H6599" s="1" t="str">
        <f>VLOOKUP(F6599,Countries!$A$1:$B$161,2,0)</f>
        <v>Hong Kong</v>
      </c>
    </row>
    <row r="6600" spans="1:8" x14ac:dyDescent="0.3">
      <c r="A6600" s="3">
        <v>46236.689074074071</v>
      </c>
      <c r="B6600" s="1">
        <v>9.99</v>
      </c>
      <c r="C6600" s="1">
        <v>8.66</v>
      </c>
      <c r="D6600" s="1">
        <v>0.7</v>
      </c>
      <c r="E6600" s="1" t="s">
        <v>134</v>
      </c>
      <c r="F6600" s="1" t="s">
        <v>134</v>
      </c>
      <c r="G6600" s="1" t="s">
        <v>134</v>
      </c>
      <c r="H6600" s="1" t="str">
        <f>VLOOKUP(F6600,Countries!$A$1:$B$161,2,0)</f>
        <v>Hong Kong</v>
      </c>
    </row>
    <row r="6601" spans="1:8" x14ac:dyDescent="0.3">
      <c r="A6601" s="3">
        <v>46236.679791666669</v>
      </c>
      <c r="B6601" s="1">
        <v>34.75</v>
      </c>
      <c r="C6601" s="1">
        <v>30.13</v>
      </c>
      <c r="D6601" s="1">
        <v>1.83</v>
      </c>
      <c r="E6601" s="1" t="s">
        <v>136</v>
      </c>
      <c r="F6601" s="1" t="s">
        <v>136</v>
      </c>
      <c r="G6601" s="1" t="s">
        <v>136</v>
      </c>
      <c r="H6601" s="1" t="str">
        <f>VLOOKUP(F6601,Countries!$A$1:$B$161,2,0)</f>
        <v>Turkey</v>
      </c>
    </row>
    <row r="6602" spans="1:8" x14ac:dyDescent="0.3">
      <c r="A6602" s="3">
        <v>46236.679652777777</v>
      </c>
      <c r="B6602" s="1">
        <v>6.37</v>
      </c>
      <c r="C6602" s="1">
        <v>5.52</v>
      </c>
      <c r="D6602" s="1">
        <v>0.54</v>
      </c>
      <c r="E6602" s="1" t="s">
        <v>113</v>
      </c>
      <c r="F6602" s="1" t="s">
        <v>113</v>
      </c>
      <c r="G6602" s="1" t="s">
        <v>113</v>
      </c>
      <c r="H6602" s="1" t="str">
        <f>VLOOKUP(F6602,Countries!$A$1:$B$161,2,0)</f>
        <v>United States of America</v>
      </c>
    </row>
    <row r="6603" spans="1:8" x14ac:dyDescent="0.3">
      <c r="A6603" s="3">
        <v>46236.677986111114</v>
      </c>
      <c r="B6603" s="1">
        <v>2.99</v>
      </c>
      <c r="C6603" s="1">
        <v>2.59</v>
      </c>
      <c r="D6603" s="1">
        <v>0.38</v>
      </c>
      <c r="E6603" s="1" t="s">
        <v>136</v>
      </c>
      <c r="F6603" s="1" t="s">
        <v>136</v>
      </c>
      <c r="G6603" s="1" t="s">
        <v>136</v>
      </c>
      <c r="H6603" s="1" t="str">
        <f>VLOOKUP(F6603,Countries!$A$1:$B$161,2,0)</f>
        <v>Turkey</v>
      </c>
    </row>
    <row r="6604" spans="1:8" x14ac:dyDescent="0.3">
      <c r="A6604" s="3">
        <v>46236.673692129632</v>
      </c>
      <c r="B6604" s="1">
        <v>3.73</v>
      </c>
      <c r="C6604" s="1">
        <v>3.23</v>
      </c>
      <c r="D6604" s="1">
        <v>0.39</v>
      </c>
      <c r="E6604" s="1" t="s">
        <v>119</v>
      </c>
      <c r="F6604" s="1" t="s">
        <v>119</v>
      </c>
      <c r="G6604" s="1" t="s">
        <v>119</v>
      </c>
      <c r="H6604" s="1" t="str">
        <f>VLOOKUP(F6604,Countries!$A$1:$B$161,2,0)</f>
        <v>Great Britain (United Kingdom)</v>
      </c>
    </row>
    <row r="6605" spans="1:8" x14ac:dyDescent="0.3">
      <c r="A6605" s="3">
        <v>46236.6719212963</v>
      </c>
      <c r="B6605" s="1">
        <v>14.78</v>
      </c>
      <c r="C6605" s="1">
        <v>12.82</v>
      </c>
      <c r="D6605" s="1">
        <v>0.93</v>
      </c>
      <c r="E6605" s="1" t="s">
        <v>113</v>
      </c>
      <c r="F6605" s="1" t="s">
        <v>113</v>
      </c>
      <c r="G6605" s="1" t="s">
        <v>113</v>
      </c>
      <c r="H6605" s="1" t="str">
        <f>VLOOKUP(F6605,Countries!$A$1:$B$161,2,0)</f>
        <v>United States of America</v>
      </c>
    </row>
    <row r="6606" spans="1:8" x14ac:dyDescent="0.3">
      <c r="A6606" s="3">
        <v>46236.666597222233</v>
      </c>
      <c r="B6606" s="1">
        <v>14.77</v>
      </c>
      <c r="C6606" s="1">
        <v>12.81</v>
      </c>
      <c r="D6606" s="1">
        <v>0.93</v>
      </c>
      <c r="E6606" s="1" t="s">
        <v>113</v>
      </c>
      <c r="F6606" s="1" t="s">
        <v>113</v>
      </c>
      <c r="G6606" s="1" t="s">
        <v>113</v>
      </c>
      <c r="H6606" s="1" t="str">
        <f>VLOOKUP(F6606,Countries!$A$1:$B$161,2,0)</f>
        <v>United States of America</v>
      </c>
    </row>
    <row r="6607" spans="1:8" x14ac:dyDescent="0.3">
      <c r="A6607" s="3">
        <v>46236.665150462963</v>
      </c>
      <c r="B6607" s="1">
        <v>6.37</v>
      </c>
      <c r="C6607" s="1">
        <v>5.52</v>
      </c>
      <c r="D6607" s="1">
        <v>0.54</v>
      </c>
      <c r="E6607" s="1" t="s">
        <v>113</v>
      </c>
      <c r="F6607" s="1" t="s">
        <v>113</v>
      </c>
      <c r="G6607" s="1" t="s">
        <v>113</v>
      </c>
      <c r="H6607" s="1" t="str">
        <f>VLOOKUP(F6607,Countries!$A$1:$B$161,2,0)</f>
        <v>United States of America</v>
      </c>
    </row>
    <row r="6608" spans="1:8" x14ac:dyDescent="0.3">
      <c r="A6608" s="3">
        <v>46236.659317129634</v>
      </c>
      <c r="B6608" s="1">
        <v>2.99</v>
      </c>
      <c r="C6608" s="1">
        <v>2.59</v>
      </c>
      <c r="D6608" s="1">
        <v>0.38</v>
      </c>
      <c r="E6608" s="1" t="s">
        <v>113</v>
      </c>
      <c r="F6608" s="1" t="s">
        <v>113</v>
      </c>
      <c r="G6608" s="1" t="s">
        <v>113</v>
      </c>
      <c r="H6608" s="1" t="str">
        <f>VLOOKUP(F6608,Countries!$A$1:$B$161,2,0)</f>
        <v>United States of America</v>
      </c>
    </row>
    <row r="6609" spans="1:8" x14ac:dyDescent="0.3">
      <c r="A6609" s="3">
        <v>46236.648946759262</v>
      </c>
      <c r="B6609" s="1">
        <v>10.62</v>
      </c>
      <c r="C6609" s="1">
        <v>9.2100000000000009</v>
      </c>
      <c r="D6609" s="1">
        <v>0.73</v>
      </c>
      <c r="E6609" s="1" t="s">
        <v>113</v>
      </c>
      <c r="F6609" s="1" t="s">
        <v>113</v>
      </c>
      <c r="G6609" s="1" t="s">
        <v>113</v>
      </c>
      <c r="H6609" s="1" t="str">
        <f>VLOOKUP(F6609,Countries!$A$1:$B$161,2,0)</f>
        <v>United States of America</v>
      </c>
    </row>
    <row r="6610" spans="1:8" x14ac:dyDescent="0.3">
      <c r="A6610" s="3">
        <v>46236.640752314823</v>
      </c>
      <c r="B6610" s="1">
        <v>6.37</v>
      </c>
      <c r="C6610" s="1">
        <v>5.52</v>
      </c>
      <c r="D6610" s="1">
        <v>0.54</v>
      </c>
      <c r="E6610" s="1" t="s">
        <v>113</v>
      </c>
      <c r="F6610" s="1" t="s">
        <v>113</v>
      </c>
      <c r="G6610" s="1" t="s">
        <v>113</v>
      </c>
      <c r="H6610" s="1" t="str">
        <f>VLOOKUP(F6610,Countries!$A$1:$B$161,2,0)</f>
        <v>United States of America</v>
      </c>
    </row>
    <row r="6611" spans="1:8" x14ac:dyDescent="0.3">
      <c r="A6611" s="3">
        <v>46236.640289351853</v>
      </c>
      <c r="B6611" s="1">
        <v>3.78</v>
      </c>
      <c r="C6611" s="1">
        <v>3.28</v>
      </c>
      <c r="D6611" s="1">
        <v>0.37</v>
      </c>
      <c r="E6611" s="1" t="s">
        <v>116</v>
      </c>
      <c r="F6611" s="1" t="s">
        <v>116</v>
      </c>
      <c r="G6611" s="1" t="s">
        <v>116</v>
      </c>
      <c r="H6611" s="1" t="str">
        <f>VLOOKUP(F6611,Countries!$A$1:$B$161,2,0)</f>
        <v>Spain</v>
      </c>
    </row>
    <row r="6612" spans="1:8" x14ac:dyDescent="0.3">
      <c r="A6612" s="3">
        <v>46236.63789351852</v>
      </c>
      <c r="B6612" s="1">
        <v>14.77</v>
      </c>
      <c r="C6612" s="1">
        <v>12.81</v>
      </c>
      <c r="D6612" s="1">
        <v>0.93</v>
      </c>
      <c r="E6612" s="1" t="s">
        <v>113</v>
      </c>
      <c r="F6612" s="1" t="s">
        <v>113</v>
      </c>
      <c r="G6612" s="1" t="s">
        <v>113</v>
      </c>
      <c r="H6612" s="1" t="str">
        <f>VLOOKUP(F6612,Countries!$A$1:$B$161,2,0)</f>
        <v>United States of America</v>
      </c>
    </row>
    <row r="6613" spans="1:8" x14ac:dyDescent="0.3">
      <c r="A6613" s="3">
        <v>46236.635601851849</v>
      </c>
      <c r="B6613" s="1">
        <v>7.58</v>
      </c>
      <c r="C6613" s="1">
        <v>6.57</v>
      </c>
      <c r="D6613" s="1">
        <v>0.48</v>
      </c>
      <c r="E6613" s="1" t="s">
        <v>116</v>
      </c>
      <c r="F6613" s="1" t="s">
        <v>116</v>
      </c>
      <c r="G6613" s="1" t="s">
        <v>116</v>
      </c>
      <c r="H6613" s="1" t="str">
        <f>VLOOKUP(F6613,Countries!$A$1:$B$161,2,0)</f>
        <v>Spain</v>
      </c>
    </row>
    <row r="6614" spans="1:8" x14ac:dyDescent="0.3">
      <c r="A6614" s="3">
        <v>46236.623784722222</v>
      </c>
      <c r="B6614" s="1">
        <v>14.77</v>
      </c>
      <c r="C6614" s="1">
        <v>12.81</v>
      </c>
      <c r="D6614" s="1">
        <v>0.93</v>
      </c>
      <c r="E6614" s="1" t="s">
        <v>113</v>
      </c>
      <c r="F6614" s="1" t="s">
        <v>113</v>
      </c>
      <c r="G6614" s="1" t="s">
        <v>113</v>
      </c>
      <c r="H6614" s="1" t="str">
        <f>VLOOKUP(F6614,Countries!$A$1:$B$161,2,0)</f>
        <v>United States of America</v>
      </c>
    </row>
    <row r="6615" spans="1:8" x14ac:dyDescent="0.3">
      <c r="A6615" s="3">
        <v>46236.619803240741</v>
      </c>
      <c r="B6615" s="1">
        <v>7.48</v>
      </c>
      <c r="C6615" s="1">
        <v>6.49</v>
      </c>
      <c r="D6615" s="1">
        <v>0.54</v>
      </c>
      <c r="E6615" s="1" t="s">
        <v>119</v>
      </c>
      <c r="F6615" s="1" t="s">
        <v>119</v>
      </c>
      <c r="G6615" s="1" t="s">
        <v>119</v>
      </c>
      <c r="H6615" s="1" t="str">
        <f>VLOOKUP(F6615,Countries!$A$1:$B$161,2,0)</f>
        <v>Great Britain (United Kingdom)</v>
      </c>
    </row>
    <row r="6616" spans="1:8" x14ac:dyDescent="0.3">
      <c r="A6616" s="3">
        <v>46236.617662037039</v>
      </c>
      <c r="B6616" s="1">
        <v>17.55</v>
      </c>
      <c r="C6616" s="1">
        <v>15.22</v>
      </c>
      <c r="D6616" s="1">
        <v>1.04</v>
      </c>
      <c r="E6616" s="1" t="s">
        <v>132</v>
      </c>
      <c r="F6616" s="1" t="s">
        <v>132</v>
      </c>
      <c r="G6616" s="1" t="s">
        <v>132</v>
      </c>
      <c r="H6616" s="1" t="str">
        <f>VLOOKUP(F6616,Countries!$A$1:$B$161,2,0)</f>
        <v>Canada</v>
      </c>
    </row>
    <row r="6617" spans="1:8" x14ac:dyDescent="0.3">
      <c r="A6617" s="3">
        <v>46236.615023148152</v>
      </c>
      <c r="B6617" s="1">
        <v>16.829999999999998</v>
      </c>
      <c r="C6617" s="1">
        <v>14.59</v>
      </c>
      <c r="D6617" s="1">
        <v>1.01</v>
      </c>
      <c r="E6617" s="1" t="s">
        <v>132</v>
      </c>
      <c r="F6617" s="1" t="s">
        <v>132</v>
      </c>
      <c r="G6617" s="1" t="s">
        <v>132</v>
      </c>
      <c r="H6617" s="1" t="str">
        <f>VLOOKUP(F6617,Countries!$A$1:$B$161,2,0)</f>
        <v>Canada</v>
      </c>
    </row>
    <row r="6618" spans="1:8" x14ac:dyDescent="0.3">
      <c r="A6618" s="3">
        <v>46236.60083333333</v>
      </c>
      <c r="B6618" s="1">
        <v>3.32</v>
      </c>
      <c r="C6618" s="1">
        <v>2.88</v>
      </c>
      <c r="D6618" s="1">
        <v>0.4</v>
      </c>
      <c r="E6618" s="1" t="s">
        <v>121</v>
      </c>
      <c r="F6618" s="1" t="s">
        <v>121</v>
      </c>
      <c r="G6618" s="1" t="s">
        <v>121</v>
      </c>
      <c r="H6618" s="1" t="str">
        <f>VLOOKUP(F6618,Countries!$A$1:$B$161,2,0)</f>
        <v>Japan</v>
      </c>
    </row>
    <row r="6619" spans="1:8" x14ac:dyDescent="0.3">
      <c r="A6619" s="3">
        <v>46236.59884259259</v>
      </c>
      <c r="B6619" s="1">
        <v>3.78</v>
      </c>
      <c r="C6619" s="1">
        <v>3.28</v>
      </c>
      <c r="D6619" s="1">
        <v>0.37</v>
      </c>
      <c r="E6619" s="1" t="s">
        <v>116</v>
      </c>
      <c r="F6619" s="1" t="s">
        <v>116</v>
      </c>
      <c r="G6619" s="1" t="s">
        <v>116</v>
      </c>
      <c r="H6619" s="1" t="str">
        <f>VLOOKUP(F6619,Countries!$A$1:$B$161,2,0)</f>
        <v>Spain</v>
      </c>
    </row>
    <row r="6620" spans="1:8" x14ac:dyDescent="0.3">
      <c r="A6620" s="3">
        <v>46236.594606481478</v>
      </c>
      <c r="B6620" s="1">
        <v>37.229999999999997</v>
      </c>
      <c r="C6620" s="1">
        <v>32.28</v>
      </c>
      <c r="D6620" s="1">
        <v>1.95</v>
      </c>
      <c r="E6620" s="1" t="s">
        <v>113</v>
      </c>
      <c r="F6620" s="1" t="s">
        <v>113</v>
      </c>
      <c r="G6620" s="1" t="s">
        <v>113</v>
      </c>
      <c r="H6620" s="1" t="str">
        <f>VLOOKUP(F6620,Countries!$A$1:$B$161,2,0)</f>
        <v>United States of America</v>
      </c>
    </row>
    <row r="6621" spans="1:8" x14ac:dyDescent="0.3">
      <c r="A6621" s="3">
        <v>46236.594097222223</v>
      </c>
      <c r="B6621" s="1">
        <v>26.59</v>
      </c>
      <c r="C6621" s="1">
        <v>23.06</v>
      </c>
      <c r="D6621" s="1">
        <v>1.46</v>
      </c>
      <c r="E6621" s="1" t="s">
        <v>113</v>
      </c>
      <c r="F6621" s="1" t="s">
        <v>113</v>
      </c>
      <c r="G6621" s="1" t="s">
        <v>113</v>
      </c>
      <c r="H6621" s="1" t="str">
        <f>VLOOKUP(F6621,Countries!$A$1:$B$161,2,0)</f>
        <v>United States of America</v>
      </c>
    </row>
    <row r="6622" spans="1:8" x14ac:dyDescent="0.3">
      <c r="A6622" s="3">
        <v>46236.591597222221</v>
      </c>
      <c r="B6622" s="1">
        <v>3.18</v>
      </c>
      <c r="C6622" s="1">
        <v>2.76</v>
      </c>
      <c r="D6622" s="1">
        <v>0.4</v>
      </c>
      <c r="E6622" s="1" t="s">
        <v>113</v>
      </c>
      <c r="F6622" s="1" t="s">
        <v>113</v>
      </c>
      <c r="G6622" s="1" t="s">
        <v>113</v>
      </c>
      <c r="H6622" s="1" t="str">
        <f>VLOOKUP(F6622,Countries!$A$1:$B$161,2,0)</f>
        <v>United States of America</v>
      </c>
    </row>
    <row r="6623" spans="1:8" x14ac:dyDescent="0.3">
      <c r="A6623" s="3">
        <v>46236.588240740741</v>
      </c>
      <c r="B6623" s="1">
        <v>26.06</v>
      </c>
      <c r="C6623" s="1">
        <v>22.6</v>
      </c>
      <c r="D6623" s="1">
        <v>1.04</v>
      </c>
      <c r="E6623" s="1" t="s">
        <v>123</v>
      </c>
      <c r="F6623" s="1" t="s">
        <v>123</v>
      </c>
      <c r="G6623" s="1" t="s">
        <v>123</v>
      </c>
      <c r="H6623" s="1" t="str">
        <f>VLOOKUP(F6623,Countries!$A$1:$B$161,2,0)</f>
        <v>France</v>
      </c>
    </row>
    <row r="6624" spans="1:8" x14ac:dyDescent="0.3">
      <c r="A6624" s="3">
        <v>46236.586446759262</v>
      </c>
      <c r="B6624" s="1">
        <v>19.98</v>
      </c>
      <c r="C6624" s="1">
        <v>17.32</v>
      </c>
      <c r="D6624" s="1">
        <v>0.86</v>
      </c>
      <c r="E6624" s="1" t="s">
        <v>123</v>
      </c>
      <c r="F6624" s="1" t="s">
        <v>123</v>
      </c>
      <c r="G6624" s="1" t="s">
        <v>123</v>
      </c>
      <c r="H6624" s="1" t="str">
        <f>VLOOKUP(F6624,Countries!$A$1:$B$161,2,0)</f>
        <v>France</v>
      </c>
    </row>
    <row r="6625" spans="1:8" x14ac:dyDescent="0.3">
      <c r="A6625" s="3">
        <v>46236.585196759261</v>
      </c>
      <c r="B6625" s="1">
        <v>6.37</v>
      </c>
      <c r="C6625" s="1">
        <v>5.52</v>
      </c>
      <c r="D6625" s="1">
        <v>0.54</v>
      </c>
      <c r="E6625" s="1" t="s">
        <v>113</v>
      </c>
      <c r="F6625" s="1" t="s">
        <v>113</v>
      </c>
      <c r="G6625" s="1" t="s">
        <v>113</v>
      </c>
      <c r="H6625" s="1" t="str">
        <f>VLOOKUP(F6625,Countries!$A$1:$B$161,2,0)</f>
        <v>United States of America</v>
      </c>
    </row>
    <row r="6626" spans="1:8" x14ac:dyDescent="0.3">
      <c r="A6626" s="3">
        <v>46236.564930555563</v>
      </c>
      <c r="B6626" s="1">
        <v>6.37</v>
      </c>
      <c r="C6626" s="1">
        <v>5.52</v>
      </c>
      <c r="D6626" s="1">
        <v>0.54</v>
      </c>
      <c r="E6626" s="1" t="s">
        <v>113</v>
      </c>
      <c r="F6626" s="1" t="s">
        <v>113</v>
      </c>
      <c r="G6626" s="1" t="s">
        <v>113</v>
      </c>
      <c r="H6626" s="1" t="str">
        <f>VLOOKUP(F6626,Countries!$A$1:$B$161,2,0)</f>
        <v>United States of America</v>
      </c>
    </row>
    <row r="6627" spans="1:8" x14ac:dyDescent="0.3">
      <c r="A6627" s="3">
        <v>46236.562858796293</v>
      </c>
      <c r="B6627" s="1">
        <v>6.37</v>
      </c>
      <c r="C6627" s="1">
        <v>5.52</v>
      </c>
      <c r="D6627" s="1">
        <v>0.54</v>
      </c>
      <c r="E6627" s="1" t="s">
        <v>113</v>
      </c>
      <c r="F6627" s="1" t="s">
        <v>113</v>
      </c>
      <c r="G6627" s="1" t="s">
        <v>113</v>
      </c>
      <c r="H6627" s="1" t="str">
        <f>VLOOKUP(F6627,Countries!$A$1:$B$161,2,0)</f>
        <v>United States of America</v>
      </c>
    </row>
    <row r="6628" spans="1:8" x14ac:dyDescent="0.3">
      <c r="A6628" s="3">
        <v>46236.55363425926</v>
      </c>
      <c r="B6628" s="1">
        <v>7.58</v>
      </c>
      <c r="C6628" s="1">
        <v>6.57</v>
      </c>
      <c r="D6628" s="1">
        <v>0.48</v>
      </c>
      <c r="E6628" s="1" t="s">
        <v>116</v>
      </c>
      <c r="F6628" s="1" t="s">
        <v>116</v>
      </c>
      <c r="G6628" s="1" t="s">
        <v>116</v>
      </c>
      <c r="H6628" s="1" t="str">
        <f>VLOOKUP(F6628,Countries!$A$1:$B$161,2,0)</f>
        <v>Spain</v>
      </c>
    </row>
    <row r="6629" spans="1:8" x14ac:dyDescent="0.3">
      <c r="A6629" s="3">
        <v>46236.530787037038</v>
      </c>
      <c r="B6629" s="1">
        <v>4.9800000000000004</v>
      </c>
      <c r="C6629" s="1">
        <v>4.32</v>
      </c>
      <c r="D6629" s="1">
        <v>0.48</v>
      </c>
      <c r="E6629" s="1" t="s">
        <v>223</v>
      </c>
      <c r="F6629" s="1" t="s">
        <v>223</v>
      </c>
      <c r="G6629" s="1" t="s">
        <v>223</v>
      </c>
      <c r="H6629" s="1" t="str">
        <f>VLOOKUP(F6629,Countries!$A$1:$B$161,2,0)</f>
        <v>Marocco</v>
      </c>
    </row>
    <row r="6630" spans="1:8" x14ac:dyDescent="0.3">
      <c r="A6630" s="3">
        <v>46236.524618055562</v>
      </c>
      <c r="B6630" s="1">
        <v>6.37</v>
      </c>
      <c r="C6630" s="1">
        <v>5.52</v>
      </c>
      <c r="D6630" s="1">
        <v>0.54</v>
      </c>
      <c r="E6630" s="1" t="s">
        <v>113</v>
      </c>
      <c r="F6630" s="1" t="s">
        <v>113</v>
      </c>
      <c r="G6630" s="1" t="s">
        <v>113</v>
      </c>
      <c r="H6630" s="1" t="str">
        <f>VLOOKUP(F6630,Countries!$A$1:$B$161,2,0)</f>
        <v>United States of America</v>
      </c>
    </row>
    <row r="6631" spans="1:8" x14ac:dyDescent="0.3">
      <c r="A6631" s="3">
        <v>46236.51222222222</v>
      </c>
      <c r="B6631" s="1">
        <v>2.11</v>
      </c>
      <c r="C6631" s="1">
        <v>1.83</v>
      </c>
      <c r="D6631" s="1">
        <v>0.35</v>
      </c>
      <c r="E6631" s="1" t="s">
        <v>113</v>
      </c>
      <c r="F6631" s="1" t="s">
        <v>113</v>
      </c>
      <c r="G6631" s="1" t="s">
        <v>113</v>
      </c>
      <c r="H6631" s="1" t="str">
        <f>VLOOKUP(F6631,Countries!$A$1:$B$161,2,0)</f>
        <v>United States of America</v>
      </c>
    </row>
    <row r="6632" spans="1:8" x14ac:dyDescent="0.3">
      <c r="A6632" s="3">
        <v>46236.507824074077</v>
      </c>
      <c r="B6632" s="1">
        <v>2.99</v>
      </c>
      <c r="C6632" s="1">
        <v>2.59</v>
      </c>
      <c r="D6632" s="1">
        <v>0.38</v>
      </c>
      <c r="E6632" s="1" t="s">
        <v>113</v>
      </c>
      <c r="F6632" s="1" t="s">
        <v>113</v>
      </c>
      <c r="G6632" s="1" t="s">
        <v>113</v>
      </c>
      <c r="H6632" s="1" t="str">
        <f>VLOOKUP(F6632,Countries!$A$1:$B$161,2,0)</f>
        <v>United States of America</v>
      </c>
    </row>
    <row r="6633" spans="1:8" x14ac:dyDescent="0.3">
      <c r="A6633" s="3">
        <v>46236.484409722223</v>
      </c>
      <c r="B6633" s="1">
        <v>10.62</v>
      </c>
      <c r="C6633" s="1">
        <v>9.2100000000000009</v>
      </c>
      <c r="D6633" s="1">
        <v>0.73</v>
      </c>
      <c r="E6633" s="1" t="s">
        <v>113</v>
      </c>
      <c r="F6633" s="1" t="s">
        <v>113</v>
      </c>
      <c r="G6633" s="1" t="s">
        <v>113</v>
      </c>
      <c r="H6633" s="1" t="str">
        <f>VLOOKUP(F6633,Countries!$A$1:$B$161,2,0)</f>
        <v>United States of America</v>
      </c>
    </row>
    <row r="6634" spans="1:8" x14ac:dyDescent="0.3">
      <c r="A6634" s="3">
        <v>46236.484201388892</v>
      </c>
      <c r="B6634" s="1">
        <v>17.579999999999998</v>
      </c>
      <c r="C6634" s="1">
        <v>15.24</v>
      </c>
      <c r="D6634" s="1">
        <v>0.78</v>
      </c>
      <c r="E6634" s="1" t="s">
        <v>113</v>
      </c>
      <c r="F6634" s="1" t="s">
        <v>113</v>
      </c>
      <c r="G6634" s="1" t="s">
        <v>113</v>
      </c>
      <c r="H6634" s="1" t="str">
        <f>VLOOKUP(F6634,Countries!$A$1:$B$161,2,0)</f>
        <v>United States of America</v>
      </c>
    </row>
    <row r="6635" spans="1:8" x14ac:dyDescent="0.3">
      <c r="A6635" s="3">
        <v>46236.483530092592</v>
      </c>
      <c r="B6635" s="1">
        <v>87.97</v>
      </c>
      <c r="C6635" s="1">
        <v>76.28</v>
      </c>
      <c r="D6635" s="1">
        <v>2.92</v>
      </c>
      <c r="E6635" s="1" t="s">
        <v>113</v>
      </c>
      <c r="F6635" s="1" t="s">
        <v>113</v>
      </c>
      <c r="G6635" s="1" t="s">
        <v>113</v>
      </c>
      <c r="H6635" s="1" t="str">
        <f>VLOOKUP(F6635,Countries!$A$1:$B$161,2,0)</f>
        <v>United States of America</v>
      </c>
    </row>
    <row r="6636" spans="1:8" x14ac:dyDescent="0.3">
      <c r="A6636" s="3">
        <v>46236.480208333327</v>
      </c>
      <c r="B6636" s="1">
        <v>17.579999999999998</v>
      </c>
      <c r="C6636" s="1">
        <v>15.24</v>
      </c>
      <c r="D6636" s="1">
        <v>0.78</v>
      </c>
      <c r="E6636" s="1" t="s">
        <v>113</v>
      </c>
      <c r="F6636" s="1" t="s">
        <v>113</v>
      </c>
      <c r="G6636" s="1" t="s">
        <v>113</v>
      </c>
      <c r="H6636" s="1" t="str">
        <f>VLOOKUP(F6636,Countries!$A$1:$B$161,2,0)</f>
        <v>United States of America</v>
      </c>
    </row>
    <row r="6637" spans="1:8" x14ac:dyDescent="0.3">
      <c r="A6637" s="3">
        <v>46236.473287037043</v>
      </c>
      <c r="B6637" s="1">
        <v>6.37</v>
      </c>
      <c r="C6637" s="1">
        <v>5.52</v>
      </c>
      <c r="D6637" s="1">
        <v>0.54</v>
      </c>
      <c r="E6637" s="1" t="s">
        <v>113</v>
      </c>
      <c r="F6637" s="1" t="s">
        <v>113</v>
      </c>
      <c r="G6637" s="1" t="s">
        <v>113</v>
      </c>
      <c r="H6637" s="1" t="str">
        <f>VLOOKUP(F6637,Countries!$A$1:$B$161,2,0)</f>
        <v>United States of America</v>
      </c>
    </row>
    <row r="6638" spans="1:8" x14ac:dyDescent="0.3">
      <c r="A6638" s="3">
        <v>46236.471215277779</v>
      </c>
      <c r="B6638" s="1">
        <v>12.64</v>
      </c>
      <c r="C6638" s="1">
        <v>10.96</v>
      </c>
      <c r="D6638" s="1">
        <v>0.63</v>
      </c>
      <c r="E6638" s="1" t="s">
        <v>113</v>
      </c>
      <c r="F6638" s="1" t="s">
        <v>113</v>
      </c>
      <c r="G6638" s="1" t="s">
        <v>113</v>
      </c>
      <c r="H6638" s="1" t="str">
        <f>VLOOKUP(F6638,Countries!$A$1:$B$161,2,0)</f>
        <v>United States of America</v>
      </c>
    </row>
    <row r="6639" spans="1:8" x14ac:dyDescent="0.3">
      <c r="A6639" s="3">
        <v>46236.464988425927</v>
      </c>
      <c r="B6639" s="1">
        <v>6.37</v>
      </c>
      <c r="C6639" s="1">
        <v>5.52</v>
      </c>
      <c r="D6639" s="1">
        <v>0.54</v>
      </c>
      <c r="E6639" s="1" t="s">
        <v>113</v>
      </c>
      <c r="F6639" s="1" t="s">
        <v>113</v>
      </c>
      <c r="G6639" s="1" t="s">
        <v>113</v>
      </c>
      <c r="H6639" s="1" t="str">
        <f>VLOOKUP(F6639,Countries!$A$1:$B$161,2,0)</f>
        <v>United States of America</v>
      </c>
    </row>
    <row r="6640" spans="1:8" x14ac:dyDescent="0.3">
      <c r="A6640" s="3">
        <v>46236.459814814807</v>
      </c>
      <c r="B6640" s="1">
        <v>6.37</v>
      </c>
      <c r="C6640" s="1">
        <v>5.52</v>
      </c>
      <c r="D6640" s="1">
        <v>0.54</v>
      </c>
      <c r="E6640" s="1" t="s">
        <v>113</v>
      </c>
      <c r="F6640" s="1" t="s">
        <v>113</v>
      </c>
      <c r="G6640" s="1" t="s">
        <v>113</v>
      </c>
      <c r="H6640" s="1" t="str">
        <f>VLOOKUP(F6640,Countries!$A$1:$B$161,2,0)</f>
        <v>United States of America</v>
      </c>
    </row>
    <row r="6641" spans="1:8" x14ac:dyDescent="0.3">
      <c r="A6641" s="3">
        <v>46236.442569444444</v>
      </c>
      <c r="B6641" s="1">
        <v>15.43</v>
      </c>
      <c r="C6641" s="1">
        <v>13.38</v>
      </c>
      <c r="D6641" s="1">
        <v>0.95</v>
      </c>
      <c r="E6641" s="1" t="s">
        <v>130</v>
      </c>
      <c r="F6641" s="1" t="s">
        <v>130</v>
      </c>
      <c r="G6641" s="1" t="s">
        <v>130</v>
      </c>
      <c r="H6641" s="1" t="str">
        <f>VLOOKUP(F6641,Countries!$A$1:$B$161,2,0)</f>
        <v>Australia</v>
      </c>
    </row>
    <row r="6642" spans="1:8" x14ac:dyDescent="0.3">
      <c r="A6642" s="3">
        <v>46236.442048611112</v>
      </c>
      <c r="B6642" s="1">
        <v>7.58</v>
      </c>
      <c r="C6642" s="1">
        <v>6.57</v>
      </c>
      <c r="D6642" s="1">
        <v>0.48</v>
      </c>
      <c r="E6642" s="1" t="s">
        <v>113</v>
      </c>
      <c r="F6642" s="1" t="s">
        <v>113</v>
      </c>
      <c r="G6642" s="1" t="s">
        <v>113</v>
      </c>
      <c r="H6642" s="1" t="str">
        <f>VLOOKUP(F6642,Countries!$A$1:$B$161,2,0)</f>
        <v>United States of America</v>
      </c>
    </row>
    <row r="6643" spans="1:8" x14ac:dyDescent="0.3">
      <c r="A6643" s="3">
        <v>46236.430138888893</v>
      </c>
      <c r="B6643" s="1">
        <v>6.58</v>
      </c>
      <c r="C6643" s="1">
        <v>5.71</v>
      </c>
      <c r="D6643" s="1">
        <v>0.55000000000000004</v>
      </c>
      <c r="E6643" s="1" t="s">
        <v>113</v>
      </c>
      <c r="F6643" s="1" t="s">
        <v>113</v>
      </c>
      <c r="G6643" s="1" t="s">
        <v>113</v>
      </c>
      <c r="H6643" s="1" t="str">
        <f>VLOOKUP(F6643,Countries!$A$1:$B$161,2,0)</f>
        <v>United States of America</v>
      </c>
    </row>
    <row r="6644" spans="1:8" x14ac:dyDescent="0.3">
      <c r="A6644" s="3">
        <v>46236.42292824074</v>
      </c>
      <c r="B6644" s="1">
        <v>5.99</v>
      </c>
      <c r="C6644" s="1">
        <v>5.19</v>
      </c>
      <c r="D6644" s="1">
        <v>0.52</v>
      </c>
      <c r="E6644" s="1" t="s">
        <v>134</v>
      </c>
      <c r="F6644" s="1" t="s">
        <v>134</v>
      </c>
      <c r="G6644" s="1" t="s">
        <v>134</v>
      </c>
      <c r="H6644" s="1" t="str">
        <f>VLOOKUP(F6644,Countries!$A$1:$B$161,2,0)</f>
        <v>Hong Kong</v>
      </c>
    </row>
    <row r="6645" spans="1:8" x14ac:dyDescent="0.3">
      <c r="A6645" s="3">
        <v>46236.409050925933</v>
      </c>
      <c r="B6645" s="1">
        <v>6.37</v>
      </c>
      <c r="C6645" s="1">
        <v>5.52</v>
      </c>
      <c r="D6645" s="1">
        <v>0.54</v>
      </c>
      <c r="E6645" s="1" t="s">
        <v>113</v>
      </c>
      <c r="F6645" s="1" t="s">
        <v>113</v>
      </c>
      <c r="G6645" s="1" t="s">
        <v>113</v>
      </c>
      <c r="H6645" s="1" t="str">
        <f>VLOOKUP(F6645,Countries!$A$1:$B$161,2,0)</f>
        <v>United States of America</v>
      </c>
    </row>
    <row r="6646" spans="1:8" x14ac:dyDescent="0.3">
      <c r="A6646" s="3">
        <v>46236.393425925933</v>
      </c>
      <c r="B6646" s="1">
        <v>7.58</v>
      </c>
      <c r="C6646" s="1">
        <v>6.57</v>
      </c>
      <c r="D6646" s="1">
        <v>0.48</v>
      </c>
      <c r="E6646" s="1" t="s">
        <v>154</v>
      </c>
      <c r="F6646" s="1" t="s">
        <v>154</v>
      </c>
      <c r="G6646" s="1" t="s">
        <v>154</v>
      </c>
      <c r="H6646" s="1" t="str">
        <f>VLOOKUP(F6646,Countries!$A$1:$B$161,2,0)</f>
        <v>Belgium</v>
      </c>
    </row>
    <row r="6647" spans="1:8" x14ac:dyDescent="0.3">
      <c r="A6647" s="3">
        <v>46236.392777777779</v>
      </c>
      <c r="B6647" s="1">
        <v>84.94</v>
      </c>
      <c r="C6647" s="1">
        <v>73.650000000000006</v>
      </c>
      <c r="D6647" s="1">
        <v>4.1100000000000003</v>
      </c>
      <c r="E6647" s="1" t="s">
        <v>130</v>
      </c>
      <c r="F6647" s="1" t="s">
        <v>130</v>
      </c>
      <c r="G6647" s="1" t="s">
        <v>130</v>
      </c>
      <c r="H6647" s="1" t="str">
        <f>VLOOKUP(F6647,Countries!$A$1:$B$161,2,0)</f>
        <v>Australia</v>
      </c>
    </row>
    <row r="6648" spans="1:8" x14ac:dyDescent="0.3">
      <c r="A6648" s="3">
        <v>46236.390775462962</v>
      </c>
      <c r="B6648" s="1">
        <v>26.39</v>
      </c>
      <c r="C6648" s="1">
        <v>22.88</v>
      </c>
      <c r="D6648" s="1">
        <v>1.05</v>
      </c>
      <c r="E6648" s="1" t="s">
        <v>113</v>
      </c>
      <c r="F6648" s="1" t="s">
        <v>113</v>
      </c>
      <c r="G6648" s="1" t="s">
        <v>113</v>
      </c>
      <c r="H6648" s="1" t="str">
        <f>VLOOKUP(F6648,Countries!$A$1:$B$161,2,0)</f>
        <v>United States of America</v>
      </c>
    </row>
    <row r="6649" spans="1:8" x14ac:dyDescent="0.3">
      <c r="A6649" s="3">
        <v>46236.3903125</v>
      </c>
      <c r="B6649" s="1">
        <v>20.239999999999998</v>
      </c>
      <c r="C6649" s="1">
        <v>17.55</v>
      </c>
      <c r="D6649" s="1">
        <v>0.86</v>
      </c>
      <c r="E6649" s="1" t="s">
        <v>113</v>
      </c>
      <c r="F6649" s="1" t="s">
        <v>113</v>
      </c>
      <c r="G6649" s="1" t="s">
        <v>113</v>
      </c>
      <c r="H6649" s="1" t="str">
        <f>VLOOKUP(F6649,Countries!$A$1:$B$161,2,0)</f>
        <v>United States of America</v>
      </c>
    </row>
    <row r="6650" spans="1:8" x14ac:dyDescent="0.3">
      <c r="A6650" s="3">
        <v>46236.388553240737</v>
      </c>
      <c r="B6650" s="1">
        <v>47.87</v>
      </c>
      <c r="C6650" s="1">
        <v>41.51</v>
      </c>
      <c r="D6650" s="1">
        <v>2.4300000000000002</v>
      </c>
      <c r="E6650" s="1" t="s">
        <v>113</v>
      </c>
      <c r="F6650" s="1" t="s">
        <v>113</v>
      </c>
      <c r="G6650" s="1" t="s">
        <v>113</v>
      </c>
      <c r="H6650" s="1" t="str">
        <f>VLOOKUP(F6650,Countries!$A$1:$B$161,2,0)</f>
        <v>United States of America</v>
      </c>
    </row>
    <row r="6651" spans="1:8" x14ac:dyDescent="0.3">
      <c r="A6651" s="3">
        <v>46236.377395833333</v>
      </c>
      <c r="B6651" s="1">
        <v>14.77</v>
      </c>
      <c r="C6651" s="1">
        <v>12.81</v>
      </c>
      <c r="D6651" s="1">
        <v>0.93</v>
      </c>
      <c r="E6651" s="1" t="s">
        <v>113</v>
      </c>
      <c r="F6651" s="1" t="s">
        <v>113</v>
      </c>
      <c r="G6651" s="1" t="s">
        <v>113</v>
      </c>
      <c r="H6651" s="1" t="str">
        <f>VLOOKUP(F6651,Countries!$A$1:$B$161,2,0)</f>
        <v>United States of America</v>
      </c>
    </row>
    <row r="6652" spans="1:8" x14ac:dyDescent="0.3">
      <c r="A6652" s="3">
        <v>46236.376620370371</v>
      </c>
      <c r="B6652" s="1">
        <v>3.18</v>
      </c>
      <c r="C6652" s="1">
        <v>2.76</v>
      </c>
      <c r="D6652" s="1">
        <v>0.4</v>
      </c>
      <c r="E6652" s="1" t="s">
        <v>113</v>
      </c>
      <c r="F6652" s="1" t="s">
        <v>113</v>
      </c>
      <c r="G6652" s="1" t="s">
        <v>113</v>
      </c>
      <c r="H6652" s="1" t="str">
        <f>VLOOKUP(F6652,Countries!$A$1:$B$161,2,0)</f>
        <v>United States of America</v>
      </c>
    </row>
    <row r="6653" spans="1:8" x14ac:dyDescent="0.3">
      <c r="A6653" s="3">
        <v>46236.370335648149</v>
      </c>
      <c r="B6653" s="1">
        <v>2.99</v>
      </c>
      <c r="C6653" s="1">
        <v>2.59</v>
      </c>
      <c r="D6653" s="1">
        <v>0.38</v>
      </c>
      <c r="E6653" s="1" t="s">
        <v>209</v>
      </c>
      <c r="F6653" s="1" t="s">
        <v>127</v>
      </c>
      <c r="G6653" s="1" t="s">
        <v>127</v>
      </c>
      <c r="H6653" s="1" t="str">
        <f>VLOOKUP(F6653,Countries!$A$1:$B$161,2,0)</f>
        <v>Puerto Rico</v>
      </c>
    </row>
    <row r="6654" spans="1:8" x14ac:dyDescent="0.3">
      <c r="A6654" s="3">
        <v>46236.3674537037</v>
      </c>
      <c r="B6654" s="1">
        <v>7.48</v>
      </c>
      <c r="C6654" s="1">
        <v>6.49</v>
      </c>
      <c r="D6654" s="1">
        <v>0.54</v>
      </c>
      <c r="E6654" s="1" t="s">
        <v>119</v>
      </c>
      <c r="F6654" s="1" t="s">
        <v>119</v>
      </c>
      <c r="G6654" s="1" t="s">
        <v>119</v>
      </c>
      <c r="H6654" s="1" t="str">
        <f>VLOOKUP(F6654,Countries!$A$1:$B$161,2,0)</f>
        <v>Great Britain (United Kingdom)</v>
      </c>
    </row>
    <row r="6655" spans="1:8" x14ac:dyDescent="0.3">
      <c r="A6655" s="3">
        <v>46236.367013888892</v>
      </c>
      <c r="B6655" s="1">
        <v>7.98</v>
      </c>
      <c r="C6655" s="1">
        <v>6.92</v>
      </c>
      <c r="D6655" s="1">
        <v>0.49</v>
      </c>
      <c r="E6655" s="1" t="s">
        <v>178</v>
      </c>
      <c r="F6655" s="1" t="s">
        <v>178</v>
      </c>
      <c r="G6655" s="1" t="s">
        <v>178</v>
      </c>
      <c r="H6655" s="1" t="str">
        <f>VLOOKUP(F6655,Countries!$A$1:$B$161,2,0)</f>
        <v>Sweden</v>
      </c>
    </row>
    <row r="6656" spans="1:8" x14ac:dyDescent="0.3">
      <c r="A6656" s="3">
        <v>46236.366215277783</v>
      </c>
      <c r="B6656" s="1">
        <v>17.010000000000002</v>
      </c>
      <c r="C6656" s="1">
        <v>14.75</v>
      </c>
      <c r="D6656" s="1">
        <v>1.03</v>
      </c>
      <c r="E6656" s="1" t="s">
        <v>113</v>
      </c>
      <c r="F6656" s="1" t="s">
        <v>113</v>
      </c>
      <c r="G6656" s="1" t="s">
        <v>113</v>
      </c>
      <c r="H6656" s="1" t="str">
        <f>VLOOKUP(F6656,Countries!$A$1:$B$161,2,0)</f>
        <v>United States of America</v>
      </c>
    </row>
    <row r="6657" spans="1:8" x14ac:dyDescent="0.3">
      <c r="A6657" s="3">
        <v>46236.362442129634</v>
      </c>
      <c r="B6657" s="1">
        <v>14.78</v>
      </c>
      <c r="C6657" s="1">
        <v>12.82</v>
      </c>
      <c r="D6657" s="1">
        <v>0.93</v>
      </c>
      <c r="E6657" s="1" t="s">
        <v>113</v>
      </c>
      <c r="F6657" s="1" t="s">
        <v>113</v>
      </c>
      <c r="G6657" s="1" t="s">
        <v>113</v>
      </c>
      <c r="H6657" s="1" t="str">
        <f>VLOOKUP(F6657,Countries!$A$1:$B$161,2,0)</f>
        <v>United States of America</v>
      </c>
    </row>
    <row r="6658" spans="1:8" x14ac:dyDescent="0.3">
      <c r="A6658" s="3">
        <v>46236.360474537039</v>
      </c>
      <c r="B6658" s="1">
        <v>6.65</v>
      </c>
      <c r="C6658" s="1">
        <v>5.77</v>
      </c>
      <c r="D6658" s="1">
        <v>0.56000000000000005</v>
      </c>
      <c r="E6658" s="1" t="s">
        <v>130</v>
      </c>
      <c r="F6658" s="1" t="s">
        <v>130</v>
      </c>
      <c r="G6658" s="1" t="s">
        <v>130</v>
      </c>
      <c r="H6658" s="1" t="str">
        <f>VLOOKUP(F6658,Countries!$A$1:$B$161,2,0)</f>
        <v>Australia</v>
      </c>
    </row>
    <row r="6659" spans="1:8" x14ac:dyDescent="0.3">
      <c r="A6659" s="3">
        <v>46236.3596875</v>
      </c>
      <c r="B6659" s="1">
        <v>14.78</v>
      </c>
      <c r="C6659" s="1">
        <v>12.82</v>
      </c>
      <c r="D6659" s="1">
        <v>0.93</v>
      </c>
      <c r="E6659" s="1" t="s">
        <v>113</v>
      </c>
      <c r="F6659" s="1" t="s">
        <v>113</v>
      </c>
      <c r="G6659" s="1" t="s">
        <v>113</v>
      </c>
      <c r="H6659" s="1" t="str">
        <f>VLOOKUP(F6659,Countries!$A$1:$B$161,2,0)</f>
        <v>United States of America</v>
      </c>
    </row>
    <row r="6660" spans="1:8" x14ac:dyDescent="0.3">
      <c r="A6660" s="3">
        <v>46236.353356481479</v>
      </c>
      <c r="B6660" s="1">
        <v>2.48</v>
      </c>
      <c r="C6660" s="1">
        <v>2.15</v>
      </c>
      <c r="D6660" s="1">
        <v>0.34</v>
      </c>
      <c r="E6660" s="1" t="s">
        <v>119</v>
      </c>
      <c r="F6660" s="1" t="s">
        <v>119</v>
      </c>
      <c r="G6660" s="1" t="s">
        <v>119</v>
      </c>
      <c r="H6660" s="1" t="str">
        <f>VLOOKUP(F6660,Countries!$A$1:$B$161,2,0)</f>
        <v>Great Britain (United Kingdom)</v>
      </c>
    </row>
    <row r="6661" spans="1:8" x14ac:dyDescent="0.3">
      <c r="A6661" s="3">
        <v>46236.353125000001</v>
      </c>
      <c r="B6661" s="1">
        <v>10.62</v>
      </c>
      <c r="C6661" s="1">
        <v>9.2100000000000009</v>
      </c>
      <c r="D6661" s="1">
        <v>0.73</v>
      </c>
      <c r="E6661" s="1" t="s">
        <v>113</v>
      </c>
      <c r="F6661" s="1" t="s">
        <v>113</v>
      </c>
      <c r="G6661" s="1" t="s">
        <v>113</v>
      </c>
      <c r="H6661" s="1" t="str">
        <f>VLOOKUP(F6661,Countries!$A$1:$B$161,2,0)</f>
        <v>United States of America</v>
      </c>
    </row>
    <row r="6662" spans="1:8" x14ac:dyDescent="0.3">
      <c r="A6662" s="3">
        <v>46236.352210648147</v>
      </c>
      <c r="B6662" s="1">
        <v>6.37</v>
      </c>
      <c r="C6662" s="1">
        <v>5.52</v>
      </c>
      <c r="D6662" s="1">
        <v>0.54</v>
      </c>
      <c r="E6662" s="1" t="s">
        <v>147</v>
      </c>
      <c r="F6662" s="1" t="s">
        <v>113</v>
      </c>
      <c r="G6662" s="1" t="s">
        <v>113</v>
      </c>
      <c r="H6662" s="1" t="str">
        <f>VLOOKUP(F6662,Countries!$A$1:$B$161,2,0)</f>
        <v>United States of America</v>
      </c>
    </row>
    <row r="6663" spans="1:8" x14ac:dyDescent="0.3">
      <c r="A6663" s="3">
        <v>46236.349699074082</v>
      </c>
      <c r="B6663" s="1">
        <v>5.99</v>
      </c>
      <c r="C6663" s="1">
        <v>5.19</v>
      </c>
      <c r="D6663" s="1">
        <v>0.52</v>
      </c>
      <c r="E6663" s="1" t="s">
        <v>113</v>
      </c>
      <c r="F6663" s="1" t="s">
        <v>113</v>
      </c>
      <c r="G6663" s="1" t="s">
        <v>113</v>
      </c>
      <c r="H6663" s="1" t="str">
        <f>VLOOKUP(F6663,Countries!$A$1:$B$161,2,0)</f>
        <v>United States of America</v>
      </c>
    </row>
    <row r="6664" spans="1:8" x14ac:dyDescent="0.3">
      <c r="A6664" s="3">
        <v>46236.343854166669</v>
      </c>
      <c r="B6664" s="1">
        <v>6.65</v>
      </c>
      <c r="C6664" s="1">
        <v>5.77</v>
      </c>
      <c r="D6664" s="1">
        <v>0.56000000000000005</v>
      </c>
      <c r="E6664" s="1" t="s">
        <v>181</v>
      </c>
      <c r="F6664" s="1" t="s">
        <v>181</v>
      </c>
      <c r="G6664" s="1" t="s">
        <v>181</v>
      </c>
      <c r="H6664" s="1" t="str">
        <f>VLOOKUP(F6664,Countries!$A$1:$B$161,2,0)</f>
        <v>Mexico</v>
      </c>
    </row>
    <row r="6665" spans="1:8" x14ac:dyDescent="0.3">
      <c r="A6665" s="3">
        <v>46236.33834490741</v>
      </c>
      <c r="B6665" s="1">
        <v>6.37</v>
      </c>
      <c r="C6665" s="1">
        <v>5.52</v>
      </c>
      <c r="D6665" s="1">
        <v>0.54</v>
      </c>
      <c r="E6665" s="1" t="s">
        <v>113</v>
      </c>
      <c r="F6665" s="1" t="s">
        <v>113</v>
      </c>
      <c r="G6665" s="1" t="s">
        <v>113</v>
      </c>
      <c r="H6665" s="1" t="str">
        <f>VLOOKUP(F6665,Countries!$A$1:$B$161,2,0)</f>
        <v>United States of America</v>
      </c>
    </row>
    <row r="6666" spans="1:8" x14ac:dyDescent="0.3">
      <c r="A6666" s="3">
        <v>46236.337453703702</v>
      </c>
      <c r="B6666" s="1">
        <v>7.48</v>
      </c>
      <c r="C6666" s="1">
        <v>6.49</v>
      </c>
      <c r="D6666" s="1">
        <v>0.54</v>
      </c>
      <c r="E6666" s="1" t="s">
        <v>119</v>
      </c>
      <c r="F6666" s="1" t="s">
        <v>119</v>
      </c>
      <c r="G6666" s="1" t="s">
        <v>119</v>
      </c>
      <c r="H6666" s="1" t="str">
        <f>VLOOKUP(F6666,Countries!$A$1:$B$161,2,0)</f>
        <v>Great Britain (United Kingdom)</v>
      </c>
    </row>
    <row r="6667" spans="1:8" x14ac:dyDescent="0.3">
      <c r="A6667" s="3">
        <v>46236.328576388893</v>
      </c>
      <c r="B6667" s="1">
        <v>6.37</v>
      </c>
      <c r="C6667" s="1">
        <v>5.52</v>
      </c>
      <c r="D6667" s="1">
        <v>0.54</v>
      </c>
      <c r="E6667" s="1" t="s">
        <v>113</v>
      </c>
      <c r="F6667" s="1" t="s">
        <v>113</v>
      </c>
      <c r="G6667" s="1" t="s">
        <v>113</v>
      </c>
      <c r="H6667" s="1" t="str">
        <f>VLOOKUP(F6667,Countries!$A$1:$B$161,2,0)</f>
        <v>United States of America</v>
      </c>
    </row>
    <row r="6668" spans="1:8" x14ac:dyDescent="0.3">
      <c r="A6668" s="3">
        <v>46236.321273148147</v>
      </c>
      <c r="B6668" s="1">
        <v>7.04</v>
      </c>
      <c r="C6668" s="1">
        <v>6.1</v>
      </c>
      <c r="D6668" s="1">
        <v>0.56999999999999995</v>
      </c>
      <c r="E6668" s="1" t="s">
        <v>163</v>
      </c>
      <c r="F6668" s="1" t="s">
        <v>163</v>
      </c>
      <c r="G6668" s="1" t="s">
        <v>163</v>
      </c>
      <c r="H6668" s="1" t="str">
        <f>VLOOKUP(F6668,Countries!$A$1:$B$161,2,0)</f>
        <v>Saudi Arabia</v>
      </c>
    </row>
    <row r="6669" spans="1:8" x14ac:dyDescent="0.3">
      <c r="A6669" s="3">
        <v>46236.315358796302</v>
      </c>
      <c r="B6669" s="1">
        <v>2.11</v>
      </c>
      <c r="C6669" s="1">
        <v>1.83</v>
      </c>
      <c r="D6669" s="1">
        <v>0.35</v>
      </c>
      <c r="E6669" s="1" t="s">
        <v>113</v>
      </c>
      <c r="F6669" s="1" t="s">
        <v>113</v>
      </c>
      <c r="G6669" s="1" t="s">
        <v>113</v>
      </c>
      <c r="H6669" s="1" t="str">
        <f>VLOOKUP(F6669,Countries!$A$1:$B$161,2,0)</f>
        <v>United States of America</v>
      </c>
    </row>
    <row r="6670" spans="1:8" x14ac:dyDescent="0.3">
      <c r="A6670" s="3">
        <v>46236.313472222217</v>
      </c>
      <c r="B6670" s="1">
        <v>14.77</v>
      </c>
      <c r="C6670" s="1">
        <v>12.81</v>
      </c>
      <c r="D6670" s="1">
        <v>0.93</v>
      </c>
      <c r="E6670" s="1" t="s">
        <v>113</v>
      </c>
      <c r="F6670" s="1" t="s">
        <v>113</v>
      </c>
      <c r="G6670" s="1" t="s">
        <v>113</v>
      </c>
      <c r="H6670" s="1" t="str">
        <f>VLOOKUP(F6670,Countries!$A$1:$B$161,2,0)</f>
        <v>United States of America</v>
      </c>
    </row>
    <row r="6671" spans="1:8" x14ac:dyDescent="0.3">
      <c r="A6671" s="3">
        <v>46236.307118055563</v>
      </c>
      <c r="B6671" s="1">
        <v>6.37</v>
      </c>
      <c r="C6671" s="1">
        <v>5.52</v>
      </c>
      <c r="D6671" s="1">
        <v>0.54</v>
      </c>
      <c r="E6671" s="1" t="s">
        <v>113</v>
      </c>
      <c r="F6671" s="1" t="s">
        <v>113</v>
      </c>
      <c r="G6671" s="1" t="s">
        <v>113</v>
      </c>
      <c r="H6671" s="1" t="str">
        <f>VLOOKUP(F6671,Countries!$A$1:$B$161,2,0)</f>
        <v>United States of America</v>
      </c>
    </row>
    <row r="6672" spans="1:8" x14ac:dyDescent="0.3">
      <c r="A6672" s="3">
        <v>46236.295381944437</v>
      </c>
      <c r="B6672" s="1">
        <v>1.99</v>
      </c>
      <c r="C6672" s="1">
        <v>1.73</v>
      </c>
      <c r="D6672" s="1">
        <v>0.34</v>
      </c>
      <c r="E6672" s="1" t="s">
        <v>182</v>
      </c>
      <c r="F6672" s="1" t="s">
        <v>182</v>
      </c>
      <c r="G6672" s="1" t="s">
        <v>182</v>
      </c>
      <c r="H6672" s="1" t="str">
        <f>VLOOKUP(F6672,Countries!$A$1:$B$161,2,0)</f>
        <v>Guatemala</v>
      </c>
    </row>
    <row r="6673" spans="1:8" x14ac:dyDescent="0.3">
      <c r="A6673" s="3">
        <v>46236.292245370372</v>
      </c>
      <c r="B6673" s="1">
        <v>6.37</v>
      </c>
      <c r="C6673" s="1">
        <v>5.52</v>
      </c>
      <c r="D6673" s="1">
        <v>0.54</v>
      </c>
      <c r="E6673" s="1" t="s">
        <v>113</v>
      </c>
      <c r="F6673" s="1" t="s">
        <v>113</v>
      </c>
      <c r="G6673" s="1" t="s">
        <v>113</v>
      </c>
      <c r="H6673" s="1" t="str">
        <f>VLOOKUP(F6673,Countries!$A$1:$B$161,2,0)</f>
        <v>United States of America</v>
      </c>
    </row>
    <row r="6674" spans="1:8" x14ac:dyDescent="0.3">
      <c r="A6674" s="3">
        <v>46236.283460648148</v>
      </c>
      <c r="B6674" s="1">
        <v>63.18</v>
      </c>
      <c r="C6674" s="1">
        <v>54.78</v>
      </c>
      <c r="D6674" s="1">
        <v>2.17</v>
      </c>
      <c r="E6674" s="1" t="s">
        <v>137</v>
      </c>
      <c r="F6674" s="1" t="s">
        <v>137</v>
      </c>
      <c r="G6674" s="1" t="s">
        <v>137</v>
      </c>
      <c r="H6674" s="1" t="str">
        <f>VLOOKUP(F6674,Countries!$A$1:$B$161,2,0)</f>
        <v>Poland</v>
      </c>
    </row>
    <row r="6675" spans="1:8" x14ac:dyDescent="0.3">
      <c r="A6675" s="3">
        <v>46236.280763888892</v>
      </c>
      <c r="B6675" s="1">
        <v>11.1</v>
      </c>
      <c r="C6675" s="1">
        <v>9.6199999999999992</v>
      </c>
      <c r="D6675" s="1">
        <v>0.75</v>
      </c>
      <c r="E6675" s="1" t="s">
        <v>130</v>
      </c>
      <c r="F6675" s="1" t="s">
        <v>130</v>
      </c>
      <c r="G6675" s="1" t="s">
        <v>130</v>
      </c>
      <c r="H6675" s="1" t="str">
        <f>VLOOKUP(F6675,Countries!$A$1:$B$161,2,0)</f>
        <v>Australia</v>
      </c>
    </row>
    <row r="6676" spans="1:8" x14ac:dyDescent="0.3">
      <c r="A6676" s="3">
        <v>46236.275995370372</v>
      </c>
      <c r="B6676" s="1">
        <v>7.77</v>
      </c>
      <c r="C6676" s="1">
        <v>6.74</v>
      </c>
      <c r="D6676" s="1">
        <v>0.48</v>
      </c>
      <c r="E6676" s="1" t="s">
        <v>137</v>
      </c>
      <c r="F6676" s="1" t="s">
        <v>137</v>
      </c>
      <c r="G6676" s="1" t="s">
        <v>137</v>
      </c>
      <c r="H6676" s="1" t="str">
        <f>VLOOKUP(F6676,Countries!$A$1:$B$161,2,0)</f>
        <v>Poland</v>
      </c>
    </row>
    <row r="6677" spans="1:8" x14ac:dyDescent="0.3">
      <c r="A6677" s="3">
        <v>46236.275231481479</v>
      </c>
      <c r="B6677" s="1">
        <v>9.99</v>
      </c>
      <c r="C6677" s="1">
        <v>8.66</v>
      </c>
      <c r="D6677" s="1">
        <v>0.55000000000000004</v>
      </c>
      <c r="E6677" s="1" t="s">
        <v>137</v>
      </c>
      <c r="F6677" s="1" t="s">
        <v>137</v>
      </c>
      <c r="G6677" s="1" t="s">
        <v>137</v>
      </c>
      <c r="H6677" s="1" t="str">
        <f>VLOOKUP(F6677,Countries!$A$1:$B$161,2,0)</f>
        <v>Poland</v>
      </c>
    </row>
    <row r="6678" spans="1:8" x14ac:dyDescent="0.3">
      <c r="A6678" s="3">
        <v>46236.256423611107</v>
      </c>
      <c r="B6678" s="1">
        <v>2.11</v>
      </c>
      <c r="C6678" s="1">
        <v>1.83</v>
      </c>
      <c r="D6678" s="1">
        <v>0.35</v>
      </c>
      <c r="E6678" s="1" t="s">
        <v>113</v>
      </c>
      <c r="F6678" s="1" t="s">
        <v>113</v>
      </c>
      <c r="G6678" s="1" t="s">
        <v>113</v>
      </c>
      <c r="H6678" s="1" t="str">
        <f>VLOOKUP(F6678,Countries!$A$1:$B$161,2,0)</f>
        <v>United States of America</v>
      </c>
    </row>
    <row r="6679" spans="1:8" x14ac:dyDescent="0.3">
      <c r="A6679" s="3">
        <v>46236.237395833326</v>
      </c>
      <c r="B6679" s="1">
        <v>6.37</v>
      </c>
      <c r="C6679" s="1">
        <v>5.52</v>
      </c>
      <c r="D6679" s="1">
        <v>0.54</v>
      </c>
      <c r="E6679" s="1" t="s">
        <v>113</v>
      </c>
      <c r="F6679" s="1" t="s">
        <v>113</v>
      </c>
      <c r="G6679" s="1" t="s">
        <v>113</v>
      </c>
      <c r="H6679" s="1" t="str">
        <f>VLOOKUP(F6679,Countries!$A$1:$B$161,2,0)</f>
        <v>United States of America</v>
      </c>
    </row>
    <row r="6680" spans="1:8" x14ac:dyDescent="0.3">
      <c r="A6680" s="3">
        <v>46236.231307870366</v>
      </c>
      <c r="B6680" s="1">
        <v>47.87</v>
      </c>
      <c r="C6680" s="1">
        <v>41.5</v>
      </c>
      <c r="D6680" s="1">
        <v>2.4300000000000002</v>
      </c>
      <c r="E6680" s="1" t="s">
        <v>113</v>
      </c>
      <c r="F6680" s="1" t="s">
        <v>113</v>
      </c>
      <c r="G6680" s="1" t="s">
        <v>113</v>
      </c>
      <c r="H6680" s="1" t="str">
        <f>VLOOKUP(F6680,Countries!$A$1:$B$161,2,0)</f>
        <v>United States of America</v>
      </c>
    </row>
    <row r="6681" spans="1:8" x14ac:dyDescent="0.3">
      <c r="A6681" s="3">
        <v>46236.22797453704</v>
      </c>
      <c r="B6681" s="1">
        <v>6.37</v>
      </c>
      <c r="C6681" s="1">
        <v>5.52</v>
      </c>
      <c r="D6681" s="1">
        <v>0.54</v>
      </c>
      <c r="E6681" s="1" t="s">
        <v>113</v>
      </c>
      <c r="F6681" s="1" t="s">
        <v>113</v>
      </c>
      <c r="G6681" s="1" t="s">
        <v>113</v>
      </c>
      <c r="H6681" s="1" t="str">
        <f>VLOOKUP(F6681,Countries!$A$1:$B$161,2,0)</f>
        <v>United States of America</v>
      </c>
    </row>
    <row r="6682" spans="1:8" x14ac:dyDescent="0.3">
      <c r="A6682" s="3">
        <v>46236.226238425923</v>
      </c>
      <c r="B6682" s="1">
        <v>10.62</v>
      </c>
      <c r="C6682" s="1">
        <v>9.2100000000000009</v>
      </c>
      <c r="D6682" s="1">
        <v>0.73</v>
      </c>
      <c r="E6682" s="1" t="s">
        <v>113</v>
      </c>
      <c r="F6682" s="1" t="s">
        <v>113</v>
      </c>
      <c r="G6682" s="1" t="s">
        <v>113</v>
      </c>
      <c r="H6682" s="1" t="str">
        <f>VLOOKUP(F6682,Countries!$A$1:$B$161,2,0)</f>
        <v>United States of America</v>
      </c>
    </row>
    <row r="6683" spans="1:8" x14ac:dyDescent="0.3">
      <c r="A6683" s="3">
        <v>46236.220717592587</v>
      </c>
      <c r="B6683" s="1">
        <v>1.99</v>
      </c>
      <c r="C6683" s="1">
        <v>1.73</v>
      </c>
      <c r="D6683" s="1">
        <v>0.31</v>
      </c>
      <c r="E6683" s="1" t="s">
        <v>151</v>
      </c>
      <c r="F6683" s="1" t="s">
        <v>151</v>
      </c>
      <c r="G6683" s="1" t="s">
        <v>151</v>
      </c>
      <c r="H6683" s="1" t="str">
        <f>VLOOKUP(F6683,Countries!$A$1:$B$161,2,0)</f>
        <v>Netherlands (Holland)</v>
      </c>
    </row>
    <row r="6684" spans="1:8" x14ac:dyDescent="0.3">
      <c r="A6684" s="3">
        <v>46236.217083333337</v>
      </c>
      <c r="B6684" s="1">
        <v>26.59</v>
      </c>
      <c r="C6684" s="1">
        <v>23.05</v>
      </c>
      <c r="D6684" s="1">
        <v>1.46</v>
      </c>
      <c r="E6684" s="1" t="s">
        <v>113</v>
      </c>
      <c r="F6684" s="1" t="s">
        <v>113</v>
      </c>
      <c r="G6684" s="1" t="s">
        <v>113</v>
      </c>
      <c r="H6684" s="1" t="str">
        <f>VLOOKUP(F6684,Countries!$A$1:$B$161,2,0)</f>
        <v>United States of America</v>
      </c>
    </row>
    <row r="6685" spans="1:8" x14ac:dyDescent="0.3">
      <c r="A6685" s="3">
        <v>46236.21670138889</v>
      </c>
      <c r="B6685" s="1">
        <v>6.65</v>
      </c>
      <c r="C6685" s="1">
        <v>5.76</v>
      </c>
      <c r="D6685" s="1">
        <v>0.56000000000000005</v>
      </c>
      <c r="E6685" s="1" t="s">
        <v>121</v>
      </c>
      <c r="F6685" s="1" t="s">
        <v>121</v>
      </c>
      <c r="G6685" s="1" t="s">
        <v>121</v>
      </c>
      <c r="H6685" s="1" t="str">
        <f>VLOOKUP(F6685,Countries!$A$1:$B$161,2,0)</f>
        <v>Japan</v>
      </c>
    </row>
    <row r="6686" spans="1:8" x14ac:dyDescent="0.3">
      <c r="A6686" s="3">
        <v>46236.206388888888</v>
      </c>
      <c r="B6686" s="1">
        <v>6.65</v>
      </c>
      <c r="C6686" s="1">
        <v>5.76</v>
      </c>
      <c r="D6686" s="1">
        <v>0.56000000000000005</v>
      </c>
      <c r="E6686" s="1" t="s">
        <v>130</v>
      </c>
      <c r="F6686" s="1" t="s">
        <v>130</v>
      </c>
      <c r="G6686" s="1" t="s">
        <v>130</v>
      </c>
      <c r="H6686" s="1" t="str">
        <f>VLOOKUP(F6686,Countries!$A$1:$B$161,2,0)</f>
        <v>Australia</v>
      </c>
    </row>
    <row r="6687" spans="1:8" x14ac:dyDescent="0.3">
      <c r="A6687" s="3">
        <v>46236.190659722219</v>
      </c>
      <c r="B6687" s="1">
        <v>17.36</v>
      </c>
      <c r="C6687" s="1">
        <v>15.05</v>
      </c>
      <c r="D6687" s="1">
        <v>0.93</v>
      </c>
      <c r="E6687" s="1" t="s">
        <v>119</v>
      </c>
      <c r="F6687" s="1" t="s">
        <v>119</v>
      </c>
      <c r="G6687" s="1" t="s">
        <v>119</v>
      </c>
      <c r="H6687" s="1" t="str">
        <f>VLOOKUP(F6687,Countries!$A$1:$B$161,2,0)</f>
        <v>Great Britain (United Kingdom)</v>
      </c>
    </row>
    <row r="6688" spans="1:8" x14ac:dyDescent="0.3">
      <c r="A6688" s="3">
        <v>46236.18822916667</v>
      </c>
      <c r="B6688" s="1">
        <v>10.62</v>
      </c>
      <c r="C6688" s="1">
        <v>9.2100000000000009</v>
      </c>
      <c r="D6688" s="1">
        <v>0.73</v>
      </c>
      <c r="E6688" s="1" t="s">
        <v>113</v>
      </c>
      <c r="F6688" s="1" t="s">
        <v>113</v>
      </c>
      <c r="G6688" s="1" t="s">
        <v>113</v>
      </c>
      <c r="H6688" s="1" t="str">
        <f>VLOOKUP(F6688,Countries!$A$1:$B$161,2,0)</f>
        <v>United States of America</v>
      </c>
    </row>
    <row r="6689" spans="1:8" x14ac:dyDescent="0.3">
      <c r="A6689" s="3">
        <v>46236.188217592593</v>
      </c>
      <c r="B6689" s="1">
        <v>7.48</v>
      </c>
      <c r="C6689" s="1">
        <v>6.48</v>
      </c>
      <c r="D6689" s="1">
        <v>0.54</v>
      </c>
      <c r="E6689" s="1" t="s">
        <v>119</v>
      </c>
      <c r="F6689" s="1" t="s">
        <v>119</v>
      </c>
      <c r="G6689" s="1" t="s">
        <v>119</v>
      </c>
      <c r="H6689" s="1" t="str">
        <f>VLOOKUP(F6689,Countries!$A$1:$B$161,2,0)</f>
        <v>Great Britain (United Kingdom)</v>
      </c>
    </row>
    <row r="6690" spans="1:8" x14ac:dyDescent="0.3">
      <c r="A6690" s="3">
        <v>46236.184293981481</v>
      </c>
      <c r="B6690" s="1">
        <v>36.96</v>
      </c>
      <c r="C6690" s="1">
        <v>32.04</v>
      </c>
      <c r="D6690" s="1">
        <v>1.93</v>
      </c>
      <c r="E6690" s="1" t="s">
        <v>113</v>
      </c>
      <c r="F6690" s="1" t="s">
        <v>113</v>
      </c>
      <c r="G6690" s="1" t="s">
        <v>113</v>
      </c>
      <c r="H6690" s="1" t="str">
        <f>VLOOKUP(F6690,Countries!$A$1:$B$161,2,0)</f>
        <v>United States of America</v>
      </c>
    </row>
    <row r="6691" spans="1:8" x14ac:dyDescent="0.3">
      <c r="A6691" s="3">
        <v>46236.183553240742</v>
      </c>
      <c r="B6691" s="1">
        <v>6.37</v>
      </c>
      <c r="C6691" s="1">
        <v>5.52</v>
      </c>
      <c r="D6691" s="1">
        <v>0.54</v>
      </c>
      <c r="E6691" s="1" t="s">
        <v>113</v>
      </c>
      <c r="F6691" s="1" t="s">
        <v>113</v>
      </c>
      <c r="G6691" s="1" t="s">
        <v>113</v>
      </c>
      <c r="H6691" s="1" t="str">
        <f>VLOOKUP(F6691,Countries!$A$1:$B$161,2,0)</f>
        <v>United States of America</v>
      </c>
    </row>
    <row r="6692" spans="1:8" x14ac:dyDescent="0.3">
      <c r="A6692" s="3">
        <v>46236.181990740741</v>
      </c>
      <c r="B6692" s="1">
        <v>17.010000000000002</v>
      </c>
      <c r="C6692" s="1">
        <v>14.75</v>
      </c>
      <c r="D6692" s="1">
        <v>1.03</v>
      </c>
      <c r="E6692" s="1" t="s">
        <v>113</v>
      </c>
      <c r="F6692" s="1" t="s">
        <v>113</v>
      </c>
      <c r="G6692" s="1" t="s">
        <v>113</v>
      </c>
      <c r="H6692" s="1" t="str">
        <f>VLOOKUP(F6692,Countries!$A$1:$B$161,2,0)</f>
        <v>United States of America</v>
      </c>
    </row>
    <row r="6693" spans="1:8" x14ac:dyDescent="0.3">
      <c r="A6693" s="3">
        <v>46236.181527777779</v>
      </c>
      <c r="B6693" s="1">
        <v>6.37</v>
      </c>
      <c r="C6693" s="1">
        <v>5.52</v>
      </c>
      <c r="D6693" s="1">
        <v>0.54</v>
      </c>
      <c r="E6693" s="1" t="s">
        <v>113</v>
      </c>
      <c r="F6693" s="1" t="s">
        <v>113</v>
      </c>
      <c r="G6693" s="1" t="s">
        <v>113</v>
      </c>
      <c r="H6693" s="1" t="str">
        <f>VLOOKUP(F6693,Countries!$A$1:$B$161,2,0)</f>
        <v>United States of America</v>
      </c>
    </row>
    <row r="6694" spans="1:8" x14ac:dyDescent="0.3">
      <c r="A6694" s="3">
        <v>46236.181238425917</v>
      </c>
      <c r="B6694" s="1">
        <v>26.59</v>
      </c>
      <c r="C6694" s="1">
        <v>23.05</v>
      </c>
      <c r="D6694" s="1">
        <v>1.46</v>
      </c>
      <c r="E6694" s="1" t="s">
        <v>113</v>
      </c>
      <c r="F6694" s="1" t="s">
        <v>113</v>
      </c>
      <c r="G6694" s="1" t="s">
        <v>113</v>
      </c>
      <c r="H6694" s="1" t="str">
        <f>VLOOKUP(F6694,Countries!$A$1:$B$161,2,0)</f>
        <v>United States of America</v>
      </c>
    </row>
    <row r="6695" spans="1:8" x14ac:dyDescent="0.3">
      <c r="A6695" s="3">
        <v>46236.17597222222</v>
      </c>
      <c r="B6695" s="1">
        <v>7.48</v>
      </c>
      <c r="C6695" s="1">
        <v>6.48</v>
      </c>
      <c r="D6695" s="1">
        <v>0.54</v>
      </c>
      <c r="E6695" s="1" t="s">
        <v>119</v>
      </c>
      <c r="F6695" s="1" t="s">
        <v>119</v>
      </c>
      <c r="G6695" s="1" t="s">
        <v>119</v>
      </c>
      <c r="H6695" s="1" t="str">
        <f>VLOOKUP(F6695,Countries!$A$1:$B$161,2,0)</f>
        <v>Great Britain (United Kingdom)</v>
      </c>
    </row>
    <row r="6696" spans="1:8" x14ac:dyDescent="0.3">
      <c r="A6696" s="3">
        <v>46236.171712962961</v>
      </c>
      <c r="B6696" s="1">
        <v>23.16</v>
      </c>
      <c r="C6696" s="1">
        <v>20.079999999999998</v>
      </c>
      <c r="D6696" s="1">
        <v>1.3</v>
      </c>
      <c r="E6696" s="1" t="s">
        <v>221</v>
      </c>
      <c r="F6696" s="1" t="s">
        <v>221</v>
      </c>
      <c r="G6696" s="1" t="s">
        <v>221</v>
      </c>
      <c r="H6696" s="1" t="str">
        <f>VLOOKUP(F6696,Countries!$A$1:$B$161,2,0)</f>
        <v>Jordan</v>
      </c>
    </row>
    <row r="6697" spans="1:8" x14ac:dyDescent="0.3">
      <c r="A6697" s="3">
        <v>46236.168935185182</v>
      </c>
      <c r="B6697" s="1">
        <v>17.36</v>
      </c>
      <c r="C6697" s="1">
        <v>15.05</v>
      </c>
      <c r="D6697" s="1">
        <v>0.93</v>
      </c>
      <c r="E6697" s="1" t="s">
        <v>119</v>
      </c>
      <c r="F6697" s="1" t="s">
        <v>119</v>
      </c>
      <c r="G6697" s="1" t="s">
        <v>119</v>
      </c>
      <c r="H6697" s="1" t="str">
        <f>VLOOKUP(F6697,Countries!$A$1:$B$161,2,0)</f>
        <v>Great Britain (United Kingdom)</v>
      </c>
    </row>
    <row r="6698" spans="1:8" x14ac:dyDescent="0.3">
      <c r="A6698" s="3">
        <v>46236.165000000001</v>
      </c>
      <c r="B6698" s="1">
        <v>7.48</v>
      </c>
      <c r="C6698" s="1">
        <v>6.48</v>
      </c>
      <c r="D6698" s="1">
        <v>0.48</v>
      </c>
      <c r="E6698" s="1" t="s">
        <v>123</v>
      </c>
      <c r="F6698" s="1" t="s">
        <v>123</v>
      </c>
      <c r="G6698" s="1" t="s">
        <v>123</v>
      </c>
      <c r="H6698" s="1" t="str">
        <f>VLOOKUP(F6698,Countries!$A$1:$B$161,2,0)</f>
        <v>France</v>
      </c>
    </row>
    <row r="6699" spans="1:8" x14ac:dyDescent="0.3">
      <c r="A6699" s="3">
        <v>46236.1559837963</v>
      </c>
      <c r="B6699" s="1">
        <v>17.010000000000002</v>
      </c>
      <c r="C6699" s="1">
        <v>14.75</v>
      </c>
      <c r="D6699" s="1">
        <v>1.03</v>
      </c>
      <c r="E6699" s="1" t="s">
        <v>113</v>
      </c>
      <c r="F6699" s="1" t="s">
        <v>113</v>
      </c>
      <c r="G6699" s="1" t="s">
        <v>113</v>
      </c>
      <c r="H6699" s="1" t="str">
        <f>VLOOKUP(F6699,Countries!$A$1:$B$161,2,0)</f>
        <v>United States of America</v>
      </c>
    </row>
    <row r="6700" spans="1:8" x14ac:dyDescent="0.3">
      <c r="A6700" s="3">
        <v>46236.150601851848</v>
      </c>
      <c r="B6700" s="1">
        <v>61.65</v>
      </c>
      <c r="C6700" s="1">
        <v>53.44</v>
      </c>
      <c r="D6700" s="1">
        <v>3.06</v>
      </c>
      <c r="E6700" s="1" t="s">
        <v>130</v>
      </c>
      <c r="F6700" s="1" t="s">
        <v>130</v>
      </c>
      <c r="G6700" s="1" t="s">
        <v>130</v>
      </c>
      <c r="H6700" s="1" t="str">
        <f>VLOOKUP(F6700,Countries!$A$1:$B$161,2,0)</f>
        <v>Australia</v>
      </c>
    </row>
    <row r="6701" spans="1:8" x14ac:dyDescent="0.3">
      <c r="A6701" s="3">
        <v>46236.145787037043</v>
      </c>
      <c r="B6701" s="1">
        <v>2.11</v>
      </c>
      <c r="C6701" s="1">
        <v>1.83</v>
      </c>
      <c r="D6701" s="1">
        <v>0.35</v>
      </c>
      <c r="E6701" s="1" t="s">
        <v>113</v>
      </c>
      <c r="F6701" s="1" t="s">
        <v>113</v>
      </c>
      <c r="G6701" s="1" t="s">
        <v>113</v>
      </c>
      <c r="H6701" s="1" t="str">
        <f>VLOOKUP(F6701,Countries!$A$1:$B$161,2,0)</f>
        <v>United States of America</v>
      </c>
    </row>
    <row r="6702" spans="1:8" x14ac:dyDescent="0.3">
      <c r="A6702" s="3">
        <v>46236.130196759259</v>
      </c>
      <c r="B6702" s="1">
        <v>6.37</v>
      </c>
      <c r="C6702" s="1">
        <v>5.52</v>
      </c>
      <c r="D6702" s="1">
        <v>0.54</v>
      </c>
      <c r="E6702" s="1" t="s">
        <v>113</v>
      </c>
      <c r="F6702" s="1" t="s">
        <v>113</v>
      </c>
      <c r="G6702" s="1" t="s">
        <v>113</v>
      </c>
      <c r="H6702" s="1" t="str">
        <f>VLOOKUP(F6702,Countries!$A$1:$B$161,2,0)</f>
        <v>United States of America</v>
      </c>
    </row>
    <row r="6703" spans="1:8" x14ac:dyDescent="0.3">
      <c r="A6703" s="3">
        <v>46236.118032407408</v>
      </c>
      <c r="B6703" s="1">
        <v>17.010000000000002</v>
      </c>
      <c r="C6703" s="1">
        <v>14.75</v>
      </c>
      <c r="D6703" s="1">
        <v>1.03</v>
      </c>
      <c r="E6703" s="1" t="s">
        <v>113</v>
      </c>
      <c r="F6703" s="1" t="s">
        <v>113</v>
      </c>
      <c r="G6703" s="1" t="s">
        <v>113</v>
      </c>
      <c r="H6703" s="1" t="str">
        <f>VLOOKUP(F6703,Countries!$A$1:$B$161,2,0)</f>
        <v>United States of America</v>
      </c>
    </row>
    <row r="6704" spans="1:8" x14ac:dyDescent="0.3">
      <c r="A6704" s="3">
        <v>46236.115324074082</v>
      </c>
      <c r="B6704" s="1">
        <v>6.37</v>
      </c>
      <c r="C6704" s="1">
        <v>5.52</v>
      </c>
      <c r="D6704" s="1">
        <v>0.54</v>
      </c>
      <c r="E6704" s="1" t="s">
        <v>113</v>
      </c>
      <c r="F6704" s="1" t="s">
        <v>113</v>
      </c>
      <c r="G6704" s="1" t="s">
        <v>113</v>
      </c>
      <c r="H6704" s="1" t="str">
        <f>VLOOKUP(F6704,Countries!$A$1:$B$161,2,0)</f>
        <v>United States of America</v>
      </c>
    </row>
    <row r="6705" spans="1:8" x14ac:dyDescent="0.3">
      <c r="A6705" s="3">
        <v>46236.109525462962</v>
      </c>
      <c r="B6705" s="1">
        <v>7.48</v>
      </c>
      <c r="C6705" s="1">
        <v>6.48</v>
      </c>
      <c r="D6705" s="1">
        <v>0.48</v>
      </c>
      <c r="E6705" s="1" t="s">
        <v>123</v>
      </c>
      <c r="F6705" s="1" t="s">
        <v>123</v>
      </c>
      <c r="G6705" s="1" t="s">
        <v>123</v>
      </c>
      <c r="H6705" s="1" t="str">
        <f>VLOOKUP(F6705,Countries!$A$1:$B$161,2,0)</f>
        <v>France</v>
      </c>
    </row>
    <row r="6706" spans="1:8" x14ac:dyDescent="0.3">
      <c r="A6706" s="3">
        <v>46236.105451388888</v>
      </c>
      <c r="B6706" s="1">
        <v>17.010000000000002</v>
      </c>
      <c r="C6706" s="1">
        <v>14.75</v>
      </c>
      <c r="D6706" s="1">
        <v>1.03</v>
      </c>
      <c r="E6706" s="1" t="s">
        <v>113</v>
      </c>
      <c r="F6706" s="1" t="s">
        <v>113</v>
      </c>
      <c r="G6706" s="1" t="s">
        <v>113</v>
      </c>
      <c r="H6706" s="1" t="str">
        <f>VLOOKUP(F6706,Countries!$A$1:$B$161,2,0)</f>
        <v>United States of America</v>
      </c>
    </row>
    <row r="6707" spans="1:8" x14ac:dyDescent="0.3">
      <c r="A6707" s="3">
        <v>46236.097118055557</v>
      </c>
      <c r="B6707" s="1">
        <v>6.37</v>
      </c>
      <c r="C6707" s="1">
        <v>5.52</v>
      </c>
      <c r="D6707" s="1">
        <v>0.54</v>
      </c>
      <c r="E6707" s="1" t="s">
        <v>113</v>
      </c>
      <c r="F6707" s="1" t="s">
        <v>113</v>
      </c>
      <c r="G6707" s="1" t="s">
        <v>113</v>
      </c>
      <c r="H6707" s="1" t="str">
        <f>VLOOKUP(F6707,Countries!$A$1:$B$161,2,0)</f>
        <v>United States of America</v>
      </c>
    </row>
    <row r="6708" spans="1:8" x14ac:dyDescent="0.3">
      <c r="A6708" s="3">
        <v>46236.094074074077</v>
      </c>
      <c r="B6708" s="1">
        <v>7.48</v>
      </c>
      <c r="C6708" s="1">
        <v>6.48</v>
      </c>
      <c r="D6708" s="1">
        <v>0.54</v>
      </c>
      <c r="E6708" s="1" t="s">
        <v>119</v>
      </c>
      <c r="F6708" s="1" t="s">
        <v>119</v>
      </c>
      <c r="G6708" s="1" t="s">
        <v>119</v>
      </c>
      <c r="H6708" s="1" t="str">
        <f>VLOOKUP(F6708,Countries!$A$1:$B$161,2,0)</f>
        <v>Great Britain (United Kingdom)</v>
      </c>
    </row>
    <row r="6709" spans="1:8" x14ac:dyDescent="0.3">
      <c r="A6709" s="3">
        <v>46236.093645833331</v>
      </c>
      <c r="B6709" s="1">
        <v>1.99</v>
      </c>
      <c r="C6709" s="1">
        <v>1.73</v>
      </c>
      <c r="D6709" s="1">
        <v>0.31</v>
      </c>
      <c r="E6709" s="1" t="s">
        <v>116</v>
      </c>
      <c r="F6709" s="1" t="s">
        <v>116</v>
      </c>
      <c r="G6709" s="1" t="s">
        <v>116</v>
      </c>
      <c r="H6709" s="1" t="str">
        <f>VLOOKUP(F6709,Countries!$A$1:$B$161,2,0)</f>
        <v>Spain</v>
      </c>
    </row>
    <row r="6710" spans="1:8" x14ac:dyDescent="0.3">
      <c r="A6710" s="3">
        <v>46236.09097222222</v>
      </c>
      <c r="B6710" s="1">
        <v>7.58</v>
      </c>
      <c r="C6710" s="1">
        <v>6.57</v>
      </c>
      <c r="D6710" s="1">
        <v>0.48</v>
      </c>
      <c r="E6710" s="1" t="s">
        <v>116</v>
      </c>
      <c r="F6710" s="1" t="s">
        <v>116</v>
      </c>
      <c r="G6710" s="1" t="s">
        <v>116</v>
      </c>
      <c r="H6710" s="1" t="str">
        <f>VLOOKUP(F6710,Countries!$A$1:$B$161,2,0)</f>
        <v>Spain</v>
      </c>
    </row>
    <row r="6711" spans="1:8" x14ac:dyDescent="0.3">
      <c r="A6711" s="3">
        <v>46236.084108796298</v>
      </c>
      <c r="B6711" s="1">
        <v>84.94</v>
      </c>
      <c r="C6711" s="1">
        <v>73.64</v>
      </c>
      <c r="D6711" s="1">
        <v>4.1100000000000003</v>
      </c>
      <c r="E6711" s="1" t="s">
        <v>130</v>
      </c>
      <c r="F6711" s="1" t="s">
        <v>130</v>
      </c>
      <c r="G6711" s="1" t="s">
        <v>130</v>
      </c>
      <c r="H6711" s="1" t="str">
        <f>VLOOKUP(F6711,Countries!$A$1:$B$161,2,0)</f>
        <v>Australia</v>
      </c>
    </row>
    <row r="6712" spans="1:8" x14ac:dyDescent="0.3">
      <c r="A6712" s="3">
        <v>46236.077245370368</v>
      </c>
      <c r="B6712" s="1">
        <v>6.37</v>
      </c>
      <c r="C6712" s="1">
        <v>5.52</v>
      </c>
      <c r="D6712" s="1">
        <v>0.54</v>
      </c>
      <c r="E6712" s="1" t="s">
        <v>113</v>
      </c>
      <c r="F6712" s="1" t="s">
        <v>113</v>
      </c>
      <c r="G6712" s="1" t="s">
        <v>113</v>
      </c>
      <c r="H6712" s="1" t="str">
        <f>VLOOKUP(F6712,Countries!$A$1:$B$161,2,0)</f>
        <v>United States of America</v>
      </c>
    </row>
    <row r="6713" spans="1:8" x14ac:dyDescent="0.3">
      <c r="A6713" s="3">
        <v>46236.075277777767</v>
      </c>
      <c r="B6713" s="1">
        <v>6.37</v>
      </c>
      <c r="C6713" s="1">
        <v>5.52</v>
      </c>
      <c r="D6713" s="1">
        <v>0.44</v>
      </c>
      <c r="E6713" s="1" t="s">
        <v>116</v>
      </c>
      <c r="F6713" s="1" t="s">
        <v>116</v>
      </c>
      <c r="G6713" s="1" t="s">
        <v>116</v>
      </c>
      <c r="H6713" s="1" t="str">
        <f>VLOOKUP(F6713,Countries!$A$1:$B$161,2,0)</f>
        <v>Spain</v>
      </c>
    </row>
    <row r="6714" spans="1:8" x14ac:dyDescent="0.3">
      <c r="A6714" s="3">
        <v>46236.07402777778</v>
      </c>
      <c r="B6714" s="1">
        <v>6.37</v>
      </c>
      <c r="C6714" s="1">
        <v>5.52</v>
      </c>
      <c r="D6714" s="1">
        <v>0.54</v>
      </c>
      <c r="E6714" s="1" t="s">
        <v>113</v>
      </c>
      <c r="F6714" s="1" t="s">
        <v>113</v>
      </c>
      <c r="G6714" s="1" t="s">
        <v>113</v>
      </c>
      <c r="H6714" s="1" t="str">
        <f>VLOOKUP(F6714,Countries!$A$1:$B$161,2,0)</f>
        <v>United States of America</v>
      </c>
    </row>
    <row r="6715" spans="1:8" x14ac:dyDescent="0.3">
      <c r="A6715" s="3">
        <v>46236.066932870373</v>
      </c>
      <c r="B6715" s="1">
        <v>3.18</v>
      </c>
      <c r="C6715" s="1">
        <v>2.76</v>
      </c>
      <c r="D6715" s="1">
        <v>0.4</v>
      </c>
      <c r="E6715" s="1" t="s">
        <v>113</v>
      </c>
      <c r="F6715" s="1" t="s">
        <v>113</v>
      </c>
      <c r="G6715" s="1" t="s">
        <v>113</v>
      </c>
      <c r="H6715" s="1" t="str">
        <f>VLOOKUP(F6715,Countries!$A$1:$B$161,2,0)</f>
        <v>United States of America</v>
      </c>
    </row>
    <row r="6716" spans="1:8" x14ac:dyDescent="0.3">
      <c r="A6716" s="3">
        <v>46236.064282407409</v>
      </c>
      <c r="B6716" s="1">
        <v>5.99</v>
      </c>
      <c r="C6716" s="1">
        <v>5.19</v>
      </c>
      <c r="D6716" s="1">
        <v>0.52</v>
      </c>
      <c r="E6716" s="1" t="s">
        <v>135</v>
      </c>
      <c r="F6716" s="1" t="s">
        <v>135</v>
      </c>
      <c r="G6716" s="1" t="s">
        <v>135</v>
      </c>
      <c r="H6716" s="1" t="str">
        <f>VLOOKUP(F6716,Countries!$A$1:$B$161,2,0)</f>
        <v>Kuwait</v>
      </c>
    </row>
    <row r="6717" spans="1:8" x14ac:dyDescent="0.3">
      <c r="A6717" s="3">
        <v>46236.059502314813</v>
      </c>
      <c r="B6717" s="1">
        <v>7.48</v>
      </c>
      <c r="C6717" s="1">
        <v>6.48</v>
      </c>
      <c r="D6717" s="1">
        <v>0.48</v>
      </c>
      <c r="E6717" s="1" t="s">
        <v>123</v>
      </c>
      <c r="F6717" s="1" t="s">
        <v>123</v>
      </c>
      <c r="G6717" s="1" t="s">
        <v>123</v>
      </c>
      <c r="H6717" s="1" t="str">
        <f>VLOOKUP(F6717,Countries!$A$1:$B$161,2,0)</f>
        <v>France</v>
      </c>
    </row>
    <row r="6718" spans="1:8" x14ac:dyDescent="0.3">
      <c r="A6718" s="3">
        <v>46236.038715277777</v>
      </c>
      <c r="B6718" s="1">
        <v>6.37</v>
      </c>
      <c r="C6718" s="1">
        <v>5.52</v>
      </c>
      <c r="D6718" s="1">
        <v>0.54</v>
      </c>
      <c r="E6718" s="1" t="s">
        <v>113</v>
      </c>
      <c r="F6718" s="1" t="s">
        <v>113</v>
      </c>
      <c r="G6718" s="1" t="s">
        <v>113</v>
      </c>
      <c r="H6718" s="1" t="str">
        <f>VLOOKUP(F6718,Countries!$A$1:$B$161,2,0)</f>
        <v>United States of America</v>
      </c>
    </row>
    <row r="6719" spans="1:8" x14ac:dyDescent="0.3">
      <c r="A6719" s="3">
        <v>46236.037372685183</v>
      </c>
      <c r="B6719" s="1">
        <v>7.58</v>
      </c>
      <c r="C6719" s="1">
        <v>6.57</v>
      </c>
      <c r="D6719" s="1">
        <v>0.48</v>
      </c>
      <c r="E6719" s="1" t="s">
        <v>116</v>
      </c>
      <c r="F6719" s="1" t="s">
        <v>116</v>
      </c>
      <c r="G6719" s="1" t="s">
        <v>116</v>
      </c>
      <c r="H6719" s="1" t="str">
        <f>VLOOKUP(F6719,Countries!$A$1:$B$161,2,0)</f>
        <v>Spain</v>
      </c>
    </row>
    <row r="6720" spans="1:8" x14ac:dyDescent="0.3">
      <c r="A6720" s="3">
        <v>46236.036562499998</v>
      </c>
      <c r="B6720" s="1">
        <v>17.760000000000002</v>
      </c>
      <c r="C6720" s="1">
        <v>15.4</v>
      </c>
      <c r="D6720" s="1">
        <v>1.06</v>
      </c>
      <c r="E6720" s="1" t="s">
        <v>130</v>
      </c>
      <c r="F6720" s="1" t="s">
        <v>130</v>
      </c>
      <c r="G6720" s="1" t="s">
        <v>130</v>
      </c>
      <c r="H6720" s="1" t="str">
        <f>VLOOKUP(F6720,Countries!$A$1:$B$161,2,0)</f>
        <v>Australia</v>
      </c>
    </row>
    <row r="6721" spans="1:8" x14ac:dyDescent="0.3">
      <c r="A6721" s="3">
        <v>46236.030949074076</v>
      </c>
      <c r="B6721" s="1">
        <v>2.99</v>
      </c>
      <c r="C6721" s="1">
        <v>2.59</v>
      </c>
      <c r="D6721" s="1">
        <v>0.38</v>
      </c>
      <c r="E6721" s="1"/>
      <c r="F6721" s="1" t="s">
        <v>113</v>
      </c>
      <c r="G6721" s="1" t="s">
        <v>113</v>
      </c>
      <c r="H6721" s="1" t="str">
        <f>VLOOKUP(F6721,Countries!$A$1:$B$161,2,0)</f>
        <v>United States of America</v>
      </c>
    </row>
    <row r="6722" spans="1:8" x14ac:dyDescent="0.3">
      <c r="A6722" s="3">
        <v>46236.023101851853</v>
      </c>
      <c r="B6722" s="1">
        <v>7.48</v>
      </c>
      <c r="C6722" s="1">
        <v>6.48</v>
      </c>
      <c r="D6722" s="1">
        <v>0.48</v>
      </c>
      <c r="E6722" s="1" t="s">
        <v>123</v>
      </c>
      <c r="F6722" s="1" t="s">
        <v>123</v>
      </c>
      <c r="G6722" s="1" t="s">
        <v>123</v>
      </c>
      <c r="H6722" s="1" t="str">
        <f>VLOOKUP(F6722,Countries!$A$1:$B$161,2,0)</f>
        <v>France</v>
      </c>
    </row>
    <row r="6723" spans="1:8" x14ac:dyDescent="0.3">
      <c r="A6723" s="3">
        <v>46236.015717592592</v>
      </c>
      <c r="B6723" s="1">
        <v>3.18</v>
      </c>
      <c r="C6723" s="1">
        <v>2.76</v>
      </c>
      <c r="D6723" s="1">
        <v>0.4</v>
      </c>
      <c r="E6723" s="1" t="s">
        <v>113</v>
      </c>
      <c r="F6723" s="1" t="s">
        <v>113</v>
      </c>
      <c r="G6723" s="1" t="s">
        <v>113</v>
      </c>
      <c r="H6723" s="1" t="str">
        <f>VLOOKUP(F6723,Countries!$A$1:$B$161,2,0)</f>
        <v>United States of America</v>
      </c>
    </row>
    <row r="6724" spans="1:8" x14ac:dyDescent="0.3">
      <c r="A6724" s="3">
        <v>46236.012141203697</v>
      </c>
      <c r="B6724" s="1">
        <v>3.99</v>
      </c>
      <c r="C6724" s="1">
        <v>3.46</v>
      </c>
      <c r="D6724" s="1">
        <v>0.37</v>
      </c>
      <c r="E6724" s="1" t="s">
        <v>137</v>
      </c>
      <c r="F6724" s="1" t="s">
        <v>137</v>
      </c>
      <c r="G6724" s="1" t="s">
        <v>137</v>
      </c>
      <c r="H6724" s="1" t="str">
        <f>VLOOKUP(F6724,Countries!$A$1:$B$161,2,0)</f>
        <v>Poland</v>
      </c>
    </row>
    <row r="6725" spans="1:8" x14ac:dyDescent="0.3">
      <c r="A6725" s="3">
        <v>46236.009722222218</v>
      </c>
      <c r="B6725" s="1">
        <v>6.37</v>
      </c>
      <c r="C6725" s="1">
        <v>5.52</v>
      </c>
      <c r="D6725" s="1">
        <v>0.54</v>
      </c>
      <c r="E6725" s="1" t="s">
        <v>113</v>
      </c>
      <c r="F6725" s="1" t="s">
        <v>113</v>
      </c>
      <c r="G6725" s="1" t="s">
        <v>113</v>
      </c>
      <c r="H6725" s="1" t="str">
        <f>VLOOKUP(F6725,Countries!$A$1:$B$161,2,0)</f>
        <v>United States of America</v>
      </c>
    </row>
    <row r="6726" spans="1:8" x14ac:dyDescent="0.3">
      <c r="A6726" s="3">
        <v>46236.005520833343</v>
      </c>
      <c r="B6726" s="1">
        <v>14.77</v>
      </c>
      <c r="C6726" s="1">
        <v>12.8</v>
      </c>
      <c r="D6726" s="1">
        <v>0.93</v>
      </c>
      <c r="E6726" s="1" t="s">
        <v>113</v>
      </c>
      <c r="F6726" s="1" t="s">
        <v>113</v>
      </c>
      <c r="G6726" s="1" t="s">
        <v>113</v>
      </c>
      <c r="H6726" s="1" t="str">
        <f>VLOOKUP(F6726,Countries!$A$1:$B$161,2,0)</f>
        <v>United States of America</v>
      </c>
    </row>
    <row r="6727" spans="1:8" x14ac:dyDescent="0.3">
      <c r="A6727" s="3">
        <v>46235.981342592589</v>
      </c>
      <c r="B6727" s="1">
        <v>5.99</v>
      </c>
      <c r="C6727" s="1">
        <v>5.19</v>
      </c>
      <c r="D6727" s="1">
        <v>0.52</v>
      </c>
      <c r="E6727" s="1"/>
      <c r="F6727" s="1" t="s">
        <v>113</v>
      </c>
      <c r="G6727" s="1" t="s">
        <v>113</v>
      </c>
      <c r="H6727" s="1" t="str">
        <f>VLOOKUP(F6727,Countries!$A$1:$B$161,2,0)</f>
        <v>United States of America</v>
      </c>
    </row>
    <row r="6728" spans="1:8" x14ac:dyDescent="0.3">
      <c r="A6728" s="3">
        <v>46235.980057870373</v>
      </c>
      <c r="B6728" s="1">
        <v>9.99</v>
      </c>
      <c r="C6728" s="1">
        <v>8.66</v>
      </c>
      <c r="D6728" s="1">
        <v>0.7</v>
      </c>
      <c r="E6728" s="1" t="s">
        <v>210</v>
      </c>
      <c r="F6728" s="1" t="s">
        <v>210</v>
      </c>
      <c r="G6728" s="1" t="s">
        <v>210</v>
      </c>
      <c r="H6728" s="1" t="str">
        <f>VLOOKUP(F6728,Countries!$A$1:$B$161,2,0)</f>
        <v>Nicaragua</v>
      </c>
    </row>
    <row r="6729" spans="1:8" x14ac:dyDescent="0.3">
      <c r="A6729" s="3">
        <v>46235.977708333332</v>
      </c>
      <c r="B6729" s="1">
        <v>17.010000000000002</v>
      </c>
      <c r="C6729" s="1">
        <v>14.75</v>
      </c>
      <c r="D6729" s="1">
        <v>1.03</v>
      </c>
      <c r="E6729" s="1" t="s">
        <v>113</v>
      </c>
      <c r="F6729" s="1" t="s">
        <v>113</v>
      </c>
      <c r="G6729" s="1" t="s">
        <v>113</v>
      </c>
      <c r="H6729" s="1" t="str">
        <f>VLOOKUP(F6729,Countries!$A$1:$B$161,2,0)</f>
        <v>United States of America</v>
      </c>
    </row>
    <row r="6730" spans="1:8" x14ac:dyDescent="0.3">
      <c r="A6730" s="3">
        <v>46235.972083333327</v>
      </c>
      <c r="B6730" s="1">
        <v>2.99</v>
      </c>
      <c r="C6730" s="1">
        <v>2.59</v>
      </c>
      <c r="D6730" s="1">
        <v>0.38</v>
      </c>
      <c r="E6730" s="1" t="s">
        <v>113</v>
      </c>
      <c r="F6730" s="1" t="s">
        <v>113</v>
      </c>
      <c r="G6730" s="1" t="s">
        <v>113</v>
      </c>
      <c r="H6730" s="1" t="str">
        <f>VLOOKUP(F6730,Countries!$A$1:$B$161,2,0)</f>
        <v>United States of America</v>
      </c>
    </row>
    <row r="6731" spans="1:8" x14ac:dyDescent="0.3">
      <c r="A6731" s="3">
        <v>46235.967881944453</v>
      </c>
      <c r="B6731" s="1">
        <v>6.37</v>
      </c>
      <c r="C6731" s="1">
        <v>5.52</v>
      </c>
      <c r="D6731" s="1">
        <v>0.54</v>
      </c>
      <c r="E6731" s="1" t="s">
        <v>113</v>
      </c>
      <c r="F6731" s="1" t="s">
        <v>113</v>
      </c>
      <c r="G6731" s="1" t="s">
        <v>113</v>
      </c>
      <c r="H6731" s="1" t="str">
        <f>VLOOKUP(F6731,Countries!$A$1:$B$161,2,0)</f>
        <v>United States of America</v>
      </c>
    </row>
    <row r="6732" spans="1:8" x14ac:dyDescent="0.3">
      <c r="A6732" s="3">
        <v>46235.966840277782</v>
      </c>
      <c r="B6732" s="1">
        <v>6.37</v>
      </c>
      <c r="C6732" s="1">
        <v>5.52</v>
      </c>
      <c r="D6732" s="1">
        <v>0.54</v>
      </c>
      <c r="E6732" s="1" t="s">
        <v>113</v>
      </c>
      <c r="F6732" s="1" t="s">
        <v>113</v>
      </c>
      <c r="G6732" s="1" t="s">
        <v>113</v>
      </c>
      <c r="H6732" s="1" t="str">
        <f>VLOOKUP(F6732,Countries!$A$1:$B$161,2,0)</f>
        <v>United States of America</v>
      </c>
    </row>
    <row r="6733" spans="1:8" x14ac:dyDescent="0.3">
      <c r="A6733" s="3">
        <v>46235.964699074073</v>
      </c>
      <c r="B6733" s="1">
        <v>9.99</v>
      </c>
      <c r="C6733" s="1">
        <v>8.66</v>
      </c>
      <c r="D6733" s="1">
        <v>0.7</v>
      </c>
      <c r="E6733" s="1" t="s">
        <v>221</v>
      </c>
      <c r="F6733" s="1" t="s">
        <v>135</v>
      </c>
      <c r="G6733" s="1" t="s">
        <v>135</v>
      </c>
      <c r="H6733" s="1" t="str">
        <f>VLOOKUP(F6733,Countries!$A$1:$B$161,2,0)</f>
        <v>Kuwait</v>
      </c>
    </row>
    <row r="6734" spans="1:8" x14ac:dyDescent="0.3">
      <c r="A6734" s="3">
        <v>46235.964409722219</v>
      </c>
      <c r="B6734" s="1">
        <v>7.48</v>
      </c>
      <c r="C6734" s="1">
        <v>6.48</v>
      </c>
      <c r="D6734" s="1">
        <v>0.48</v>
      </c>
      <c r="E6734" s="1" t="s">
        <v>123</v>
      </c>
      <c r="F6734" s="1" t="s">
        <v>123</v>
      </c>
      <c r="G6734" s="1" t="s">
        <v>123</v>
      </c>
      <c r="H6734" s="1" t="str">
        <f>VLOOKUP(F6734,Countries!$A$1:$B$161,2,0)</f>
        <v>France</v>
      </c>
    </row>
    <row r="6735" spans="1:8" x14ac:dyDescent="0.3">
      <c r="A6735" s="3">
        <v>46235.964282407411</v>
      </c>
      <c r="B6735" s="1">
        <v>6.3</v>
      </c>
      <c r="C6735" s="1">
        <v>5.46</v>
      </c>
      <c r="D6735" s="1">
        <v>0.54</v>
      </c>
      <c r="E6735" s="1" t="s">
        <v>132</v>
      </c>
      <c r="F6735" s="1" t="s">
        <v>132</v>
      </c>
      <c r="G6735" s="1" t="s">
        <v>132</v>
      </c>
      <c r="H6735" s="1" t="str">
        <f>VLOOKUP(F6735,Countries!$A$1:$B$161,2,0)</f>
        <v>Canada</v>
      </c>
    </row>
    <row r="6736" spans="1:8" x14ac:dyDescent="0.3">
      <c r="A6736" s="3">
        <v>46235.961736111109</v>
      </c>
      <c r="B6736" s="1">
        <v>5.99</v>
      </c>
      <c r="C6736" s="1">
        <v>5.19</v>
      </c>
      <c r="D6736" s="1">
        <v>0.52</v>
      </c>
      <c r="E6736" s="1" t="s">
        <v>221</v>
      </c>
      <c r="F6736" s="1" t="s">
        <v>135</v>
      </c>
      <c r="G6736" s="1" t="s">
        <v>135</v>
      </c>
      <c r="H6736" s="1" t="str">
        <f>VLOOKUP(F6736,Countries!$A$1:$B$161,2,0)</f>
        <v>Kuwait</v>
      </c>
    </row>
    <row r="6737" spans="1:8" x14ac:dyDescent="0.3">
      <c r="A6737" s="3">
        <v>46235.959768518522</v>
      </c>
      <c r="B6737" s="1">
        <v>6.58</v>
      </c>
      <c r="C6737" s="1">
        <v>5.7</v>
      </c>
      <c r="D6737" s="1">
        <v>0.55000000000000004</v>
      </c>
      <c r="E6737" s="1" t="s">
        <v>152</v>
      </c>
      <c r="F6737" s="1" t="s">
        <v>152</v>
      </c>
      <c r="G6737" s="1" t="s">
        <v>152</v>
      </c>
      <c r="H6737" s="1" t="str">
        <f>VLOOKUP(F6737,Countries!$A$1:$B$161,2,0)</f>
        <v>Singapore</v>
      </c>
    </row>
    <row r="6738" spans="1:8" x14ac:dyDescent="0.3">
      <c r="A6738" s="3">
        <v>46235.955706018518</v>
      </c>
      <c r="B6738" s="1">
        <v>6.65</v>
      </c>
      <c r="C6738" s="1">
        <v>5.76</v>
      </c>
      <c r="D6738" s="1">
        <v>0.56000000000000005</v>
      </c>
      <c r="E6738" s="1" t="s">
        <v>130</v>
      </c>
      <c r="F6738" s="1" t="s">
        <v>130</v>
      </c>
      <c r="G6738" s="1" t="s">
        <v>130</v>
      </c>
      <c r="H6738" s="1" t="str">
        <f>VLOOKUP(F6738,Countries!$A$1:$B$161,2,0)</f>
        <v>Australia</v>
      </c>
    </row>
    <row r="6739" spans="1:8" x14ac:dyDescent="0.3">
      <c r="A6739" s="3">
        <v>46235.955659722233</v>
      </c>
      <c r="B6739" s="1">
        <v>7.48</v>
      </c>
      <c r="C6739" s="1">
        <v>6.48</v>
      </c>
      <c r="D6739" s="1">
        <v>0.48</v>
      </c>
      <c r="E6739" s="1" t="s">
        <v>123</v>
      </c>
      <c r="F6739" s="1" t="s">
        <v>123</v>
      </c>
      <c r="G6739" s="1" t="s">
        <v>123</v>
      </c>
      <c r="H6739" s="1" t="str">
        <f>VLOOKUP(F6739,Countries!$A$1:$B$161,2,0)</f>
        <v>France</v>
      </c>
    </row>
    <row r="6740" spans="1:8" x14ac:dyDescent="0.3">
      <c r="A6740" s="3">
        <v>46235.954560185193</v>
      </c>
      <c r="B6740" s="1">
        <v>17.36</v>
      </c>
      <c r="C6740" s="1">
        <v>15.05</v>
      </c>
      <c r="D6740" s="1">
        <v>0.93</v>
      </c>
      <c r="E6740" s="1" t="s">
        <v>119</v>
      </c>
      <c r="F6740" s="1" t="s">
        <v>119</v>
      </c>
      <c r="G6740" s="1" t="s">
        <v>119</v>
      </c>
      <c r="H6740" s="1" t="str">
        <f>VLOOKUP(F6740,Countries!$A$1:$B$161,2,0)</f>
        <v>Great Britain (United Kingdom)</v>
      </c>
    </row>
    <row r="6741" spans="1:8" x14ac:dyDescent="0.3">
      <c r="A6741" s="3">
        <v>46235.953784722216</v>
      </c>
      <c r="B6741" s="1">
        <v>2.21</v>
      </c>
      <c r="C6741" s="1">
        <v>1.92</v>
      </c>
      <c r="D6741" s="1">
        <v>0.35</v>
      </c>
      <c r="E6741" s="1" t="s">
        <v>130</v>
      </c>
      <c r="F6741" s="1" t="s">
        <v>130</v>
      </c>
      <c r="G6741" s="1" t="s">
        <v>130</v>
      </c>
      <c r="H6741" s="1" t="str">
        <f>VLOOKUP(F6741,Countries!$A$1:$B$161,2,0)</f>
        <v>Australia</v>
      </c>
    </row>
    <row r="6742" spans="1:8" x14ac:dyDescent="0.3">
      <c r="A6742" s="3">
        <v>46235.953750000001</v>
      </c>
      <c r="B6742" s="1">
        <v>6.37</v>
      </c>
      <c r="C6742" s="1">
        <v>5.52</v>
      </c>
      <c r="D6742" s="1">
        <v>0.54</v>
      </c>
      <c r="E6742" s="1" t="s">
        <v>113</v>
      </c>
      <c r="F6742" s="1" t="s">
        <v>113</v>
      </c>
      <c r="G6742" s="1" t="s">
        <v>113</v>
      </c>
      <c r="H6742" s="1" t="str">
        <f>VLOOKUP(F6742,Countries!$A$1:$B$161,2,0)</f>
        <v>United States of America</v>
      </c>
    </row>
    <row r="6743" spans="1:8" x14ac:dyDescent="0.3">
      <c r="A6743" s="3">
        <v>46235.952627314808</v>
      </c>
      <c r="B6743" s="1">
        <v>17.010000000000002</v>
      </c>
      <c r="C6743" s="1">
        <v>14.75</v>
      </c>
      <c r="D6743" s="1">
        <v>1.03</v>
      </c>
      <c r="E6743" s="1" t="s">
        <v>113</v>
      </c>
      <c r="F6743" s="1" t="s">
        <v>113</v>
      </c>
      <c r="G6743" s="1" t="s">
        <v>113</v>
      </c>
      <c r="H6743" s="1" t="str">
        <f>VLOOKUP(F6743,Countries!$A$1:$B$161,2,0)</f>
        <v>United States of America</v>
      </c>
    </row>
    <row r="6744" spans="1:8" x14ac:dyDescent="0.3">
      <c r="A6744" s="3">
        <v>46235.938344907408</v>
      </c>
      <c r="B6744" s="1">
        <v>1.99</v>
      </c>
      <c r="C6744" s="1">
        <v>1.73</v>
      </c>
      <c r="D6744" s="1">
        <v>0.34</v>
      </c>
      <c r="E6744" s="1" t="s">
        <v>210</v>
      </c>
      <c r="F6744" s="1" t="s">
        <v>210</v>
      </c>
      <c r="G6744" s="1" t="s">
        <v>210</v>
      </c>
      <c r="H6744" s="1" t="str">
        <f>VLOOKUP(F6744,Countries!$A$1:$B$161,2,0)</f>
        <v>Nicaragua</v>
      </c>
    </row>
    <row r="6745" spans="1:8" x14ac:dyDescent="0.3">
      <c r="A6745" s="3">
        <v>46235.937199074076</v>
      </c>
      <c r="B6745" s="1">
        <v>3.88</v>
      </c>
      <c r="C6745" s="1">
        <v>3.36</v>
      </c>
      <c r="D6745" s="1">
        <v>0.37</v>
      </c>
      <c r="E6745" s="1" t="s">
        <v>137</v>
      </c>
      <c r="F6745" s="1" t="s">
        <v>137</v>
      </c>
      <c r="G6745" s="1" t="s">
        <v>137</v>
      </c>
      <c r="H6745" s="1" t="str">
        <f>VLOOKUP(F6745,Countries!$A$1:$B$161,2,0)</f>
        <v>Poland</v>
      </c>
    </row>
    <row r="6746" spans="1:8" x14ac:dyDescent="0.3">
      <c r="A6746" s="3">
        <v>46235.928761574083</v>
      </c>
      <c r="B6746" s="1">
        <v>14.77</v>
      </c>
      <c r="C6746" s="1">
        <v>12.8</v>
      </c>
      <c r="D6746" s="1">
        <v>0.93</v>
      </c>
      <c r="E6746" s="1" t="s">
        <v>113</v>
      </c>
      <c r="F6746" s="1" t="s">
        <v>113</v>
      </c>
      <c r="G6746" s="1" t="s">
        <v>113</v>
      </c>
      <c r="H6746" s="1" t="str">
        <f>VLOOKUP(F6746,Countries!$A$1:$B$161,2,0)</f>
        <v>United States of America</v>
      </c>
    </row>
    <row r="6747" spans="1:8" x14ac:dyDescent="0.3">
      <c r="A6747" s="3">
        <v>46235.925092592603</v>
      </c>
      <c r="B6747" s="1">
        <v>15.43</v>
      </c>
      <c r="C6747" s="1">
        <v>13.38</v>
      </c>
      <c r="D6747" s="1">
        <v>0.95</v>
      </c>
      <c r="E6747" s="1" t="s">
        <v>130</v>
      </c>
      <c r="F6747" s="1" t="s">
        <v>130</v>
      </c>
      <c r="G6747" s="1" t="s">
        <v>130</v>
      </c>
      <c r="H6747" s="1" t="str">
        <f>VLOOKUP(F6747,Countries!$A$1:$B$161,2,0)</f>
        <v>Australia</v>
      </c>
    </row>
    <row r="6748" spans="1:8" x14ac:dyDescent="0.3">
      <c r="A6748" s="3">
        <v>46235.923020833332</v>
      </c>
      <c r="B6748" s="1">
        <v>14.78</v>
      </c>
      <c r="C6748" s="1">
        <v>12.81</v>
      </c>
      <c r="D6748" s="1">
        <v>0.93</v>
      </c>
      <c r="E6748" s="1" t="s">
        <v>113</v>
      </c>
      <c r="F6748" s="1" t="s">
        <v>113</v>
      </c>
      <c r="G6748" s="1" t="s">
        <v>113</v>
      </c>
      <c r="H6748" s="1" t="str">
        <f>VLOOKUP(F6748,Countries!$A$1:$B$161,2,0)</f>
        <v>United States of America</v>
      </c>
    </row>
    <row r="6749" spans="1:8" x14ac:dyDescent="0.3">
      <c r="A6749" s="3">
        <v>46235.920949074083</v>
      </c>
      <c r="B6749" s="1">
        <v>2.11</v>
      </c>
      <c r="C6749" s="1">
        <v>1.83</v>
      </c>
      <c r="D6749" s="1">
        <v>0.35</v>
      </c>
      <c r="E6749" s="1" t="s">
        <v>113</v>
      </c>
      <c r="F6749" s="1" t="s">
        <v>113</v>
      </c>
      <c r="G6749" s="1" t="s">
        <v>113</v>
      </c>
      <c r="H6749" s="1" t="str">
        <f>VLOOKUP(F6749,Countries!$A$1:$B$161,2,0)</f>
        <v>United States of America</v>
      </c>
    </row>
    <row r="6750" spans="1:8" x14ac:dyDescent="0.3">
      <c r="A6750" s="3">
        <v>46235.918009259258</v>
      </c>
      <c r="B6750" s="1">
        <v>15.43</v>
      </c>
      <c r="C6750" s="1">
        <v>13.38</v>
      </c>
      <c r="D6750" s="1">
        <v>0.95</v>
      </c>
      <c r="E6750" s="1" t="s">
        <v>130</v>
      </c>
      <c r="F6750" s="1" t="s">
        <v>130</v>
      </c>
      <c r="G6750" s="1" t="s">
        <v>130</v>
      </c>
      <c r="H6750" s="1" t="str">
        <f>VLOOKUP(F6750,Countries!$A$1:$B$161,2,0)</f>
        <v>Australia</v>
      </c>
    </row>
    <row r="6751" spans="1:8" x14ac:dyDescent="0.3">
      <c r="A6751" s="3">
        <v>46235.917013888888</v>
      </c>
      <c r="B6751" s="1">
        <v>3.14</v>
      </c>
      <c r="C6751" s="1">
        <v>2.72</v>
      </c>
      <c r="D6751" s="1">
        <v>0.39</v>
      </c>
      <c r="E6751" s="1" t="s">
        <v>132</v>
      </c>
      <c r="F6751" s="1" t="s">
        <v>132</v>
      </c>
      <c r="G6751" s="1" t="s">
        <v>132</v>
      </c>
      <c r="H6751" s="1" t="str">
        <f>VLOOKUP(F6751,Countries!$A$1:$B$161,2,0)</f>
        <v>Canada</v>
      </c>
    </row>
    <row r="6752" spans="1:8" x14ac:dyDescent="0.3">
      <c r="A6752" s="3">
        <v>46235.913101851853</v>
      </c>
      <c r="B6752" s="1">
        <v>10.85</v>
      </c>
      <c r="C6752" s="1">
        <v>9.41</v>
      </c>
      <c r="D6752" s="1">
        <v>0.75</v>
      </c>
      <c r="E6752" s="1" t="s">
        <v>115</v>
      </c>
      <c r="F6752" s="1" t="s">
        <v>115</v>
      </c>
      <c r="G6752" s="1" t="s">
        <v>115</v>
      </c>
      <c r="H6752" s="1" t="str">
        <f>VLOOKUP(F6752,Countries!$A$1:$B$161,2,0)</f>
        <v>Switzerland</v>
      </c>
    </row>
    <row r="6753" spans="1:8" x14ac:dyDescent="0.3">
      <c r="A6753" s="3">
        <v>46235.911886574067</v>
      </c>
      <c r="B6753" s="1">
        <v>14.77</v>
      </c>
      <c r="C6753" s="1">
        <v>12.8</v>
      </c>
      <c r="D6753" s="1">
        <v>0.93</v>
      </c>
      <c r="E6753" s="1" t="s">
        <v>113</v>
      </c>
      <c r="F6753" s="1" t="s">
        <v>113</v>
      </c>
      <c r="G6753" s="1" t="s">
        <v>113</v>
      </c>
      <c r="H6753" s="1" t="str">
        <f>VLOOKUP(F6753,Countries!$A$1:$B$161,2,0)</f>
        <v>United States of America</v>
      </c>
    </row>
    <row r="6754" spans="1:8" x14ac:dyDescent="0.3">
      <c r="A6754" s="3">
        <v>46235.89949074074</v>
      </c>
      <c r="B6754" s="1">
        <v>14.77</v>
      </c>
      <c r="C6754" s="1">
        <v>12.8</v>
      </c>
      <c r="D6754" s="1">
        <v>0.93</v>
      </c>
      <c r="E6754" s="1" t="s">
        <v>113</v>
      </c>
      <c r="F6754" s="1" t="s">
        <v>113</v>
      </c>
      <c r="G6754" s="1" t="s">
        <v>113</v>
      </c>
      <c r="H6754" s="1" t="str">
        <f>VLOOKUP(F6754,Countries!$A$1:$B$161,2,0)</f>
        <v>United States of America</v>
      </c>
    </row>
    <row r="6755" spans="1:8" x14ac:dyDescent="0.3">
      <c r="A6755" s="3">
        <v>46235.897997685177</v>
      </c>
      <c r="B6755" s="1">
        <v>6.37</v>
      </c>
      <c r="C6755" s="1">
        <v>5.52</v>
      </c>
      <c r="D6755" s="1">
        <v>0.54</v>
      </c>
      <c r="E6755" s="1" t="s">
        <v>113</v>
      </c>
      <c r="F6755" s="1" t="s">
        <v>113</v>
      </c>
      <c r="G6755" s="1" t="s">
        <v>113</v>
      </c>
      <c r="H6755" s="1" t="str">
        <f>VLOOKUP(F6755,Countries!$A$1:$B$161,2,0)</f>
        <v>United States of America</v>
      </c>
    </row>
    <row r="6756" spans="1:8" x14ac:dyDescent="0.3">
      <c r="A6756" s="3">
        <v>46235.894363425927</v>
      </c>
      <c r="B6756" s="1">
        <v>6.37</v>
      </c>
      <c r="C6756" s="1">
        <v>5.52</v>
      </c>
      <c r="D6756" s="1">
        <v>0.54</v>
      </c>
      <c r="E6756" s="1" t="s">
        <v>113</v>
      </c>
      <c r="F6756" s="1" t="s">
        <v>113</v>
      </c>
      <c r="G6756" s="1" t="s">
        <v>113</v>
      </c>
      <c r="H6756" s="1" t="str">
        <f>VLOOKUP(F6756,Countries!$A$1:$B$161,2,0)</f>
        <v>United States of America</v>
      </c>
    </row>
    <row r="6757" spans="1:8" x14ac:dyDescent="0.3">
      <c r="A6757" s="3">
        <v>46235.887766203698</v>
      </c>
      <c r="B6757" s="1">
        <v>59.03</v>
      </c>
      <c r="C6757" s="1">
        <v>51.17</v>
      </c>
      <c r="D6757" s="1">
        <v>2.93</v>
      </c>
      <c r="E6757" s="1" t="s">
        <v>113</v>
      </c>
      <c r="F6757" s="1" t="s">
        <v>113</v>
      </c>
      <c r="G6757" s="1" t="s">
        <v>113</v>
      </c>
      <c r="H6757" s="1" t="str">
        <f>VLOOKUP(F6757,Countries!$A$1:$B$161,2,0)</f>
        <v>United States of America</v>
      </c>
    </row>
    <row r="6758" spans="1:8" x14ac:dyDescent="0.3">
      <c r="A6758" s="3">
        <v>46235.878611111111</v>
      </c>
      <c r="B6758" s="1">
        <v>7.48</v>
      </c>
      <c r="C6758" s="1">
        <v>6.48</v>
      </c>
      <c r="D6758" s="1">
        <v>0.48</v>
      </c>
      <c r="E6758" s="1" t="s">
        <v>123</v>
      </c>
      <c r="F6758" s="1" t="s">
        <v>123</v>
      </c>
      <c r="G6758" s="1" t="s">
        <v>123</v>
      </c>
      <c r="H6758" s="1" t="str">
        <f>VLOOKUP(F6758,Countries!$A$1:$B$161,2,0)</f>
        <v>France</v>
      </c>
    </row>
    <row r="6759" spans="1:8" x14ac:dyDescent="0.3">
      <c r="A6759" s="3">
        <v>46235.876111111109</v>
      </c>
      <c r="B6759" s="1">
        <v>3.18</v>
      </c>
      <c r="C6759" s="1">
        <v>2.76</v>
      </c>
      <c r="D6759" s="1">
        <v>0.4</v>
      </c>
      <c r="E6759" s="1" t="s">
        <v>113</v>
      </c>
      <c r="F6759" s="1" t="s">
        <v>113</v>
      </c>
      <c r="G6759" s="1" t="s">
        <v>113</v>
      </c>
      <c r="H6759" s="1" t="str">
        <f>VLOOKUP(F6759,Countries!$A$1:$B$161,2,0)</f>
        <v>United States of America</v>
      </c>
    </row>
    <row r="6760" spans="1:8" x14ac:dyDescent="0.3">
      <c r="A6760" s="3">
        <v>46235.875787037039</v>
      </c>
      <c r="B6760" s="1">
        <v>7.48</v>
      </c>
      <c r="C6760" s="1">
        <v>6.48</v>
      </c>
      <c r="D6760" s="1">
        <v>0.48</v>
      </c>
      <c r="E6760" s="1" t="s">
        <v>123</v>
      </c>
      <c r="F6760" s="1" t="s">
        <v>123</v>
      </c>
      <c r="G6760" s="1" t="s">
        <v>123</v>
      </c>
      <c r="H6760" s="1" t="str">
        <f>VLOOKUP(F6760,Countries!$A$1:$B$161,2,0)</f>
        <v>France</v>
      </c>
    </row>
    <row r="6761" spans="1:8" x14ac:dyDescent="0.3">
      <c r="A6761" s="3">
        <v>46235.858078703714</v>
      </c>
      <c r="B6761" s="1">
        <v>42.9</v>
      </c>
      <c r="C6761" s="1">
        <v>37.19</v>
      </c>
      <c r="D6761" s="1">
        <v>1.55</v>
      </c>
      <c r="E6761" s="1" t="s">
        <v>147</v>
      </c>
      <c r="F6761" s="1" t="s">
        <v>147</v>
      </c>
      <c r="G6761" s="1" t="s">
        <v>147</v>
      </c>
      <c r="H6761" s="1" t="str">
        <f>VLOOKUP(F6761,Countries!$A$1:$B$161,2,0)</f>
        <v>Germany</v>
      </c>
    </row>
    <row r="6762" spans="1:8" x14ac:dyDescent="0.3">
      <c r="A6762" s="3">
        <v>46235.856435185182</v>
      </c>
      <c r="B6762" s="1">
        <v>6.65</v>
      </c>
      <c r="C6762" s="1">
        <v>5.76</v>
      </c>
      <c r="D6762" s="1">
        <v>0.56000000000000005</v>
      </c>
      <c r="E6762" s="1" t="s">
        <v>121</v>
      </c>
      <c r="F6762" s="1" t="s">
        <v>121</v>
      </c>
      <c r="G6762" s="1" t="s">
        <v>121</v>
      </c>
      <c r="H6762" s="1" t="str">
        <f>VLOOKUP(F6762,Countries!$A$1:$B$161,2,0)</f>
        <v>Japan</v>
      </c>
    </row>
    <row r="6763" spans="1:8" x14ac:dyDescent="0.3">
      <c r="A6763" s="3">
        <v>46235.852442129632</v>
      </c>
      <c r="B6763" s="1">
        <v>14.77</v>
      </c>
      <c r="C6763" s="1">
        <v>12.8</v>
      </c>
      <c r="D6763" s="1">
        <v>0.93</v>
      </c>
      <c r="E6763" s="1" t="s">
        <v>113</v>
      </c>
      <c r="F6763" s="1" t="s">
        <v>113</v>
      </c>
      <c r="G6763" s="1" t="s">
        <v>113</v>
      </c>
      <c r="H6763" s="1" t="str">
        <f>VLOOKUP(F6763,Countries!$A$1:$B$161,2,0)</f>
        <v>United States of America</v>
      </c>
    </row>
    <row r="6764" spans="1:8" x14ac:dyDescent="0.3">
      <c r="A6764" s="3">
        <v>46235.845775462964</v>
      </c>
      <c r="B6764" s="1">
        <v>14.77</v>
      </c>
      <c r="C6764" s="1">
        <v>12.8</v>
      </c>
      <c r="D6764" s="1">
        <v>0.93</v>
      </c>
      <c r="E6764" s="1" t="s">
        <v>113</v>
      </c>
      <c r="F6764" s="1" t="s">
        <v>113</v>
      </c>
      <c r="G6764" s="1" t="s">
        <v>113</v>
      </c>
      <c r="H6764" s="1" t="str">
        <f>VLOOKUP(F6764,Countries!$A$1:$B$161,2,0)</f>
        <v>United States of America</v>
      </c>
    </row>
    <row r="6765" spans="1:8" x14ac:dyDescent="0.3">
      <c r="A6765" s="3">
        <v>46235.842986111107</v>
      </c>
      <c r="B6765" s="1">
        <v>59.04</v>
      </c>
      <c r="C6765" s="1">
        <v>51.18</v>
      </c>
      <c r="D6765" s="1">
        <v>2.93</v>
      </c>
      <c r="E6765" s="1" t="s">
        <v>113</v>
      </c>
      <c r="F6765" s="1" t="s">
        <v>113</v>
      </c>
      <c r="G6765" s="1" t="s">
        <v>113</v>
      </c>
      <c r="H6765" s="1" t="str">
        <f>VLOOKUP(F6765,Countries!$A$1:$B$161,2,0)</f>
        <v>United States of America</v>
      </c>
    </row>
    <row r="6766" spans="1:8" x14ac:dyDescent="0.3">
      <c r="A6766" s="3">
        <v>46235.842731481483</v>
      </c>
      <c r="B6766" s="1">
        <v>14.77</v>
      </c>
      <c r="C6766" s="1">
        <v>12.8</v>
      </c>
      <c r="D6766" s="1">
        <v>0.93</v>
      </c>
      <c r="E6766" s="1" t="s">
        <v>113</v>
      </c>
      <c r="F6766" s="1" t="s">
        <v>113</v>
      </c>
      <c r="G6766" s="1" t="s">
        <v>113</v>
      </c>
      <c r="H6766" s="1" t="str">
        <f>VLOOKUP(F6766,Countries!$A$1:$B$161,2,0)</f>
        <v>United States of America</v>
      </c>
    </row>
    <row r="6767" spans="1:8" x14ac:dyDescent="0.3">
      <c r="A6767" s="3">
        <v>46235.839236111111</v>
      </c>
      <c r="B6767" s="1">
        <v>42.54</v>
      </c>
      <c r="C6767" s="1">
        <v>36.880000000000003</v>
      </c>
      <c r="D6767" s="1">
        <v>2.19</v>
      </c>
      <c r="E6767" s="1" t="s">
        <v>113</v>
      </c>
      <c r="F6767" s="1" t="s">
        <v>113</v>
      </c>
      <c r="G6767" s="1" t="s">
        <v>113</v>
      </c>
      <c r="H6767" s="1" t="str">
        <f>VLOOKUP(F6767,Countries!$A$1:$B$161,2,0)</f>
        <v>United States of America</v>
      </c>
    </row>
    <row r="6768" spans="1:8" x14ac:dyDescent="0.3">
      <c r="A6768" s="3">
        <v>46235.835590277777</v>
      </c>
      <c r="B6768" s="1">
        <v>2.99</v>
      </c>
      <c r="C6768" s="1">
        <v>2.59</v>
      </c>
      <c r="D6768" s="1">
        <v>0.34</v>
      </c>
      <c r="E6768" s="1" t="s">
        <v>120</v>
      </c>
      <c r="F6768" s="1" t="s">
        <v>120</v>
      </c>
      <c r="G6768" s="1" t="s">
        <v>120</v>
      </c>
      <c r="H6768" s="1" t="str">
        <f>VLOOKUP(F6768,Countries!$A$1:$B$161,2,0)</f>
        <v>Czech Republic</v>
      </c>
    </row>
    <row r="6769" spans="1:8" x14ac:dyDescent="0.3">
      <c r="A6769" s="3">
        <v>46235.835335648153</v>
      </c>
      <c r="B6769" s="1">
        <v>6.37</v>
      </c>
      <c r="C6769" s="1">
        <v>5.52</v>
      </c>
      <c r="D6769" s="1">
        <v>0.54</v>
      </c>
      <c r="E6769" s="1" t="s">
        <v>113</v>
      </c>
      <c r="F6769" s="1" t="s">
        <v>113</v>
      </c>
      <c r="G6769" s="1" t="s">
        <v>113</v>
      </c>
      <c r="H6769" s="1" t="str">
        <f>VLOOKUP(F6769,Countries!$A$1:$B$161,2,0)</f>
        <v>United States of America</v>
      </c>
    </row>
    <row r="6770" spans="1:8" x14ac:dyDescent="0.3">
      <c r="A6770" s="3">
        <v>46235.833981481483</v>
      </c>
      <c r="B6770" s="1">
        <v>6.65</v>
      </c>
      <c r="C6770" s="1">
        <v>5.76</v>
      </c>
      <c r="D6770" s="1">
        <v>0.56000000000000005</v>
      </c>
      <c r="E6770" s="1" t="s">
        <v>121</v>
      </c>
      <c r="F6770" s="1" t="s">
        <v>121</v>
      </c>
      <c r="G6770" s="1" t="s">
        <v>121</v>
      </c>
      <c r="H6770" s="1" t="str">
        <f>VLOOKUP(F6770,Countries!$A$1:$B$161,2,0)</f>
        <v>Japan</v>
      </c>
    </row>
    <row r="6771" spans="1:8" x14ac:dyDescent="0.3">
      <c r="A6771" s="3">
        <v>46235.83289351852</v>
      </c>
      <c r="B6771" s="1">
        <v>7.58</v>
      </c>
      <c r="C6771" s="1">
        <v>6.57</v>
      </c>
      <c r="D6771" s="1">
        <v>0.48</v>
      </c>
      <c r="E6771" s="1" t="s">
        <v>116</v>
      </c>
      <c r="F6771" s="1" t="s">
        <v>116</v>
      </c>
      <c r="G6771" s="1" t="s">
        <v>116</v>
      </c>
      <c r="H6771" s="1" t="str">
        <f>VLOOKUP(F6771,Countries!$A$1:$B$161,2,0)</f>
        <v>Spain</v>
      </c>
    </row>
    <row r="6772" spans="1:8" x14ac:dyDescent="0.3">
      <c r="A6772" s="3">
        <v>46235.830937500003</v>
      </c>
      <c r="B6772" s="1">
        <v>3.83</v>
      </c>
      <c r="C6772" s="1">
        <v>3.32</v>
      </c>
      <c r="D6772" s="1">
        <v>0.37</v>
      </c>
      <c r="E6772" s="1" t="s">
        <v>124</v>
      </c>
      <c r="F6772" s="1" t="s">
        <v>124</v>
      </c>
      <c r="G6772" s="1" t="s">
        <v>124</v>
      </c>
      <c r="H6772" s="1" t="str">
        <f>VLOOKUP(F6772,Countries!$A$1:$B$161,2,0)</f>
        <v>Italy</v>
      </c>
    </row>
    <row r="6773" spans="1:8" x14ac:dyDescent="0.3">
      <c r="A6773" s="3">
        <v>46235.822708333333</v>
      </c>
      <c r="B6773" s="1">
        <v>6.37</v>
      </c>
      <c r="C6773" s="1">
        <v>5.52</v>
      </c>
      <c r="D6773" s="1">
        <v>0.54</v>
      </c>
      <c r="E6773" s="1" t="s">
        <v>113</v>
      </c>
      <c r="F6773" s="1" t="s">
        <v>113</v>
      </c>
      <c r="G6773" s="1" t="s">
        <v>113</v>
      </c>
      <c r="H6773" s="1" t="str">
        <f>VLOOKUP(F6773,Countries!$A$1:$B$161,2,0)</f>
        <v>United States of America</v>
      </c>
    </row>
    <row r="6774" spans="1:8" x14ac:dyDescent="0.3">
      <c r="A6774" s="3">
        <v>46235.818726851852</v>
      </c>
      <c r="B6774" s="1">
        <v>1.99</v>
      </c>
      <c r="C6774" s="1">
        <v>1.73</v>
      </c>
      <c r="D6774" s="1">
        <v>0.34</v>
      </c>
      <c r="E6774" s="1" t="s">
        <v>113</v>
      </c>
      <c r="F6774" s="1" t="s">
        <v>113</v>
      </c>
      <c r="G6774" s="1" t="s">
        <v>113</v>
      </c>
      <c r="H6774" s="1" t="str">
        <f>VLOOKUP(F6774,Countries!$A$1:$B$161,2,0)</f>
        <v>United States of America</v>
      </c>
    </row>
    <row r="6775" spans="1:8" x14ac:dyDescent="0.3">
      <c r="A6775" s="3">
        <v>46235.812094907407</v>
      </c>
      <c r="B6775" s="1">
        <v>6.37</v>
      </c>
      <c r="C6775" s="1">
        <v>5.52</v>
      </c>
      <c r="D6775" s="1">
        <v>0.54</v>
      </c>
      <c r="E6775" s="1" t="s">
        <v>113</v>
      </c>
      <c r="F6775" s="1" t="s">
        <v>113</v>
      </c>
      <c r="G6775" s="1" t="s">
        <v>113</v>
      </c>
      <c r="H6775" s="1" t="str">
        <f>VLOOKUP(F6775,Countries!$A$1:$B$161,2,0)</f>
        <v>United States of America</v>
      </c>
    </row>
    <row r="6776" spans="1:8" x14ac:dyDescent="0.3">
      <c r="A6776" s="3">
        <v>46235.810648148137</v>
      </c>
      <c r="B6776" s="1">
        <v>69.36</v>
      </c>
      <c r="C6776" s="1">
        <v>60.13</v>
      </c>
      <c r="D6776" s="1">
        <v>2.95</v>
      </c>
      <c r="E6776" s="1" t="s">
        <v>119</v>
      </c>
      <c r="F6776" s="1" t="s">
        <v>119</v>
      </c>
      <c r="G6776" s="1" t="s">
        <v>119</v>
      </c>
      <c r="H6776" s="1" t="str">
        <f>VLOOKUP(F6776,Countries!$A$1:$B$161,2,0)</f>
        <v>Great Britain (United Kingdom)</v>
      </c>
    </row>
    <row r="6777" spans="1:8" x14ac:dyDescent="0.3">
      <c r="A6777" s="3">
        <v>46235.810115740736</v>
      </c>
      <c r="B6777" s="1">
        <v>3.69</v>
      </c>
      <c r="C6777" s="1">
        <v>3.2</v>
      </c>
      <c r="D6777" s="1">
        <v>0.36</v>
      </c>
      <c r="E6777" s="1" t="s">
        <v>159</v>
      </c>
      <c r="F6777" s="1" t="s">
        <v>159</v>
      </c>
      <c r="G6777" s="1" t="s">
        <v>159</v>
      </c>
      <c r="H6777" s="1" t="str">
        <f>VLOOKUP(F6777,Countries!$A$1:$B$161,2,0)</f>
        <v>Romania</v>
      </c>
    </row>
    <row r="6778" spans="1:8" x14ac:dyDescent="0.3">
      <c r="A6778" s="3">
        <v>46235.809837962966</v>
      </c>
      <c r="B6778" s="1">
        <v>7.04</v>
      </c>
      <c r="C6778" s="1">
        <v>6.1</v>
      </c>
      <c r="D6778" s="1">
        <v>0.56999999999999995</v>
      </c>
      <c r="E6778" s="1" t="s">
        <v>163</v>
      </c>
      <c r="F6778" s="1" t="s">
        <v>163</v>
      </c>
      <c r="G6778" s="1" t="s">
        <v>163</v>
      </c>
      <c r="H6778" s="1" t="str">
        <f>VLOOKUP(F6778,Countries!$A$1:$B$161,2,0)</f>
        <v>Saudi Arabia</v>
      </c>
    </row>
    <row r="6779" spans="1:8" x14ac:dyDescent="0.3">
      <c r="A6779" s="3">
        <v>46235.803113425929</v>
      </c>
      <c r="B6779" s="1">
        <v>7.58</v>
      </c>
      <c r="C6779" s="1">
        <v>6.57</v>
      </c>
      <c r="D6779" s="1">
        <v>0.48</v>
      </c>
      <c r="E6779" s="1" t="s">
        <v>154</v>
      </c>
      <c r="F6779" s="1" t="s">
        <v>154</v>
      </c>
      <c r="G6779" s="1" t="s">
        <v>154</v>
      </c>
      <c r="H6779" s="1" t="str">
        <f>VLOOKUP(F6779,Countries!$A$1:$B$161,2,0)</f>
        <v>Belgium</v>
      </c>
    </row>
    <row r="6780" spans="1:8" x14ac:dyDescent="0.3">
      <c r="A6780" s="3">
        <v>46235.791076388887</v>
      </c>
      <c r="B6780" s="1">
        <v>22.18</v>
      </c>
      <c r="C6780" s="1">
        <v>19.23</v>
      </c>
      <c r="D6780" s="1">
        <v>1.25</v>
      </c>
      <c r="E6780" s="1" t="s">
        <v>113</v>
      </c>
      <c r="F6780" s="1" t="s">
        <v>113</v>
      </c>
      <c r="G6780" s="1" t="s">
        <v>113</v>
      </c>
      <c r="H6780" s="1" t="str">
        <f>VLOOKUP(F6780,Countries!$A$1:$B$161,2,0)</f>
        <v>United States of America</v>
      </c>
    </row>
    <row r="6781" spans="1:8" x14ac:dyDescent="0.3">
      <c r="A6781" s="3">
        <v>46235.788530092592</v>
      </c>
      <c r="B6781" s="1">
        <v>14.77</v>
      </c>
      <c r="C6781" s="1">
        <v>12.8</v>
      </c>
      <c r="D6781" s="1">
        <v>0.93</v>
      </c>
      <c r="E6781" s="1" t="s">
        <v>113</v>
      </c>
      <c r="F6781" s="1" t="s">
        <v>113</v>
      </c>
      <c r="G6781" s="1" t="s">
        <v>113</v>
      </c>
      <c r="H6781" s="1" t="str">
        <f>VLOOKUP(F6781,Countries!$A$1:$B$161,2,0)</f>
        <v>United States of America</v>
      </c>
    </row>
    <row r="6782" spans="1:8" x14ac:dyDescent="0.3">
      <c r="A6782" s="3">
        <v>46235.780266203707</v>
      </c>
      <c r="B6782" s="1">
        <v>6.37</v>
      </c>
      <c r="C6782" s="1">
        <v>5.52</v>
      </c>
      <c r="D6782" s="1">
        <v>0.54</v>
      </c>
      <c r="E6782" s="1" t="s">
        <v>113</v>
      </c>
      <c r="F6782" s="1" t="s">
        <v>113</v>
      </c>
      <c r="G6782" s="1" t="s">
        <v>113</v>
      </c>
      <c r="H6782" s="1" t="str">
        <f>VLOOKUP(F6782,Countries!$A$1:$B$161,2,0)</f>
        <v>United States of America</v>
      </c>
    </row>
    <row r="6783" spans="1:8" x14ac:dyDescent="0.3">
      <c r="A6783" s="3">
        <v>46235.779317129629</v>
      </c>
      <c r="B6783" s="1">
        <v>11.75</v>
      </c>
      <c r="C6783" s="1">
        <v>10.19</v>
      </c>
      <c r="D6783" s="1">
        <v>0.78</v>
      </c>
      <c r="E6783" s="1" t="s">
        <v>160</v>
      </c>
      <c r="F6783" s="1" t="s">
        <v>160</v>
      </c>
      <c r="G6783" s="1" t="s">
        <v>160</v>
      </c>
      <c r="H6783" s="1" t="str">
        <f>VLOOKUP(F6783,Countries!$A$1:$B$161,2,0)</f>
        <v>New Zealand</v>
      </c>
    </row>
    <row r="6784" spans="1:8" x14ac:dyDescent="0.3">
      <c r="A6784" s="3">
        <v>46235.775196759263</v>
      </c>
      <c r="B6784" s="1">
        <v>10.62</v>
      </c>
      <c r="C6784" s="1">
        <v>9.2100000000000009</v>
      </c>
      <c r="D6784" s="1">
        <v>0.73</v>
      </c>
      <c r="E6784" s="1" t="s">
        <v>113</v>
      </c>
      <c r="F6784" s="1" t="s">
        <v>113</v>
      </c>
      <c r="G6784" s="1" t="s">
        <v>113</v>
      </c>
      <c r="H6784" s="1" t="str">
        <f>VLOOKUP(F6784,Countries!$A$1:$B$161,2,0)</f>
        <v>United States of America</v>
      </c>
    </row>
    <row r="6785" spans="1:8" x14ac:dyDescent="0.3">
      <c r="A6785" s="3">
        <v>46235.774247685193</v>
      </c>
      <c r="B6785" s="1">
        <v>13.89</v>
      </c>
      <c r="C6785" s="1">
        <v>12.04</v>
      </c>
      <c r="D6785" s="1">
        <v>0.88</v>
      </c>
      <c r="E6785" s="1" t="s">
        <v>205</v>
      </c>
      <c r="F6785" s="1" t="s">
        <v>205</v>
      </c>
      <c r="G6785" s="1" t="s">
        <v>205</v>
      </c>
      <c r="H6785" s="1" t="str">
        <f>VLOOKUP(F6785,Countries!$A$1:$B$161,2,0)</f>
        <v>Pakistan</v>
      </c>
    </row>
    <row r="6786" spans="1:8" x14ac:dyDescent="0.3">
      <c r="A6786" s="3">
        <v>46235.771724537037</v>
      </c>
      <c r="B6786" s="1">
        <v>59.03</v>
      </c>
      <c r="C6786" s="1">
        <v>51.17</v>
      </c>
      <c r="D6786" s="1">
        <v>2.93</v>
      </c>
      <c r="E6786" s="1" t="s">
        <v>113</v>
      </c>
      <c r="F6786" s="1" t="s">
        <v>113</v>
      </c>
      <c r="G6786" s="1" t="s">
        <v>113</v>
      </c>
      <c r="H6786" s="1" t="str">
        <f>VLOOKUP(F6786,Countries!$A$1:$B$161,2,0)</f>
        <v>United States of America</v>
      </c>
    </row>
    <row r="6787" spans="1:8" x14ac:dyDescent="0.3">
      <c r="A6787" s="3">
        <v>46235.770879629628</v>
      </c>
      <c r="B6787" s="1">
        <v>2.5099999999999998</v>
      </c>
      <c r="C6787" s="1">
        <v>2.1800000000000002</v>
      </c>
      <c r="D6787" s="1">
        <v>0.32</v>
      </c>
      <c r="E6787" s="1" t="s">
        <v>151</v>
      </c>
      <c r="F6787" s="1" t="s">
        <v>151</v>
      </c>
      <c r="G6787" s="1" t="s">
        <v>151</v>
      </c>
      <c r="H6787" s="1" t="str">
        <f>VLOOKUP(F6787,Countries!$A$1:$B$161,2,0)</f>
        <v>Netherlands (Holland)</v>
      </c>
    </row>
    <row r="6788" spans="1:8" x14ac:dyDescent="0.3">
      <c r="A6788" s="3">
        <v>46235.769328703696</v>
      </c>
      <c r="B6788" s="1">
        <v>1.99</v>
      </c>
      <c r="C6788" s="1">
        <v>1.73</v>
      </c>
      <c r="D6788" s="1">
        <v>0.34</v>
      </c>
      <c r="E6788" s="1" t="s">
        <v>202</v>
      </c>
      <c r="F6788" s="1" t="s">
        <v>202</v>
      </c>
      <c r="G6788" s="1" t="s">
        <v>202</v>
      </c>
      <c r="H6788" s="1" t="str">
        <f>VLOOKUP(F6788,Countries!$A$1:$B$161,2,0)</f>
        <v>Lebanon</v>
      </c>
    </row>
    <row r="6789" spans="1:8" x14ac:dyDescent="0.3">
      <c r="A6789" s="3">
        <v>46235.768101851849</v>
      </c>
      <c r="B6789" s="1">
        <v>7.04</v>
      </c>
      <c r="C6789" s="1">
        <v>6.1</v>
      </c>
      <c r="D6789" s="1">
        <v>0.56999999999999995</v>
      </c>
      <c r="E6789" s="1" t="s">
        <v>160</v>
      </c>
      <c r="F6789" s="1" t="s">
        <v>160</v>
      </c>
      <c r="G6789" s="1" t="s">
        <v>160</v>
      </c>
      <c r="H6789" s="1" t="str">
        <f>VLOOKUP(F6789,Countries!$A$1:$B$161,2,0)</f>
        <v>New Zealand</v>
      </c>
    </row>
    <row r="6790" spans="1:8" x14ac:dyDescent="0.3">
      <c r="A6790" s="3">
        <v>46235.756030092591</v>
      </c>
      <c r="B6790" s="1">
        <v>12.48</v>
      </c>
      <c r="C6790" s="1">
        <v>10.82</v>
      </c>
      <c r="D6790" s="1">
        <v>0.74</v>
      </c>
      <c r="E6790" s="1" t="s">
        <v>119</v>
      </c>
      <c r="F6790" s="1" t="s">
        <v>119</v>
      </c>
      <c r="G6790" s="1" t="s">
        <v>119</v>
      </c>
      <c r="H6790" s="1" t="str">
        <f>VLOOKUP(F6790,Countries!$A$1:$B$161,2,0)</f>
        <v>Great Britain (United Kingdom)</v>
      </c>
    </row>
    <row r="6791" spans="1:8" x14ac:dyDescent="0.3">
      <c r="A6791" s="3">
        <v>46235.750254629631</v>
      </c>
      <c r="B6791" s="1">
        <v>2.99</v>
      </c>
      <c r="C6791" s="1">
        <v>2.59</v>
      </c>
      <c r="D6791" s="1">
        <v>0.38</v>
      </c>
      <c r="E6791" s="1" t="s">
        <v>157</v>
      </c>
      <c r="F6791" s="1" t="s">
        <v>157</v>
      </c>
      <c r="G6791" s="1" t="s">
        <v>157</v>
      </c>
      <c r="H6791" s="1" t="str">
        <f>VLOOKUP(F6791,Countries!$A$1:$B$161,2,0)</f>
        <v>Costa Rica</v>
      </c>
    </row>
    <row r="6792" spans="1:8" x14ac:dyDescent="0.3">
      <c r="A6792" s="3">
        <v>46235.743715277778</v>
      </c>
      <c r="B6792" s="1">
        <v>6.37</v>
      </c>
      <c r="C6792" s="1">
        <v>5.52</v>
      </c>
      <c r="D6792" s="1">
        <v>0.54</v>
      </c>
      <c r="E6792" s="1" t="s">
        <v>113</v>
      </c>
      <c r="F6792" s="1" t="s">
        <v>113</v>
      </c>
      <c r="G6792" s="1" t="s">
        <v>113</v>
      </c>
      <c r="H6792" s="1" t="str">
        <f>VLOOKUP(F6792,Countries!$A$1:$B$161,2,0)</f>
        <v>United States of America</v>
      </c>
    </row>
    <row r="6793" spans="1:8" x14ac:dyDescent="0.3">
      <c r="A6793" s="3">
        <v>46235.741180555553</v>
      </c>
      <c r="B6793" s="1">
        <v>6.37</v>
      </c>
      <c r="C6793" s="1">
        <v>5.52</v>
      </c>
      <c r="D6793" s="1">
        <v>0.54</v>
      </c>
      <c r="E6793" s="1" t="s">
        <v>113</v>
      </c>
      <c r="F6793" s="1" t="s">
        <v>113</v>
      </c>
      <c r="G6793" s="1" t="s">
        <v>113</v>
      </c>
      <c r="H6793" s="1" t="str">
        <f>VLOOKUP(F6793,Countries!$A$1:$B$161,2,0)</f>
        <v>United States of America</v>
      </c>
    </row>
    <row r="6794" spans="1:8" x14ac:dyDescent="0.3">
      <c r="A6794" s="3">
        <v>46235.738564814812</v>
      </c>
      <c r="B6794" s="1">
        <v>6.37</v>
      </c>
      <c r="C6794" s="1">
        <v>5.52</v>
      </c>
      <c r="D6794" s="1">
        <v>0.54</v>
      </c>
      <c r="E6794" s="1" t="s">
        <v>113</v>
      </c>
      <c r="F6794" s="1" t="s">
        <v>113</v>
      </c>
      <c r="G6794" s="1" t="s">
        <v>113</v>
      </c>
      <c r="H6794" s="1" t="str">
        <f>VLOOKUP(F6794,Countries!$A$1:$B$161,2,0)</f>
        <v>United States of America</v>
      </c>
    </row>
    <row r="6795" spans="1:8" x14ac:dyDescent="0.3">
      <c r="A6795" s="3">
        <v>46235.737754629627</v>
      </c>
      <c r="B6795" s="1">
        <v>17.8</v>
      </c>
      <c r="C6795" s="1">
        <v>15.43</v>
      </c>
      <c r="D6795" s="1">
        <v>0.79</v>
      </c>
      <c r="E6795" s="1" t="s">
        <v>124</v>
      </c>
      <c r="F6795" s="1" t="s">
        <v>124</v>
      </c>
      <c r="G6795" s="1" t="s">
        <v>124</v>
      </c>
      <c r="H6795" s="1" t="str">
        <f>VLOOKUP(F6795,Countries!$A$1:$B$161,2,0)</f>
        <v>Italy</v>
      </c>
    </row>
    <row r="6796" spans="1:8" x14ac:dyDescent="0.3">
      <c r="A6796" s="3">
        <v>46235.737523148149</v>
      </c>
      <c r="B6796" s="1">
        <v>17.010000000000002</v>
      </c>
      <c r="C6796" s="1">
        <v>14.75</v>
      </c>
      <c r="D6796" s="1">
        <v>1.03</v>
      </c>
      <c r="E6796" s="1" t="s">
        <v>113</v>
      </c>
      <c r="F6796" s="1" t="s">
        <v>113</v>
      </c>
      <c r="G6796" s="1" t="s">
        <v>113</v>
      </c>
      <c r="H6796" s="1" t="str">
        <f>VLOOKUP(F6796,Countries!$A$1:$B$161,2,0)</f>
        <v>United States of America</v>
      </c>
    </row>
    <row r="6797" spans="1:8" x14ac:dyDescent="0.3">
      <c r="A6797" s="3">
        <v>46235.735150462962</v>
      </c>
      <c r="B6797" s="1">
        <v>7.48</v>
      </c>
      <c r="C6797" s="1">
        <v>6.48</v>
      </c>
      <c r="D6797" s="1">
        <v>0.48</v>
      </c>
      <c r="E6797" s="1" t="s">
        <v>123</v>
      </c>
      <c r="F6797" s="1" t="s">
        <v>123</v>
      </c>
      <c r="G6797" s="1" t="s">
        <v>123</v>
      </c>
      <c r="H6797" s="1" t="str">
        <f>VLOOKUP(F6797,Countries!$A$1:$B$161,2,0)</f>
        <v>France</v>
      </c>
    </row>
    <row r="6798" spans="1:8" x14ac:dyDescent="0.3">
      <c r="A6798" s="3">
        <v>46235.732465277782</v>
      </c>
      <c r="B6798" s="1">
        <v>6.37</v>
      </c>
      <c r="C6798" s="1">
        <v>5.52</v>
      </c>
      <c r="D6798" s="1">
        <v>0.54</v>
      </c>
      <c r="E6798" s="1" t="s">
        <v>113</v>
      </c>
      <c r="F6798" s="1" t="s">
        <v>113</v>
      </c>
      <c r="G6798" s="1" t="s">
        <v>113</v>
      </c>
      <c r="H6798" s="1" t="str">
        <f>VLOOKUP(F6798,Countries!$A$1:$B$161,2,0)</f>
        <v>United States of America</v>
      </c>
    </row>
    <row r="6799" spans="1:8" x14ac:dyDescent="0.3">
      <c r="A6799" s="3">
        <v>46235.731296296297</v>
      </c>
      <c r="B6799" s="1">
        <v>17.8</v>
      </c>
      <c r="C6799" s="1">
        <v>15.43</v>
      </c>
      <c r="D6799" s="1">
        <v>0.79</v>
      </c>
      <c r="E6799" s="1" t="s">
        <v>124</v>
      </c>
      <c r="F6799" s="1" t="s">
        <v>124</v>
      </c>
      <c r="G6799" s="1" t="s">
        <v>124</v>
      </c>
      <c r="H6799" s="1" t="str">
        <f>VLOOKUP(F6799,Countries!$A$1:$B$161,2,0)</f>
        <v>Italy</v>
      </c>
    </row>
    <row r="6800" spans="1:8" x14ac:dyDescent="0.3">
      <c r="A6800" s="3">
        <v>46235.730474537027</v>
      </c>
      <c r="B6800" s="1">
        <v>7.48</v>
      </c>
      <c r="C6800" s="1">
        <v>6.48</v>
      </c>
      <c r="D6800" s="1">
        <v>0.54</v>
      </c>
      <c r="E6800" s="1" t="s">
        <v>119</v>
      </c>
      <c r="F6800" s="1" t="s">
        <v>119</v>
      </c>
      <c r="G6800" s="1" t="s">
        <v>119</v>
      </c>
      <c r="H6800" s="1" t="str">
        <f>VLOOKUP(F6800,Countries!$A$1:$B$161,2,0)</f>
        <v>Great Britain (United Kingdom)</v>
      </c>
    </row>
    <row r="6801" spans="1:8" x14ac:dyDescent="0.3">
      <c r="A6801" s="3">
        <v>46235.71974537037</v>
      </c>
      <c r="B6801" s="1">
        <v>59.03</v>
      </c>
      <c r="C6801" s="1">
        <v>51.17</v>
      </c>
      <c r="D6801" s="1">
        <v>2.93</v>
      </c>
      <c r="E6801" s="1" t="s">
        <v>113</v>
      </c>
      <c r="F6801" s="1" t="s">
        <v>113</v>
      </c>
      <c r="G6801" s="1" t="s">
        <v>113</v>
      </c>
      <c r="H6801" s="1" t="str">
        <f>VLOOKUP(F6801,Countries!$A$1:$B$161,2,0)</f>
        <v>United States of America</v>
      </c>
    </row>
    <row r="6802" spans="1:8" x14ac:dyDescent="0.3">
      <c r="A6802" s="3">
        <v>46235.717615740738</v>
      </c>
      <c r="B6802" s="1">
        <v>7.67</v>
      </c>
      <c r="C6802" s="1">
        <v>6.65</v>
      </c>
      <c r="D6802" s="1">
        <v>0.48</v>
      </c>
      <c r="E6802" s="1" t="s">
        <v>124</v>
      </c>
      <c r="F6802" s="1" t="s">
        <v>124</v>
      </c>
      <c r="G6802" s="1" t="s">
        <v>124</v>
      </c>
      <c r="H6802" s="1" t="str">
        <f>VLOOKUP(F6802,Countries!$A$1:$B$161,2,0)</f>
        <v>Italy</v>
      </c>
    </row>
    <row r="6803" spans="1:8" x14ac:dyDescent="0.3">
      <c r="A6803" s="3">
        <v>46235.713020833333</v>
      </c>
      <c r="B6803" s="1">
        <v>17.8</v>
      </c>
      <c r="C6803" s="1">
        <v>15.43</v>
      </c>
      <c r="D6803" s="1">
        <v>0.79</v>
      </c>
      <c r="E6803" s="1" t="s">
        <v>124</v>
      </c>
      <c r="F6803" s="1" t="s">
        <v>124</v>
      </c>
      <c r="G6803" s="1" t="s">
        <v>124</v>
      </c>
      <c r="H6803" s="1" t="str">
        <f>VLOOKUP(F6803,Countries!$A$1:$B$161,2,0)</f>
        <v>Italy</v>
      </c>
    </row>
    <row r="6804" spans="1:8" x14ac:dyDescent="0.3">
      <c r="A6804" s="3">
        <v>46235.706979166673</v>
      </c>
      <c r="B6804" s="1">
        <v>14.77</v>
      </c>
      <c r="C6804" s="1">
        <v>12.8</v>
      </c>
      <c r="D6804" s="1">
        <v>0.93</v>
      </c>
      <c r="E6804" s="1" t="s">
        <v>113</v>
      </c>
      <c r="F6804" s="1" t="s">
        <v>113</v>
      </c>
      <c r="G6804" s="1" t="s">
        <v>113</v>
      </c>
      <c r="H6804" s="1" t="str">
        <f>VLOOKUP(F6804,Countries!$A$1:$B$161,2,0)</f>
        <v>United States of America</v>
      </c>
    </row>
    <row r="6805" spans="1:8" x14ac:dyDescent="0.3">
      <c r="A6805" s="3">
        <v>46235.706689814811</v>
      </c>
      <c r="B6805" s="1">
        <v>7.39</v>
      </c>
      <c r="C6805" s="1">
        <v>6.41</v>
      </c>
      <c r="D6805" s="1">
        <v>0.59</v>
      </c>
      <c r="E6805" s="1" t="s">
        <v>163</v>
      </c>
      <c r="F6805" s="1" t="s">
        <v>163</v>
      </c>
      <c r="G6805" s="1" t="s">
        <v>163</v>
      </c>
      <c r="H6805" s="1" t="str">
        <f>VLOOKUP(F6805,Countries!$A$1:$B$161,2,0)</f>
        <v>Saudi Arabia</v>
      </c>
    </row>
    <row r="6806" spans="1:8" x14ac:dyDescent="0.3">
      <c r="A6806" s="3">
        <v>46235.705150462964</v>
      </c>
      <c r="B6806" s="1">
        <v>17.8</v>
      </c>
      <c r="C6806" s="1">
        <v>15.43</v>
      </c>
      <c r="D6806" s="1">
        <v>0.79</v>
      </c>
      <c r="E6806" s="1" t="s">
        <v>124</v>
      </c>
      <c r="F6806" s="1" t="s">
        <v>124</v>
      </c>
      <c r="G6806" s="1" t="s">
        <v>124</v>
      </c>
      <c r="H6806" s="1" t="str">
        <f>VLOOKUP(F6806,Countries!$A$1:$B$161,2,0)</f>
        <v>Italy</v>
      </c>
    </row>
    <row r="6807" spans="1:8" x14ac:dyDescent="0.3">
      <c r="A6807" s="3">
        <v>46235.704027777778</v>
      </c>
      <c r="B6807" s="1">
        <v>23.16</v>
      </c>
      <c r="C6807" s="1">
        <v>20.079999999999998</v>
      </c>
      <c r="D6807" s="1">
        <v>1.3</v>
      </c>
      <c r="E6807" s="1" t="s">
        <v>130</v>
      </c>
      <c r="F6807" s="1" t="s">
        <v>130</v>
      </c>
      <c r="G6807" s="1" t="s">
        <v>130</v>
      </c>
      <c r="H6807" s="1" t="str">
        <f>VLOOKUP(F6807,Countries!$A$1:$B$161,2,0)</f>
        <v>Australia</v>
      </c>
    </row>
    <row r="6808" spans="1:8" x14ac:dyDescent="0.3">
      <c r="A6808" s="3">
        <v>46235.703796296293</v>
      </c>
      <c r="B6808" s="1">
        <v>10.85</v>
      </c>
      <c r="C6808" s="1">
        <v>9.41</v>
      </c>
      <c r="D6808" s="1">
        <v>0.75</v>
      </c>
      <c r="E6808" s="1" t="s">
        <v>115</v>
      </c>
      <c r="F6808" s="1" t="s">
        <v>115</v>
      </c>
      <c r="G6808" s="1" t="s">
        <v>115</v>
      </c>
      <c r="H6808" s="1" t="str">
        <f>VLOOKUP(F6808,Countries!$A$1:$B$161,2,0)</f>
        <v>Switzerland</v>
      </c>
    </row>
    <row r="6809" spans="1:8" x14ac:dyDescent="0.3">
      <c r="A6809" s="3">
        <v>46235.699444444443</v>
      </c>
      <c r="B6809" s="1">
        <v>6.37</v>
      </c>
      <c r="C6809" s="1">
        <v>5.52</v>
      </c>
      <c r="D6809" s="1">
        <v>0.54</v>
      </c>
      <c r="E6809" s="1" t="s">
        <v>113</v>
      </c>
      <c r="F6809" s="1" t="s">
        <v>113</v>
      </c>
      <c r="G6809" s="1" t="s">
        <v>113</v>
      </c>
      <c r="H6809" s="1" t="str">
        <f>VLOOKUP(F6809,Countries!$A$1:$B$161,2,0)</f>
        <v>United States of America</v>
      </c>
    </row>
    <row r="6810" spans="1:8" x14ac:dyDescent="0.3">
      <c r="A6810" s="3">
        <v>46235.695532407408</v>
      </c>
      <c r="B6810" s="1">
        <v>6.3</v>
      </c>
      <c r="C6810" s="1">
        <v>5.46</v>
      </c>
      <c r="D6810" s="1">
        <v>0.46</v>
      </c>
      <c r="E6810" s="1" t="s">
        <v>123</v>
      </c>
      <c r="F6810" s="1" t="s">
        <v>192</v>
      </c>
      <c r="G6810" s="1" t="s">
        <v>192</v>
      </c>
      <c r="H6810" s="1" t="str">
        <f>VLOOKUP(F6810,Countries!$A$1:$B$161,2,0)</f>
        <v>Lithuania</v>
      </c>
    </row>
    <row r="6811" spans="1:8" x14ac:dyDescent="0.3">
      <c r="A6811" s="3">
        <v>46235.694050925929</v>
      </c>
      <c r="B6811" s="1">
        <v>1.99</v>
      </c>
      <c r="C6811" s="1">
        <v>1.73</v>
      </c>
      <c r="D6811" s="1">
        <v>0.34</v>
      </c>
      <c r="E6811" s="1" t="s">
        <v>113</v>
      </c>
      <c r="F6811" s="1" t="s">
        <v>113</v>
      </c>
      <c r="G6811" s="1" t="s">
        <v>113</v>
      </c>
      <c r="H6811" s="1" t="str">
        <f>VLOOKUP(F6811,Countries!$A$1:$B$161,2,0)</f>
        <v>United States of America</v>
      </c>
    </row>
    <row r="6812" spans="1:8" x14ac:dyDescent="0.3">
      <c r="A6812" s="3">
        <v>46235.692280092589</v>
      </c>
      <c r="B6812" s="1">
        <v>14.77</v>
      </c>
      <c r="C6812" s="1">
        <v>12.8</v>
      </c>
      <c r="D6812" s="1">
        <v>0.93</v>
      </c>
      <c r="E6812" s="1" t="s">
        <v>113</v>
      </c>
      <c r="F6812" s="1" t="s">
        <v>113</v>
      </c>
      <c r="G6812" s="1" t="s">
        <v>113</v>
      </c>
      <c r="H6812" s="1" t="str">
        <f>VLOOKUP(F6812,Countries!$A$1:$B$161,2,0)</f>
        <v>United States of America</v>
      </c>
    </row>
    <row r="6813" spans="1:8" x14ac:dyDescent="0.3">
      <c r="A6813" s="3">
        <v>46235.689976851849</v>
      </c>
      <c r="B6813" s="1">
        <v>6.37</v>
      </c>
      <c r="C6813" s="1">
        <v>5.52</v>
      </c>
      <c r="D6813" s="1">
        <v>0.54</v>
      </c>
      <c r="E6813" s="1" t="s">
        <v>113</v>
      </c>
      <c r="F6813" s="1" t="s">
        <v>113</v>
      </c>
      <c r="G6813" s="1" t="s">
        <v>113</v>
      </c>
      <c r="H6813" s="1" t="str">
        <f>VLOOKUP(F6813,Countries!$A$1:$B$161,2,0)</f>
        <v>United States of America</v>
      </c>
    </row>
    <row r="6814" spans="1:8" x14ac:dyDescent="0.3">
      <c r="A6814" s="3">
        <v>46235.689247685194</v>
      </c>
      <c r="B6814" s="1">
        <v>6.37</v>
      </c>
      <c r="C6814" s="1">
        <v>5.52</v>
      </c>
      <c r="D6814" s="1">
        <v>0.54</v>
      </c>
      <c r="E6814" s="1" t="s">
        <v>113</v>
      </c>
      <c r="F6814" s="1" t="s">
        <v>113</v>
      </c>
      <c r="G6814" s="1" t="s">
        <v>113</v>
      </c>
      <c r="H6814" s="1" t="str">
        <f>VLOOKUP(F6814,Countries!$A$1:$B$161,2,0)</f>
        <v>United States of America</v>
      </c>
    </row>
    <row r="6815" spans="1:8" x14ac:dyDescent="0.3">
      <c r="A6815" s="3">
        <v>46235.687905092593</v>
      </c>
      <c r="B6815" s="1">
        <v>11.1</v>
      </c>
      <c r="C6815" s="1">
        <v>9.6199999999999992</v>
      </c>
      <c r="D6815" s="1">
        <v>0.75</v>
      </c>
      <c r="E6815" s="1" t="s">
        <v>130</v>
      </c>
      <c r="F6815" s="1" t="s">
        <v>130</v>
      </c>
      <c r="G6815" s="1" t="s">
        <v>130</v>
      </c>
      <c r="H6815" s="1" t="str">
        <f>VLOOKUP(F6815,Countries!$A$1:$B$161,2,0)</f>
        <v>Australia</v>
      </c>
    </row>
    <row r="6816" spans="1:8" x14ac:dyDescent="0.3">
      <c r="A6816" s="3">
        <v>46235.680497685193</v>
      </c>
      <c r="B6816" s="1">
        <v>14.78</v>
      </c>
      <c r="C6816" s="1">
        <v>12.81</v>
      </c>
      <c r="D6816" s="1">
        <v>0.93</v>
      </c>
      <c r="E6816" s="1" t="s">
        <v>113</v>
      </c>
      <c r="F6816" s="1" t="s">
        <v>113</v>
      </c>
      <c r="G6816" s="1" t="s">
        <v>113</v>
      </c>
      <c r="H6816" s="1" t="str">
        <f>VLOOKUP(F6816,Countries!$A$1:$B$161,2,0)</f>
        <v>United States of America</v>
      </c>
    </row>
    <row r="6817" spans="1:8" x14ac:dyDescent="0.3">
      <c r="A6817" s="3">
        <v>46235.676874999997</v>
      </c>
      <c r="B6817" s="1">
        <v>34.32</v>
      </c>
      <c r="C6817" s="1">
        <v>29.75</v>
      </c>
      <c r="D6817" s="1">
        <v>1.3</v>
      </c>
      <c r="E6817" s="1" t="s">
        <v>147</v>
      </c>
      <c r="F6817" s="1" t="s">
        <v>147</v>
      </c>
      <c r="G6817" s="1" t="s">
        <v>147</v>
      </c>
      <c r="H6817" s="1" t="str">
        <f>VLOOKUP(F6817,Countries!$A$1:$B$161,2,0)</f>
        <v>Germany</v>
      </c>
    </row>
    <row r="6818" spans="1:8" x14ac:dyDescent="0.3">
      <c r="A6818" s="3">
        <v>46235.675636574073</v>
      </c>
      <c r="B6818" s="1">
        <v>34.32</v>
      </c>
      <c r="C6818" s="1">
        <v>29.75</v>
      </c>
      <c r="D6818" s="1">
        <v>1.3</v>
      </c>
      <c r="E6818" s="1" t="s">
        <v>147</v>
      </c>
      <c r="F6818" s="1" t="s">
        <v>147</v>
      </c>
      <c r="G6818" s="1" t="s">
        <v>147</v>
      </c>
      <c r="H6818" s="1" t="str">
        <f>VLOOKUP(F6818,Countries!$A$1:$B$161,2,0)</f>
        <v>Germany</v>
      </c>
    </row>
    <row r="6819" spans="1:8" x14ac:dyDescent="0.3">
      <c r="A6819" s="3">
        <v>46235.674675925933</v>
      </c>
      <c r="B6819" s="1">
        <v>7.39</v>
      </c>
      <c r="C6819" s="1">
        <v>6.41</v>
      </c>
      <c r="D6819" s="1">
        <v>0.48</v>
      </c>
      <c r="E6819" s="1" t="s">
        <v>147</v>
      </c>
      <c r="F6819" s="1" t="s">
        <v>147</v>
      </c>
      <c r="G6819" s="1" t="s">
        <v>147</v>
      </c>
      <c r="H6819" s="1" t="str">
        <f>VLOOKUP(F6819,Countries!$A$1:$B$161,2,0)</f>
        <v>Germany</v>
      </c>
    </row>
    <row r="6820" spans="1:8" x14ac:dyDescent="0.3">
      <c r="A6820" s="3">
        <v>46235.671736111108</v>
      </c>
      <c r="B6820" s="1">
        <v>12.64</v>
      </c>
      <c r="C6820" s="1">
        <v>10.96</v>
      </c>
      <c r="D6820" s="1">
        <v>0.63</v>
      </c>
      <c r="E6820" s="1" t="s">
        <v>154</v>
      </c>
      <c r="F6820" s="1" t="s">
        <v>154</v>
      </c>
      <c r="G6820" s="1" t="s">
        <v>154</v>
      </c>
      <c r="H6820" s="1" t="str">
        <f>VLOOKUP(F6820,Countries!$A$1:$B$161,2,0)</f>
        <v>Belgium</v>
      </c>
    </row>
    <row r="6821" spans="1:8" x14ac:dyDescent="0.3">
      <c r="A6821" s="3">
        <v>46235.669456018521</v>
      </c>
      <c r="B6821" s="1">
        <v>3.39</v>
      </c>
      <c r="C6821" s="1">
        <v>2.94</v>
      </c>
      <c r="D6821" s="1">
        <v>0.41</v>
      </c>
      <c r="E6821" s="1" t="s">
        <v>114</v>
      </c>
      <c r="F6821" s="1" t="s">
        <v>114</v>
      </c>
      <c r="G6821" s="1" t="s">
        <v>114</v>
      </c>
      <c r="H6821" s="1" t="str">
        <f>VLOOKUP(F6821,Countries!$A$1:$B$161,2,0)</f>
        <v>Philippines</v>
      </c>
    </row>
    <row r="6822" spans="1:8" x14ac:dyDescent="0.3">
      <c r="A6822" s="3">
        <v>46235.669386574067</v>
      </c>
      <c r="B6822" s="1">
        <v>14.77</v>
      </c>
      <c r="C6822" s="1">
        <v>12.8</v>
      </c>
      <c r="D6822" s="1">
        <v>0.93</v>
      </c>
      <c r="E6822" s="1" t="s">
        <v>113</v>
      </c>
      <c r="F6822" s="1" t="s">
        <v>113</v>
      </c>
      <c r="G6822" s="1" t="s">
        <v>113</v>
      </c>
      <c r="H6822" s="1" t="str">
        <f>VLOOKUP(F6822,Countries!$A$1:$B$161,2,0)</f>
        <v>United States of America</v>
      </c>
    </row>
    <row r="6823" spans="1:8" x14ac:dyDescent="0.3">
      <c r="A6823" s="3">
        <v>46235.667060185187</v>
      </c>
      <c r="B6823" s="1">
        <v>14.78</v>
      </c>
      <c r="C6823" s="1">
        <v>12.81</v>
      </c>
      <c r="D6823" s="1">
        <v>0.93</v>
      </c>
      <c r="E6823" s="1" t="s">
        <v>113</v>
      </c>
      <c r="F6823" s="1" t="s">
        <v>113</v>
      </c>
      <c r="G6823" s="1" t="s">
        <v>113</v>
      </c>
      <c r="H6823" s="1" t="str">
        <f>VLOOKUP(F6823,Countries!$A$1:$B$161,2,0)</f>
        <v>United States of America</v>
      </c>
    </row>
    <row r="6824" spans="1:8" x14ac:dyDescent="0.3">
      <c r="A6824" s="3">
        <v>46235.655914351853</v>
      </c>
      <c r="B6824" s="1">
        <v>12.64</v>
      </c>
      <c r="C6824" s="1">
        <v>10.96</v>
      </c>
      <c r="D6824" s="1">
        <v>0.63</v>
      </c>
      <c r="E6824" s="1" t="s">
        <v>154</v>
      </c>
      <c r="F6824" s="1" t="s">
        <v>154</v>
      </c>
      <c r="G6824" s="1" t="s">
        <v>154</v>
      </c>
      <c r="H6824" s="1" t="str">
        <f>VLOOKUP(F6824,Countries!$A$1:$B$161,2,0)</f>
        <v>Belgium</v>
      </c>
    </row>
    <row r="6825" spans="1:8" x14ac:dyDescent="0.3">
      <c r="A6825" s="3">
        <v>46235.65519675926</v>
      </c>
      <c r="B6825" s="1">
        <v>7.48</v>
      </c>
      <c r="C6825" s="1">
        <v>6.48</v>
      </c>
      <c r="D6825" s="1">
        <v>0.54</v>
      </c>
      <c r="E6825" s="1" t="s">
        <v>119</v>
      </c>
      <c r="F6825" s="1" t="s">
        <v>119</v>
      </c>
      <c r="G6825" s="1" t="s">
        <v>119</v>
      </c>
      <c r="H6825" s="1" t="str">
        <f>VLOOKUP(F6825,Countries!$A$1:$B$161,2,0)</f>
        <v>Great Britain (United Kingdom)</v>
      </c>
    </row>
    <row r="6826" spans="1:8" x14ac:dyDescent="0.3">
      <c r="A6826" s="3">
        <v>46235.654467592591</v>
      </c>
      <c r="B6826" s="1">
        <v>14.77</v>
      </c>
      <c r="C6826" s="1">
        <v>12.8</v>
      </c>
      <c r="D6826" s="1">
        <v>0.93</v>
      </c>
      <c r="E6826" s="1" t="s">
        <v>113</v>
      </c>
      <c r="F6826" s="1" t="s">
        <v>113</v>
      </c>
      <c r="G6826" s="1" t="s">
        <v>113</v>
      </c>
      <c r="H6826" s="1" t="str">
        <f>VLOOKUP(F6826,Countries!$A$1:$B$161,2,0)</f>
        <v>United States of America</v>
      </c>
    </row>
    <row r="6827" spans="1:8" x14ac:dyDescent="0.3">
      <c r="A6827" s="3">
        <v>46235.651608796303</v>
      </c>
      <c r="B6827" s="1">
        <v>6.37</v>
      </c>
      <c r="C6827" s="1">
        <v>5.52</v>
      </c>
      <c r="D6827" s="1">
        <v>0.54</v>
      </c>
      <c r="E6827" s="1" t="s">
        <v>113</v>
      </c>
      <c r="F6827" s="1" t="s">
        <v>113</v>
      </c>
      <c r="G6827" s="1" t="s">
        <v>113</v>
      </c>
      <c r="H6827" s="1" t="str">
        <f>VLOOKUP(F6827,Countries!$A$1:$B$161,2,0)</f>
        <v>United States of America</v>
      </c>
    </row>
    <row r="6828" spans="1:8" x14ac:dyDescent="0.3">
      <c r="A6828" s="3">
        <v>46235.649675925917</v>
      </c>
      <c r="B6828" s="1">
        <v>14.77</v>
      </c>
      <c r="C6828" s="1">
        <v>12.8</v>
      </c>
      <c r="D6828" s="1">
        <v>0.93</v>
      </c>
      <c r="E6828" s="1" t="s">
        <v>113</v>
      </c>
      <c r="F6828" s="1" t="s">
        <v>113</v>
      </c>
      <c r="G6828" s="1" t="s">
        <v>113</v>
      </c>
      <c r="H6828" s="1" t="str">
        <f>VLOOKUP(F6828,Countries!$A$1:$B$161,2,0)</f>
        <v>United States of America</v>
      </c>
    </row>
    <row r="6829" spans="1:8" x14ac:dyDescent="0.3">
      <c r="A6829" s="3">
        <v>46235.647893518522</v>
      </c>
      <c r="B6829" s="1">
        <v>21.11</v>
      </c>
      <c r="C6829" s="1">
        <v>18.3</v>
      </c>
      <c r="D6829" s="1">
        <v>0.89</v>
      </c>
      <c r="E6829" s="1" t="s">
        <v>116</v>
      </c>
      <c r="F6829" s="1" t="s">
        <v>116</v>
      </c>
      <c r="G6829" s="1" t="s">
        <v>116</v>
      </c>
      <c r="H6829" s="1" t="str">
        <f>VLOOKUP(F6829,Countries!$A$1:$B$161,2,0)</f>
        <v>Spain</v>
      </c>
    </row>
    <row r="6830" spans="1:8" x14ac:dyDescent="0.3">
      <c r="A6830" s="3">
        <v>46235.647418981483</v>
      </c>
      <c r="B6830" s="1">
        <v>6.37</v>
      </c>
      <c r="C6830" s="1">
        <v>5.52</v>
      </c>
      <c r="D6830" s="1">
        <v>0.54</v>
      </c>
      <c r="E6830" s="1" t="s">
        <v>113</v>
      </c>
      <c r="F6830" s="1" t="s">
        <v>113</v>
      </c>
      <c r="G6830" s="1" t="s">
        <v>113</v>
      </c>
      <c r="H6830" s="1" t="str">
        <f>VLOOKUP(F6830,Countries!$A$1:$B$161,2,0)</f>
        <v>United States of America</v>
      </c>
    </row>
    <row r="6831" spans="1:8" x14ac:dyDescent="0.3">
      <c r="A6831" s="3">
        <v>46235.643807870372</v>
      </c>
      <c r="B6831" s="1">
        <v>14.77</v>
      </c>
      <c r="C6831" s="1">
        <v>12.8</v>
      </c>
      <c r="D6831" s="1">
        <v>0.93</v>
      </c>
      <c r="E6831" s="1" t="s">
        <v>113</v>
      </c>
      <c r="F6831" s="1" t="s">
        <v>113</v>
      </c>
      <c r="G6831" s="1" t="s">
        <v>113</v>
      </c>
      <c r="H6831" s="1" t="str">
        <f>VLOOKUP(F6831,Countries!$A$1:$B$161,2,0)</f>
        <v>United States of America</v>
      </c>
    </row>
    <row r="6832" spans="1:8" x14ac:dyDescent="0.3">
      <c r="A6832" s="3">
        <v>46235.63853009259</v>
      </c>
      <c r="B6832" s="1">
        <v>7.58</v>
      </c>
      <c r="C6832" s="1">
        <v>6.57</v>
      </c>
      <c r="D6832" s="1">
        <v>0.48</v>
      </c>
      <c r="E6832" s="1" t="s">
        <v>116</v>
      </c>
      <c r="F6832" s="1" t="s">
        <v>116</v>
      </c>
      <c r="G6832" s="1" t="s">
        <v>116</v>
      </c>
      <c r="H6832" s="1" t="str">
        <f>VLOOKUP(F6832,Countries!$A$1:$B$161,2,0)</f>
        <v>Spain</v>
      </c>
    </row>
    <row r="6833" spans="1:8" x14ac:dyDescent="0.3">
      <c r="A6833" s="3">
        <v>46235.633634259262</v>
      </c>
      <c r="B6833" s="1">
        <v>6.3</v>
      </c>
      <c r="C6833" s="1">
        <v>5.46</v>
      </c>
      <c r="D6833" s="1">
        <v>0.54</v>
      </c>
      <c r="E6833" s="1" t="s">
        <v>132</v>
      </c>
      <c r="F6833" s="1" t="s">
        <v>132</v>
      </c>
      <c r="G6833" s="1" t="s">
        <v>132</v>
      </c>
      <c r="H6833" s="1" t="str">
        <f>VLOOKUP(F6833,Countries!$A$1:$B$161,2,0)</f>
        <v>Canada</v>
      </c>
    </row>
    <row r="6834" spans="1:8" x14ac:dyDescent="0.3">
      <c r="A6834" s="3">
        <v>46235.632754629631</v>
      </c>
      <c r="B6834" s="1">
        <v>1.05</v>
      </c>
      <c r="C6834" s="1">
        <v>0.91</v>
      </c>
      <c r="D6834" s="1">
        <v>0.3</v>
      </c>
      <c r="E6834" s="1" t="s">
        <v>113</v>
      </c>
      <c r="F6834" s="1" t="s">
        <v>113</v>
      </c>
      <c r="G6834" s="1" t="s">
        <v>113</v>
      </c>
      <c r="H6834" s="1" t="str">
        <f>VLOOKUP(F6834,Countries!$A$1:$B$161,2,0)</f>
        <v>United States of America</v>
      </c>
    </row>
    <row r="6835" spans="1:8" x14ac:dyDescent="0.3">
      <c r="A6835" s="3">
        <v>46235.63212962963</v>
      </c>
      <c r="B6835" s="1">
        <v>1.05</v>
      </c>
      <c r="C6835" s="1">
        <v>0.91</v>
      </c>
      <c r="D6835" s="1">
        <v>0.3</v>
      </c>
      <c r="E6835" s="1" t="s">
        <v>113</v>
      </c>
      <c r="F6835" s="1" t="s">
        <v>113</v>
      </c>
      <c r="G6835" s="1" t="s">
        <v>113</v>
      </c>
      <c r="H6835" s="1" t="str">
        <f>VLOOKUP(F6835,Countries!$A$1:$B$161,2,0)</f>
        <v>United States of America</v>
      </c>
    </row>
    <row r="6836" spans="1:8" x14ac:dyDescent="0.3">
      <c r="A6836" s="3">
        <v>46235.628611111111</v>
      </c>
      <c r="B6836" s="1">
        <v>34.75</v>
      </c>
      <c r="C6836" s="1">
        <v>30.13</v>
      </c>
      <c r="D6836" s="1">
        <v>1.83</v>
      </c>
      <c r="E6836" s="1" t="s">
        <v>135</v>
      </c>
      <c r="F6836" s="1" t="s">
        <v>135</v>
      </c>
      <c r="G6836" s="1" t="s">
        <v>135</v>
      </c>
      <c r="H6836" s="1" t="str">
        <f>VLOOKUP(F6836,Countries!$A$1:$B$161,2,0)</f>
        <v>Kuwait</v>
      </c>
    </row>
    <row r="6837" spans="1:8" x14ac:dyDescent="0.3">
      <c r="A6837" s="3">
        <v>46235.627129629633</v>
      </c>
      <c r="B6837" s="1">
        <v>13.89</v>
      </c>
      <c r="C6837" s="1">
        <v>12.04</v>
      </c>
      <c r="D6837" s="1">
        <v>0.88</v>
      </c>
      <c r="E6837" s="1" t="s">
        <v>135</v>
      </c>
      <c r="F6837" s="1" t="s">
        <v>135</v>
      </c>
      <c r="G6837" s="1" t="s">
        <v>135</v>
      </c>
      <c r="H6837" s="1" t="str">
        <f>VLOOKUP(F6837,Countries!$A$1:$B$161,2,0)</f>
        <v>Kuwait</v>
      </c>
    </row>
    <row r="6838" spans="1:8" x14ac:dyDescent="0.3">
      <c r="A6838" s="3">
        <v>46235.626099537039</v>
      </c>
      <c r="B6838" s="1">
        <v>7.48</v>
      </c>
      <c r="C6838" s="1">
        <v>6.48</v>
      </c>
      <c r="D6838" s="1">
        <v>0.48</v>
      </c>
      <c r="E6838" s="1" t="s">
        <v>123</v>
      </c>
      <c r="F6838" s="1" t="s">
        <v>123</v>
      </c>
      <c r="G6838" s="1" t="s">
        <v>123</v>
      </c>
      <c r="H6838" s="1" t="str">
        <f>VLOOKUP(F6838,Countries!$A$1:$B$161,2,0)</f>
        <v>France</v>
      </c>
    </row>
    <row r="6839" spans="1:8" x14ac:dyDescent="0.3">
      <c r="A6839" s="3">
        <v>46235.625590277778</v>
      </c>
      <c r="B6839" s="1">
        <v>16.68</v>
      </c>
      <c r="C6839" s="1">
        <v>14.46</v>
      </c>
      <c r="D6839" s="1">
        <v>1.01</v>
      </c>
      <c r="E6839" s="1" t="s">
        <v>135</v>
      </c>
      <c r="F6839" s="1" t="s">
        <v>135</v>
      </c>
      <c r="G6839" s="1" t="s">
        <v>135</v>
      </c>
      <c r="H6839" s="1" t="str">
        <f>VLOOKUP(F6839,Countries!$A$1:$B$161,2,0)</f>
        <v>Kuwait</v>
      </c>
    </row>
    <row r="6840" spans="1:8" x14ac:dyDescent="0.3">
      <c r="A6840" s="3">
        <v>46235.622789351852</v>
      </c>
      <c r="B6840" s="1">
        <v>13.89</v>
      </c>
      <c r="C6840" s="1">
        <v>12.04</v>
      </c>
      <c r="D6840" s="1">
        <v>0.88</v>
      </c>
      <c r="E6840" s="1" t="s">
        <v>135</v>
      </c>
      <c r="F6840" s="1" t="s">
        <v>135</v>
      </c>
      <c r="G6840" s="1" t="s">
        <v>135</v>
      </c>
      <c r="H6840" s="1" t="str">
        <f>VLOOKUP(F6840,Countries!$A$1:$B$161,2,0)</f>
        <v>Kuwait</v>
      </c>
    </row>
    <row r="6841" spans="1:8" x14ac:dyDescent="0.3">
      <c r="A6841" s="3">
        <v>46235.61923611111</v>
      </c>
      <c r="B6841" s="1">
        <v>13.89</v>
      </c>
      <c r="C6841" s="1">
        <v>12.04</v>
      </c>
      <c r="D6841" s="1">
        <v>0.88</v>
      </c>
      <c r="E6841" s="1" t="s">
        <v>134</v>
      </c>
      <c r="F6841" s="1" t="s">
        <v>134</v>
      </c>
      <c r="G6841" s="1" t="s">
        <v>134</v>
      </c>
      <c r="H6841" s="1" t="str">
        <f>VLOOKUP(F6841,Countries!$A$1:$B$161,2,0)</f>
        <v>Hong Kong</v>
      </c>
    </row>
    <row r="6842" spans="1:8" x14ac:dyDescent="0.3">
      <c r="A6842" s="3">
        <v>46235.614976851852</v>
      </c>
      <c r="B6842" s="1">
        <v>1.99</v>
      </c>
      <c r="C6842" s="1">
        <v>1.73</v>
      </c>
      <c r="D6842" s="1">
        <v>0.34</v>
      </c>
      <c r="E6842" s="1" t="s">
        <v>204</v>
      </c>
      <c r="F6842" s="1" t="s">
        <v>204</v>
      </c>
      <c r="G6842" s="1" t="s">
        <v>204</v>
      </c>
      <c r="H6842" s="1" t="str">
        <f>VLOOKUP(F6842,Countries!$A$1:$B$161,2,0)</f>
        <v>Cameroon</v>
      </c>
    </row>
    <row r="6843" spans="1:8" x14ac:dyDescent="0.3">
      <c r="A6843" s="3">
        <v>46235.613611111112</v>
      </c>
      <c r="B6843" s="1">
        <v>13.89</v>
      </c>
      <c r="C6843" s="1">
        <v>12.04</v>
      </c>
      <c r="D6843" s="1">
        <v>0.88</v>
      </c>
      <c r="E6843" s="1" t="s">
        <v>135</v>
      </c>
      <c r="F6843" s="1" t="s">
        <v>135</v>
      </c>
      <c r="G6843" s="1" t="s">
        <v>135</v>
      </c>
      <c r="H6843" s="1" t="str">
        <f>VLOOKUP(F6843,Countries!$A$1:$B$161,2,0)</f>
        <v>Kuwait</v>
      </c>
    </row>
    <row r="6844" spans="1:8" x14ac:dyDescent="0.3">
      <c r="A6844" s="3">
        <v>46235.608842592592</v>
      </c>
      <c r="B6844" s="1">
        <v>7.48</v>
      </c>
      <c r="C6844" s="1">
        <v>6.48</v>
      </c>
      <c r="D6844" s="1">
        <v>0.48</v>
      </c>
      <c r="E6844" s="1" t="s">
        <v>123</v>
      </c>
      <c r="F6844" s="1" t="s">
        <v>123</v>
      </c>
      <c r="G6844" s="1" t="s">
        <v>123</v>
      </c>
      <c r="H6844" s="1" t="str">
        <f>VLOOKUP(F6844,Countries!$A$1:$B$161,2,0)</f>
        <v>France</v>
      </c>
    </row>
    <row r="6845" spans="1:8" x14ac:dyDescent="0.3">
      <c r="A6845" s="3">
        <v>46235.608055555553</v>
      </c>
      <c r="B6845" s="1">
        <v>13.89</v>
      </c>
      <c r="C6845" s="1">
        <v>12.04</v>
      </c>
      <c r="D6845" s="1">
        <v>0.88</v>
      </c>
      <c r="E6845" s="1" t="s">
        <v>135</v>
      </c>
      <c r="F6845" s="1" t="s">
        <v>135</v>
      </c>
      <c r="G6845" s="1" t="s">
        <v>135</v>
      </c>
      <c r="H6845" s="1" t="str">
        <f>VLOOKUP(F6845,Countries!$A$1:$B$161,2,0)</f>
        <v>Kuwait</v>
      </c>
    </row>
    <row r="6846" spans="1:8" x14ac:dyDescent="0.3">
      <c r="A6846" s="3">
        <v>46235.602916666663</v>
      </c>
      <c r="B6846" s="1">
        <v>13.89</v>
      </c>
      <c r="C6846" s="1">
        <v>12.04</v>
      </c>
      <c r="D6846" s="1">
        <v>0.88</v>
      </c>
      <c r="E6846" s="1" t="s">
        <v>135</v>
      </c>
      <c r="F6846" s="1" t="s">
        <v>135</v>
      </c>
      <c r="G6846" s="1" t="s">
        <v>135</v>
      </c>
      <c r="H6846" s="1" t="str">
        <f>VLOOKUP(F6846,Countries!$A$1:$B$161,2,0)</f>
        <v>Kuwait</v>
      </c>
    </row>
    <row r="6847" spans="1:8" x14ac:dyDescent="0.3">
      <c r="A6847" s="3">
        <v>46235.602187500001</v>
      </c>
      <c r="B6847" s="1">
        <v>13.9</v>
      </c>
      <c r="C6847" s="1">
        <v>12.05</v>
      </c>
      <c r="D6847" s="1">
        <v>0.88</v>
      </c>
      <c r="E6847" s="1" t="s">
        <v>135</v>
      </c>
      <c r="F6847" s="1" t="s">
        <v>135</v>
      </c>
      <c r="G6847" s="1" t="s">
        <v>135</v>
      </c>
      <c r="H6847" s="1" t="str">
        <f>VLOOKUP(F6847,Countries!$A$1:$B$161,2,0)</f>
        <v>Kuwait</v>
      </c>
    </row>
    <row r="6848" spans="1:8" x14ac:dyDescent="0.3">
      <c r="A6848" s="3">
        <v>46235.598946759259</v>
      </c>
      <c r="B6848" s="1">
        <v>13.89</v>
      </c>
      <c r="C6848" s="1">
        <v>12.04</v>
      </c>
      <c r="D6848" s="1">
        <v>0.88</v>
      </c>
      <c r="E6848" s="1" t="s">
        <v>135</v>
      </c>
      <c r="F6848" s="1" t="s">
        <v>135</v>
      </c>
      <c r="G6848" s="1" t="s">
        <v>135</v>
      </c>
      <c r="H6848" s="1" t="str">
        <f>VLOOKUP(F6848,Countries!$A$1:$B$161,2,0)</f>
        <v>Kuwait</v>
      </c>
    </row>
    <row r="6849" spans="1:8" x14ac:dyDescent="0.3">
      <c r="A6849" s="3">
        <v>46235.596782407411</v>
      </c>
      <c r="B6849" s="1">
        <v>6.37</v>
      </c>
      <c r="C6849" s="1">
        <v>5.52</v>
      </c>
      <c r="D6849" s="1">
        <v>0.54</v>
      </c>
      <c r="E6849" s="1" t="s">
        <v>113</v>
      </c>
      <c r="F6849" s="1" t="s">
        <v>113</v>
      </c>
      <c r="G6849" s="1" t="s">
        <v>113</v>
      </c>
      <c r="H6849" s="1" t="str">
        <f>VLOOKUP(F6849,Countries!$A$1:$B$161,2,0)</f>
        <v>United States of America</v>
      </c>
    </row>
    <row r="6850" spans="1:8" x14ac:dyDescent="0.3">
      <c r="A6850" s="3">
        <v>46235.595810185187</v>
      </c>
      <c r="B6850" s="1">
        <v>13.89</v>
      </c>
      <c r="C6850" s="1">
        <v>12.04</v>
      </c>
      <c r="D6850" s="1">
        <v>0.88</v>
      </c>
      <c r="E6850" s="1" t="s">
        <v>135</v>
      </c>
      <c r="F6850" s="1" t="s">
        <v>135</v>
      </c>
      <c r="G6850" s="1" t="s">
        <v>135</v>
      </c>
      <c r="H6850" s="1" t="str">
        <f>VLOOKUP(F6850,Countries!$A$1:$B$161,2,0)</f>
        <v>Kuwait</v>
      </c>
    </row>
    <row r="6851" spans="1:8" x14ac:dyDescent="0.3">
      <c r="A6851" s="3">
        <v>46235.593495370369</v>
      </c>
      <c r="B6851" s="1">
        <v>69.5</v>
      </c>
      <c r="C6851" s="1">
        <v>60.25</v>
      </c>
      <c r="D6851" s="1">
        <v>3.42</v>
      </c>
      <c r="E6851" s="1" t="s">
        <v>135</v>
      </c>
      <c r="F6851" s="1" t="s">
        <v>135</v>
      </c>
      <c r="G6851" s="1" t="s">
        <v>135</v>
      </c>
      <c r="H6851" s="1" t="str">
        <f>VLOOKUP(F6851,Countries!$A$1:$B$161,2,0)</f>
        <v>Kuwait</v>
      </c>
    </row>
    <row r="6852" spans="1:8" x14ac:dyDescent="0.3">
      <c r="A6852" s="3">
        <v>46235.591944444437</v>
      </c>
      <c r="B6852" s="1">
        <v>13.89</v>
      </c>
      <c r="C6852" s="1">
        <v>12.04</v>
      </c>
      <c r="D6852" s="1">
        <v>0.88</v>
      </c>
      <c r="E6852" s="1" t="s">
        <v>135</v>
      </c>
      <c r="F6852" s="1" t="s">
        <v>135</v>
      </c>
      <c r="G6852" s="1" t="s">
        <v>135</v>
      </c>
      <c r="H6852" s="1" t="str">
        <f>VLOOKUP(F6852,Countries!$A$1:$B$161,2,0)</f>
        <v>Kuwait</v>
      </c>
    </row>
    <row r="6853" spans="1:8" x14ac:dyDescent="0.3">
      <c r="A6853" s="3">
        <v>46235.588831018518</v>
      </c>
      <c r="B6853" s="1">
        <v>83.4</v>
      </c>
      <c r="C6853" s="1">
        <v>72.3</v>
      </c>
      <c r="D6853" s="1">
        <v>4.05</v>
      </c>
      <c r="E6853" s="1" t="s">
        <v>135</v>
      </c>
      <c r="F6853" s="1" t="s">
        <v>135</v>
      </c>
      <c r="G6853" s="1" t="s">
        <v>135</v>
      </c>
      <c r="H6853" s="1" t="str">
        <f>VLOOKUP(F6853,Countries!$A$1:$B$161,2,0)</f>
        <v>Kuwait</v>
      </c>
    </row>
    <row r="6854" spans="1:8" x14ac:dyDescent="0.3">
      <c r="A6854" s="3">
        <v>46235.58797453704</v>
      </c>
      <c r="B6854" s="1">
        <v>13.89</v>
      </c>
      <c r="C6854" s="1">
        <v>12.04</v>
      </c>
      <c r="D6854" s="1">
        <v>0.88</v>
      </c>
      <c r="E6854" s="1" t="s">
        <v>135</v>
      </c>
      <c r="F6854" s="1" t="s">
        <v>135</v>
      </c>
      <c r="G6854" s="1" t="s">
        <v>135</v>
      </c>
      <c r="H6854" s="1" t="str">
        <f>VLOOKUP(F6854,Countries!$A$1:$B$161,2,0)</f>
        <v>Kuwait</v>
      </c>
    </row>
    <row r="6855" spans="1:8" x14ac:dyDescent="0.3">
      <c r="A6855" s="3">
        <v>46235.582974537043</v>
      </c>
      <c r="B6855" s="1">
        <v>34.75</v>
      </c>
      <c r="C6855" s="1">
        <v>30.13</v>
      </c>
      <c r="D6855" s="1">
        <v>1.83</v>
      </c>
      <c r="E6855" s="1" t="s">
        <v>135</v>
      </c>
      <c r="F6855" s="1" t="s">
        <v>135</v>
      </c>
      <c r="G6855" s="1" t="s">
        <v>135</v>
      </c>
      <c r="H6855" s="1" t="str">
        <f>VLOOKUP(F6855,Countries!$A$1:$B$161,2,0)</f>
        <v>Kuwait</v>
      </c>
    </row>
    <row r="6856" spans="1:8" x14ac:dyDescent="0.3">
      <c r="A6856" s="3">
        <v>46235.581250000003</v>
      </c>
      <c r="B6856" s="1">
        <v>13.89</v>
      </c>
      <c r="C6856" s="1">
        <v>12.04</v>
      </c>
      <c r="D6856" s="1">
        <v>0.88</v>
      </c>
      <c r="E6856" s="1" t="s">
        <v>135</v>
      </c>
      <c r="F6856" s="1" t="s">
        <v>135</v>
      </c>
      <c r="G6856" s="1" t="s">
        <v>135</v>
      </c>
      <c r="H6856" s="1" t="str">
        <f>VLOOKUP(F6856,Countries!$A$1:$B$161,2,0)</f>
        <v>Kuwait</v>
      </c>
    </row>
    <row r="6857" spans="1:8" x14ac:dyDescent="0.3">
      <c r="A6857" s="3">
        <v>46235.57739583333</v>
      </c>
      <c r="B6857" s="1">
        <v>13.89</v>
      </c>
      <c r="C6857" s="1">
        <v>12.04</v>
      </c>
      <c r="D6857" s="1">
        <v>0.88</v>
      </c>
      <c r="E6857" s="1" t="s">
        <v>135</v>
      </c>
      <c r="F6857" s="1" t="s">
        <v>135</v>
      </c>
      <c r="G6857" s="1" t="s">
        <v>135</v>
      </c>
      <c r="H6857" s="1" t="str">
        <f>VLOOKUP(F6857,Countries!$A$1:$B$161,2,0)</f>
        <v>Kuwait</v>
      </c>
    </row>
    <row r="6858" spans="1:8" x14ac:dyDescent="0.3">
      <c r="A6858" s="3">
        <v>46235.576550925929</v>
      </c>
      <c r="B6858" s="1">
        <v>27.8</v>
      </c>
      <c r="C6858" s="1">
        <v>24.1</v>
      </c>
      <c r="D6858" s="1">
        <v>1.51</v>
      </c>
      <c r="E6858" s="1" t="s">
        <v>135</v>
      </c>
      <c r="F6858" s="1" t="s">
        <v>135</v>
      </c>
      <c r="G6858" s="1" t="s">
        <v>135</v>
      </c>
      <c r="H6858" s="1" t="str">
        <f>VLOOKUP(F6858,Countries!$A$1:$B$161,2,0)</f>
        <v>Kuwait</v>
      </c>
    </row>
    <row r="6859" spans="1:8" x14ac:dyDescent="0.3">
      <c r="A6859" s="3">
        <v>46235.574837962973</v>
      </c>
      <c r="B6859" s="1">
        <v>12.64</v>
      </c>
      <c r="C6859" s="1">
        <v>10.96</v>
      </c>
      <c r="D6859" s="1">
        <v>0.63</v>
      </c>
      <c r="E6859" s="1" t="s">
        <v>116</v>
      </c>
      <c r="F6859" s="1" t="s">
        <v>116</v>
      </c>
      <c r="G6859" s="1" t="s">
        <v>116</v>
      </c>
      <c r="H6859" s="1" t="str">
        <f>VLOOKUP(F6859,Countries!$A$1:$B$161,2,0)</f>
        <v>Spain</v>
      </c>
    </row>
    <row r="6860" spans="1:8" x14ac:dyDescent="0.3">
      <c r="A6860" s="3">
        <v>46235.572870370372</v>
      </c>
      <c r="B6860" s="1">
        <v>13.89</v>
      </c>
      <c r="C6860" s="1">
        <v>12.04</v>
      </c>
      <c r="D6860" s="1">
        <v>0.88</v>
      </c>
      <c r="E6860" s="1" t="s">
        <v>135</v>
      </c>
      <c r="F6860" s="1" t="s">
        <v>135</v>
      </c>
      <c r="G6860" s="1" t="s">
        <v>135</v>
      </c>
      <c r="H6860" s="1" t="str">
        <f>VLOOKUP(F6860,Countries!$A$1:$B$161,2,0)</f>
        <v>Kuwait</v>
      </c>
    </row>
    <row r="6861" spans="1:8" x14ac:dyDescent="0.3">
      <c r="A6861" s="3">
        <v>46235.567060185182</v>
      </c>
      <c r="B6861" s="1">
        <v>13.89</v>
      </c>
      <c r="C6861" s="1">
        <v>12.04</v>
      </c>
      <c r="D6861" s="1">
        <v>0.88</v>
      </c>
      <c r="E6861" s="1" t="s">
        <v>135</v>
      </c>
      <c r="F6861" s="1" t="s">
        <v>135</v>
      </c>
      <c r="G6861" s="1" t="s">
        <v>135</v>
      </c>
      <c r="H6861" s="1" t="str">
        <f>VLOOKUP(F6861,Countries!$A$1:$B$161,2,0)</f>
        <v>Kuwait</v>
      </c>
    </row>
    <row r="6862" spans="1:8" x14ac:dyDescent="0.3">
      <c r="A6862" s="3">
        <v>46235.566608796304</v>
      </c>
      <c r="B6862" s="1">
        <v>17.36</v>
      </c>
      <c r="C6862" s="1">
        <v>15.05</v>
      </c>
      <c r="D6862" s="1">
        <v>0.93</v>
      </c>
      <c r="E6862" s="1" t="s">
        <v>119</v>
      </c>
      <c r="F6862" s="1" t="s">
        <v>119</v>
      </c>
      <c r="G6862" s="1" t="s">
        <v>119</v>
      </c>
      <c r="H6862" s="1" t="str">
        <f>VLOOKUP(F6862,Countries!$A$1:$B$161,2,0)</f>
        <v>Great Britain (United Kingdom)</v>
      </c>
    </row>
    <row r="6863" spans="1:8" x14ac:dyDescent="0.3">
      <c r="A6863" s="3">
        <v>46235.566018518519</v>
      </c>
      <c r="B6863" s="1">
        <v>12.64</v>
      </c>
      <c r="C6863" s="1">
        <v>10.96</v>
      </c>
      <c r="D6863" s="1">
        <v>0.63</v>
      </c>
      <c r="E6863" s="1" t="s">
        <v>116</v>
      </c>
      <c r="F6863" s="1" t="s">
        <v>116</v>
      </c>
      <c r="G6863" s="1" t="s">
        <v>116</v>
      </c>
      <c r="H6863" s="1" t="str">
        <f>VLOOKUP(F6863,Countries!$A$1:$B$161,2,0)</f>
        <v>Spain</v>
      </c>
    </row>
    <row r="6864" spans="1:8" x14ac:dyDescent="0.3">
      <c r="A6864" s="3">
        <v>46235.564421296287</v>
      </c>
      <c r="B6864" s="1">
        <v>26.06</v>
      </c>
      <c r="C6864" s="1">
        <v>22.59</v>
      </c>
      <c r="D6864" s="1">
        <v>1.26</v>
      </c>
      <c r="E6864" s="1" t="s">
        <v>119</v>
      </c>
      <c r="F6864" s="1" t="s">
        <v>119</v>
      </c>
      <c r="G6864" s="1" t="s">
        <v>119</v>
      </c>
      <c r="H6864" s="1" t="str">
        <f>VLOOKUP(F6864,Countries!$A$1:$B$161,2,0)</f>
        <v>Great Britain (United Kingdom)</v>
      </c>
    </row>
    <row r="6865" spans="1:8" x14ac:dyDescent="0.3">
      <c r="A6865" s="3">
        <v>46235.564328703702</v>
      </c>
      <c r="B6865" s="1">
        <v>7.77</v>
      </c>
      <c r="C6865" s="1">
        <v>6.74</v>
      </c>
      <c r="D6865" s="1">
        <v>0.48</v>
      </c>
      <c r="E6865" s="1" t="s">
        <v>137</v>
      </c>
      <c r="F6865" s="1" t="s">
        <v>137</v>
      </c>
      <c r="G6865" s="1" t="s">
        <v>137</v>
      </c>
      <c r="H6865" s="1" t="str">
        <f>VLOOKUP(F6865,Countries!$A$1:$B$161,2,0)</f>
        <v>Poland</v>
      </c>
    </row>
    <row r="6866" spans="1:8" x14ac:dyDescent="0.3">
      <c r="A6866" s="3">
        <v>46235.558321759258</v>
      </c>
      <c r="B6866" s="1">
        <v>13.89</v>
      </c>
      <c r="C6866" s="1">
        <v>12.04</v>
      </c>
      <c r="D6866" s="1">
        <v>0.88</v>
      </c>
      <c r="E6866" s="1" t="s">
        <v>135</v>
      </c>
      <c r="F6866" s="1" t="s">
        <v>135</v>
      </c>
      <c r="G6866" s="1" t="s">
        <v>135</v>
      </c>
      <c r="H6866" s="1" t="str">
        <f>VLOOKUP(F6866,Countries!$A$1:$B$161,2,0)</f>
        <v>Kuwait</v>
      </c>
    </row>
    <row r="6867" spans="1:8" x14ac:dyDescent="0.3">
      <c r="A6867" s="3">
        <v>46235.554456018523</v>
      </c>
      <c r="B6867" s="1">
        <v>17.36</v>
      </c>
      <c r="C6867" s="1">
        <v>15.05</v>
      </c>
      <c r="D6867" s="1">
        <v>0.93</v>
      </c>
      <c r="E6867" s="1" t="s">
        <v>119</v>
      </c>
      <c r="F6867" s="1" t="s">
        <v>119</v>
      </c>
      <c r="G6867" s="1" t="s">
        <v>119</v>
      </c>
      <c r="H6867" s="1" t="str">
        <f>VLOOKUP(F6867,Countries!$A$1:$B$161,2,0)</f>
        <v>Great Britain (United Kingdom)</v>
      </c>
    </row>
    <row r="6868" spans="1:8" x14ac:dyDescent="0.3">
      <c r="A6868" s="3">
        <v>46235.552534722221</v>
      </c>
      <c r="B6868" s="1">
        <v>6.37</v>
      </c>
      <c r="C6868" s="1">
        <v>5.52</v>
      </c>
      <c r="D6868" s="1">
        <v>0.54</v>
      </c>
      <c r="E6868" s="1" t="s">
        <v>113</v>
      </c>
      <c r="F6868" s="1" t="s">
        <v>113</v>
      </c>
      <c r="G6868" s="1" t="s">
        <v>113</v>
      </c>
      <c r="H6868" s="1" t="str">
        <f>VLOOKUP(F6868,Countries!$A$1:$B$161,2,0)</f>
        <v>United States of America</v>
      </c>
    </row>
    <row r="6869" spans="1:8" x14ac:dyDescent="0.3">
      <c r="A6869" s="3">
        <v>46235.552222222221</v>
      </c>
      <c r="B6869" s="1">
        <v>18.079999999999998</v>
      </c>
      <c r="C6869" s="1">
        <v>15.67</v>
      </c>
      <c r="D6869" s="1">
        <v>1.07</v>
      </c>
      <c r="E6869" s="1" t="s">
        <v>113</v>
      </c>
      <c r="F6869" s="1" t="s">
        <v>113</v>
      </c>
      <c r="G6869" s="1" t="s">
        <v>113</v>
      </c>
      <c r="H6869" s="1" t="str">
        <f>VLOOKUP(F6869,Countries!$A$1:$B$161,2,0)</f>
        <v>United States of America</v>
      </c>
    </row>
    <row r="6870" spans="1:8" x14ac:dyDescent="0.3">
      <c r="A6870" s="3">
        <v>46235.55164351852</v>
      </c>
      <c r="B6870" s="1">
        <v>10.85</v>
      </c>
      <c r="C6870" s="1">
        <v>9.41</v>
      </c>
      <c r="D6870" s="1">
        <v>0.75</v>
      </c>
      <c r="E6870" s="1" t="s">
        <v>115</v>
      </c>
      <c r="F6870" s="1" t="s">
        <v>115</v>
      </c>
      <c r="G6870" s="1" t="s">
        <v>115</v>
      </c>
      <c r="H6870" s="1" t="str">
        <f>VLOOKUP(F6870,Countries!$A$1:$B$161,2,0)</f>
        <v>Switzerland</v>
      </c>
    </row>
    <row r="6871" spans="1:8" x14ac:dyDescent="0.3">
      <c r="A6871" s="3">
        <v>46235.551550925928</v>
      </c>
      <c r="B6871" s="1">
        <v>17.02</v>
      </c>
      <c r="C6871" s="1">
        <v>14.75</v>
      </c>
      <c r="D6871" s="1">
        <v>1.03</v>
      </c>
      <c r="E6871" s="1" t="s">
        <v>113</v>
      </c>
      <c r="F6871" s="1" t="s">
        <v>113</v>
      </c>
      <c r="G6871" s="1" t="s">
        <v>113</v>
      </c>
      <c r="H6871" s="1" t="str">
        <f>VLOOKUP(F6871,Countries!$A$1:$B$161,2,0)</f>
        <v>United States of America</v>
      </c>
    </row>
    <row r="6872" spans="1:8" x14ac:dyDescent="0.3">
      <c r="A6872" s="3">
        <v>46235.545081018521</v>
      </c>
      <c r="B6872" s="1">
        <v>6.37</v>
      </c>
      <c r="C6872" s="1">
        <v>5.52</v>
      </c>
      <c r="D6872" s="1">
        <v>0.54</v>
      </c>
      <c r="E6872" s="1" t="s">
        <v>113</v>
      </c>
      <c r="F6872" s="1" t="s">
        <v>113</v>
      </c>
      <c r="G6872" s="1" t="s">
        <v>113</v>
      </c>
      <c r="H6872" s="1" t="str">
        <f>VLOOKUP(F6872,Countries!$A$1:$B$161,2,0)</f>
        <v>United States of America</v>
      </c>
    </row>
    <row r="6873" spans="1:8" x14ac:dyDescent="0.3">
      <c r="A6873" s="3">
        <v>46235.536817129629</v>
      </c>
      <c r="B6873" s="1">
        <v>2.99</v>
      </c>
      <c r="C6873" s="1">
        <v>2.59</v>
      </c>
      <c r="D6873" s="1">
        <v>0.38</v>
      </c>
      <c r="E6873" s="1" t="s">
        <v>150</v>
      </c>
      <c r="F6873" s="1" t="s">
        <v>150</v>
      </c>
      <c r="G6873" s="1" t="s">
        <v>150</v>
      </c>
      <c r="H6873" s="1" t="str">
        <f>VLOOKUP(F6873,Countries!$A$1:$B$161,2,0)</f>
        <v>El Salvador</v>
      </c>
    </row>
    <row r="6874" spans="1:8" x14ac:dyDescent="0.3">
      <c r="A6874" s="3">
        <v>46235.523252314822</v>
      </c>
      <c r="B6874" s="1">
        <v>8.5</v>
      </c>
      <c r="C6874" s="1">
        <v>7.37</v>
      </c>
      <c r="D6874" s="1">
        <v>0.64</v>
      </c>
      <c r="E6874" s="1" t="s">
        <v>113</v>
      </c>
      <c r="F6874" s="1" t="s">
        <v>113</v>
      </c>
      <c r="G6874" s="1" t="s">
        <v>113</v>
      </c>
      <c r="H6874" s="1" t="str">
        <f>VLOOKUP(F6874,Countries!$A$1:$B$161,2,0)</f>
        <v>United States of America</v>
      </c>
    </row>
    <row r="6875" spans="1:8" x14ac:dyDescent="0.3">
      <c r="A6875" s="3">
        <v>46235.518055555563</v>
      </c>
      <c r="B6875" s="1">
        <v>14.77</v>
      </c>
      <c r="C6875" s="1">
        <v>12.8</v>
      </c>
      <c r="D6875" s="1">
        <v>0.93</v>
      </c>
      <c r="E6875" s="1" t="s">
        <v>113</v>
      </c>
      <c r="F6875" s="1" t="s">
        <v>113</v>
      </c>
      <c r="G6875" s="1" t="s">
        <v>113</v>
      </c>
      <c r="H6875" s="1" t="str">
        <f>VLOOKUP(F6875,Countries!$A$1:$B$161,2,0)</f>
        <v>United States of America</v>
      </c>
    </row>
    <row r="6876" spans="1:8" x14ac:dyDescent="0.3">
      <c r="A6876" s="3">
        <v>46235.515833333331</v>
      </c>
      <c r="B6876" s="1">
        <v>6.37</v>
      </c>
      <c r="C6876" s="1">
        <v>5.52</v>
      </c>
      <c r="D6876" s="1">
        <v>0.54</v>
      </c>
      <c r="E6876" s="1" t="s">
        <v>113</v>
      </c>
      <c r="F6876" s="1" t="s">
        <v>113</v>
      </c>
      <c r="G6876" s="1" t="s">
        <v>113</v>
      </c>
      <c r="H6876" s="1" t="str">
        <f>VLOOKUP(F6876,Countries!$A$1:$B$161,2,0)</f>
        <v>United States of America</v>
      </c>
    </row>
    <row r="6877" spans="1:8" x14ac:dyDescent="0.3">
      <c r="A6877" s="3">
        <v>46235.50949074074</v>
      </c>
      <c r="B6877" s="1">
        <v>17.36</v>
      </c>
      <c r="C6877" s="1">
        <v>15.05</v>
      </c>
      <c r="D6877" s="1">
        <v>0.93</v>
      </c>
      <c r="E6877" s="1" t="s">
        <v>119</v>
      </c>
      <c r="F6877" s="1" t="s">
        <v>119</v>
      </c>
      <c r="G6877" s="1" t="s">
        <v>119</v>
      </c>
      <c r="H6877" s="1" t="str">
        <f>VLOOKUP(F6877,Countries!$A$1:$B$161,2,0)</f>
        <v>Great Britain (United Kingdom)</v>
      </c>
    </row>
    <row r="6878" spans="1:8" x14ac:dyDescent="0.3">
      <c r="A6878" s="3">
        <v>46235.508564814823</v>
      </c>
      <c r="B6878" s="1">
        <v>17.010000000000002</v>
      </c>
      <c r="C6878" s="1">
        <v>14.75</v>
      </c>
      <c r="D6878" s="1">
        <v>1.03</v>
      </c>
      <c r="E6878" s="1" t="s">
        <v>113</v>
      </c>
      <c r="F6878" s="1" t="s">
        <v>113</v>
      </c>
      <c r="G6878" s="1" t="s">
        <v>113</v>
      </c>
      <c r="H6878" s="1" t="str">
        <f>VLOOKUP(F6878,Countries!$A$1:$B$161,2,0)</f>
        <v>United States of America</v>
      </c>
    </row>
    <row r="6879" spans="1:8" x14ac:dyDescent="0.3">
      <c r="A6879" s="3">
        <v>46235.496828703697</v>
      </c>
      <c r="B6879" s="1">
        <v>2.11</v>
      </c>
      <c r="C6879" s="1">
        <v>1.83</v>
      </c>
      <c r="D6879" s="1">
        <v>0.35</v>
      </c>
      <c r="E6879" s="1" t="s">
        <v>113</v>
      </c>
      <c r="F6879" s="1" t="s">
        <v>113</v>
      </c>
      <c r="G6879" s="1" t="s">
        <v>113</v>
      </c>
      <c r="H6879" s="1" t="str">
        <f>VLOOKUP(F6879,Countries!$A$1:$B$161,2,0)</f>
        <v>United States of America</v>
      </c>
    </row>
    <row r="6880" spans="1:8" x14ac:dyDescent="0.3">
      <c r="A6880" s="3">
        <v>46235.494317129633</v>
      </c>
      <c r="B6880" s="1">
        <v>4.24</v>
      </c>
      <c r="C6880" s="1">
        <v>3.68</v>
      </c>
      <c r="D6880" s="1">
        <v>0.44</v>
      </c>
      <c r="E6880" s="1" t="s">
        <v>113</v>
      </c>
      <c r="F6880" s="1" t="s">
        <v>113</v>
      </c>
      <c r="G6880" s="1" t="s">
        <v>113</v>
      </c>
      <c r="H6880" s="1" t="str">
        <f>VLOOKUP(F6880,Countries!$A$1:$B$161,2,0)</f>
        <v>United States of America</v>
      </c>
    </row>
    <row r="6881" spans="1:8" x14ac:dyDescent="0.3">
      <c r="A6881" s="3">
        <v>46235.490046296298</v>
      </c>
      <c r="B6881" s="1">
        <v>9.99</v>
      </c>
      <c r="C6881" s="1">
        <v>8.66</v>
      </c>
      <c r="D6881" s="1">
        <v>0.7</v>
      </c>
      <c r="E6881" s="1" t="s">
        <v>113</v>
      </c>
      <c r="F6881" s="1" t="s">
        <v>113</v>
      </c>
      <c r="G6881" s="1" t="s">
        <v>113</v>
      </c>
      <c r="H6881" s="1" t="str">
        <f>VLOOKUP(F6881,Countries!$A$1:$B$161,2,0)</f>
        <v>United States of America</v>
      </c>
    </row>
    <row r="6882" spans="1:8" x14ac:dyDescent="0.3">
      <c r="A6882" s="3">
        <v>46235.488923611112</v>
      </c>
      <c r="B6882" s="1">
        <v>101.25</v>
      </c>
      <c r="C6882" s="1">
        <v>87.77</v>
      </c>
      <c r="D6882" s="1">
        <v>3.33</v>
      </c>
      <c r="E6882" s="1" t="s">
        <v>151</v>
      </c>
      <c r="F6882" s="1" t="s">
        <v>151</v>
      </c>
      <c r="G6882" s="1" t="s">
        <v>151</v>
      </c>
      <c r="H6882" s="1" t="str">
        <f>VLOOKUP(F6882,Countries!$A$1:$B$161,2,0)</f>
        <v>Netherlands (Holland)</v>
      </c>
    </row>
    <row r="6883" spans="1:8" x14ac:dyDescent="0.3">
      <c r="A6883" s="3">
        <v>46235.480891203697</v>
      </c>
      <c r="B6883" s="1">
        <v>10.85</v>
      </c>
      <c r="C6883" s="1">
        <v>9.41</v>
      </c>
      <c r="D6883" s="1">
        <v>0.75</v>
      </c>
      <c r="E6883" s="1" t="s">
        <v>115</v>
      </c>
      <c r="F6883" s="1" t="s">
        <v>115</v>
      </c>
      <c r="G6883" s="1" t="s">
        <v>115</v>
      </c>
      <c r="H6883" s="1" t="str">
        <f>VLOOKUP(F6883,Countries!$A$1:$B$161,2,0)</f>
        <v>Switzerland</v>
      </c>
    </row>
    <row r="6884" spans="1:8" x14ac:dyDescent="0.3">
      <c r="A6884" s="3">
        <v>46235.480138888888</v>
      </c>
      <c r="B6884" s="1">
        <v>2.11</v>
      </c>
      <c r="C6884" s="1">
        <v>1.83</v>
      </c>
      <c r="D6884" s="1">
        <v>0.35</v>
      </c>
      <c r="E6884" s="1" t="s">
        <v>113</v>
      </c>
      <c r="F6884" s="1" t="s">
        <v>113</v>
      </c>
      <c r="G6884" s="1" t="s">
        <v>113</v>
      </c>
      <c r="H6884" s="1" t="str">
        <f>VLOOKUP(F6884,Countries!$A$1:$B$161,2,0)</f>
        <v>United States of America</v>
      </c>
    </row>
    <row r="6885" spans="1:8" x14ac:dyDescent="0.3">
      <c r="A6885" s="3">
        <v>46235.468726851846</v>
      </c>
      <c r="B6885" s="1">
        <v>17.36</v>
      </c>
      <c r="C6885" s="1">
        <v>15.05</v>
      </c>
      <c r="D6885" s="1">
        <v>0.93</v>
      </c>
      <c r="E6885" s="1" t="s">
        <v>119</v>
      </c>
      <c r="F6885" s="1" t="s">
        <v>119</v>
      </c>
      <c r="G6885" s="1" t="s">
        <v>119</v>
      </c>
      <c r="H6885" s="1" t="str">
        <f>VLOOKUP(F6885,Countries!$A$1:$B$161,2,0)</f>
        <v>Great Britain (United Kingdom)</v>
      </c>
    </row>
    <row r="6886" spans="1:8" x14ac:dyDescent="0.3">
      <c r="A6886" s="3">
        <v>46235.468159722222</v>
      </c>
      <c r="B6886" s="1">
        <v>3.88</v>
      </c>
      <c r="C6886" s="1">
        <v>3.36</v>
      </c>
      <c r="D6886" s="1">
        <v>0.37</v>
      </c>
      <c r="E6886" s="1" t="s">
        <v>137</v>
      </c>
      <c r="F6886" s="1" t="s">
        <v>137</v>
      </c>
      <c r="G6886" s="1" t="s">
        <v>137</v>
      </c>
      <c r="H6886" s="1" t="str">
        <f>VLOOKUP(F6886,Countries!$A$1:$B$161,2,0)</f>
        <v>Poland</v>
      </c>
    </row>
    <row r="6887" spans="1:8" x14ac:dyDescent="0.3">
      <c r="A6887" s="3">
        <v>46235.465277777781</v>
      </c>
      <c r="B6887" s="1">
        <v>17.36</v>
      </c>
      <c r="C6887" s="1">
        <v>15.05</v>
      </c>
      <c r="D6887" s="1">
        <v>0.93</v>
      </c>
      <c r="E6887" s="1" t="s">
        <v>119</v>
      </c>
      <c r="F6887" s="1" t="s">
        <v>119</v>
      </c>
      <c r="G6887" s="1" t="s">
        <v>119</v>
      </c>
      <c r="H6887" s="1" t="str">
        <f>VLOOKUP(F6887,Countries!$A$1:$B$161,2,0)</f>
        <v>Great Britain (United Kingdom)</v>
      </c>
    </row>
    <row r="6888" spans="1:8" x14ac:dyDescent="0.3">
      <c r="A6888" s="3">
        <v>46235.459421296298</v>
      </c>
      <c r="B6888" s="1">
        <v>6.37</v>
      </c>
      <c r="C6888" s="1">
        <v>5.52</v>
      </c>
      <c r="D6888" s="1">
        <v>0.54</v>
      </c>
      <c r="E6888" s="1" t="s">
        <v>113</v>
      </c>
      <c r="F6888" s="1" t="s">
        <v>113</v>
      </c>
      <c r="G6888" s="1" t="s">
        <v>113</v>
      </c>
      <c r="H6888" s="1" t="str">
        <f>VLOOKUP(F6888,Countries!$A$1:$B$161,2,0)</f>
        <v>United States of America</v>
      </c>
    </row>
    <row r="6889" spans="1:8" x14ac:dyDescent="0.3">
      <c r="A6889" s="3">
        <v>46235.459050925929</v>
      </c>
      <c r="B6889" s="1">
        <v>16.829999999999998</v>
      </c>
      <c r="C6889" s="1">
        <v>14.59</v>
      </c>
      <c r="D6889" s="1">
        <v>1.01</v>
      </c>
      <c r="E6889" s="1" t="s">
        <v>132</v>
      </c>
      <c r="F6889" s="1" t="s">
        <v>132</v>
      </c>
      <c r="G6889" s="1" t="s">
        <v>132</v>
      </c>
      <c r="H6889" s="1" t="str">
        <f>VLOOKUP(F6889,Countries!$A$1:$B$161,2,0)</f>
        <v>Canada</v>
      </c>
    </row>
    <row r="6890" spans="1:8" x14ac:dyDescent="0.3">
      <c r="A6890" s="3">
        <v>46235.458055555559</v>
      </c>
      <c r="B6890" s="1">
        <v>10.85</v>
      </c>
      <c r="C6890" s="1">
        <v>9.41</v>
      </c>
      <c r="D6890" s="1">
        <v>0.75</v>
      </c>
      <c r="E6890" s="1" t="s">
        <v>115</v>
      </c>
      <c r="F6890" s="1" t="s">
        <v>115</v>
      </c>
      <c r="G6890" s="1" t="s">
        <v>115</v>
      </c>
      <c r="H6890" s="1" t="str">
        <f>VLOOKUP(F6890,Countries!$A$1:$B$161,2,0)</f>
        <v>Switzerland</v>
      </c>
    </row>
    <row r="6891" spans="1:8" x14ac:dyDescent="0.3">
      <c r="A6891" s="3">
        <v>46235.452199074083</v>
      </c>
      <c r="B6891" s="1">
        <v>6.3</v>
      </c>
      <c r="C6891" s="1">
        <v>5.46</v>
      </c>
      <c r="D6891" s="1">
        <v>0.54</v>
      </c>
      <c r="E6891" s="1" t="s">
        <v>132</v>
      </c>
      <c r="F6891" s="1" t="s">
        <v>132</v>
      </c>
      <c r="G6891" s="1" t="s">
        <v>132</v>
      </c>
      <c r="H6891" s="1" t="str">
        <f>VLOOKUP(F6891,Countries!$A$1:$B$161,2,0)</f>
        <v>Canada</v>
      </c>
    </row>
    <row r="6892" spans="1:8" x14ac:dyDescent="0.3">
      <c r="A6892" s="3">
        <v>46235.434062499997</v>
      </c>
      <c r="B6892" s="1">
        <v>3.88</v>
      </c>
      <c r="C6892" s="1">
        <v>3.36</v>
      </c>
      <c r="D6892" s="1">
        <v>0.37</v>
      </c>
      <c r="E6892" s="1" t="s">
        <v>137</v>
      </c>
      <c r="F6892" s="1" t="s">
        <v>137</v>
      </c>
      <c r="G6892" s="1" t="s">
        <v>137</v>
      </c>
      <c r="H6892" s="1" t="str">
        <f>VLOOKUP(F6892,Countries!$A$1:$B$161,2,0)</f>
        <v>Poland</v>
      </c>
    </row>
    <row r="6893" spans="1:8" x14ac:dyDescent="0.3">
      <c r="A6893" s="3">
        <v>46235.429375</v>
      </c>
      <c r="B6893" s="1">
        <v>26.59</v>
      </c>
      <c r="C6893" s="1">
        <v>23.05</v>
      </c>
      <c r="D6893" s="1">
        <v>1.46</v>
      </c>
      <c r="E6893" s="1" t="s">
        <v>113</v>
      </c>
      <c r="F6893" s="1" t="s">
        <v>113</v>
      </c>
      <c r="G6893" s="1" t="s">
        <v>113</v>
      </c>
      <c r="H6893" s="1" t="str">
        <f>VLOOKUP(F6893,Countries!$A$1:$B$161,2,0)</f>
        <v>United States of America</v>
      </c>
    </row>
    <row r="6894" spans="1:8" x14ac:dyDescent="0.3">
      <c r="A6894" s="3">
        <v>46235.427812499998</v>
      </c>
      <c r="B6894" s="1">
        <v>7.48</v>
      </c>
      <c r="C6894" s="1">
        <v>6.48</v>
      </c>
      <c r="D6894" s="1">
        <v>0.54</v>
      </c>
      <c r="E6894" s="1" t="s">
        <v>119</v>
      </c>
      <c r="F6894" s="1" t="s">
        <v>119</v>
      </c>
      <c r="G6894" s="1" t="s">
        <v>119</v>
      </c>
      <c r="H6894" s="1" t="str">
        <f>VLOOKUP(F6894,Countries!$A$1:$B$161,2,0)</f>
        <v>Great Britain (United Kingdom)</v>
      </c>
    </row>
    <row r="6895" spans="1:8" x14ac:dyDescent="0.3">
      <c r="A6895" s="3">
        <v>46235.42728009259</v>
      </c>
      <c r="B6895" s="1">
        <v>18.03</v>
      </c>
      <c r="C6895" s="1">
        <v>15.63</v>
      </c>
      <c r="D6895" s="1">
        <v>0.79</v>
      </c>
      <c r="E6895" s="1" t="s">
        <v>117</v>
      </c>
      <c r="F6895" s="1" t="s">
        <v>117</v>
      </c>
      <c r="G6895" s="1" t="s">
        <v>117</v>
      </c>
      <c r="H6895" s="1" t="str">
        <f>VLOOKUP(F6895,Countries!$A$1:$B$161,2,0)</f>
        <v>Slovak Republic</v>
      </c>
    </row>
    <row r="6896" spans="1:8" x14ac:dyDescent="0.3">
      <c r="A6896" s="3">
        <v>46235.424953703703</v>
      </c>
      <c r="B6896" s="1">
        <v>6.37</v>
      </c>
      <c r="C6896" s="1">
        <v>5.52</v>
      </c>
      <c r="D6896" s="1">
        <v>0.54</v>
      </c>
      <c r="E6896" s="1" t="s">
        <v>113</v>
      </c>
      <c r="F6896" s="1" t="s">
        <v>113</v>
      </c>
      <c r="G6896" s="1" t="s">
        <v>113</v>
      </c>
      <c r="H6896" s="1" t="str">
        <f>VLOOKUP(F6896,Countries!$A$1:$B$161,2,0)</f>
        <v>United States of America</v>
      </c>
    </row>
    <row r="6897" spans="1:8" x14ac:dyDescent="0.3">
      <c r="A6897" s="3">
        <v>46235.411064814813</v>
      </c>
      <c r="B6897" s="1">
        <v>6.37</v>
      </c>
      <c r="C6897" s="1">
        <v>5.52</v>
      </c>
      <c r="D6897" s="1">
        <v>0.54</v>
      </c>
      <c r="E6897" s="1" t="s">
        <v>113</v>
      </c>
      <c r="F6897" s="1" t="s">
        <v>113</v>
      </c>
      <c r="G6897" s="1" t="s">
        <v>113</v>
      </c>
      <c r="H6897" s="1" t="str">
        <f>VLOOKUP(F6897,Countries!$A$1:$B$161,2,0)</f>
        <v>United States of America</v>
      </c>
    </row>
    <row r="6898" spans="1:8" x14ac:dyDescent="0.3">
      <c r="A6898" s="3">
        <v>46235.408032407409</v>
      </c>
      <c r="B6898" s="1">
        <v>6.37</v>
      </c>
      <c r="C6898" s="1">
        <v>5.52</v>
      </c>
      <c r="D6898" s="1">
        <v>0.54</v>
      </c>
      <c r="E6898" s="1" t="s">
        <v>113</v>
      </c>
      <c r="F6898" s="1" t="s">
        <v>113</v>
      </c>
      <c r="G6898" s="1" t="s">
        <v>113</v>
      </c>
      <c r="H6898" s="1" t="str">
        <f>VLOOKUP(F6898,Countries!$A$1:$B$161,2,0)</f>
        <v>United States of America</v>
      </c>
    </row>
    <row r="6899" spans="1:8" x14ac:dyDescent="0.3">
      <c r="A6899" s="3">
        <v>46235.40766203704</v>
      </c>
      <c r="B6899" s="1">
        <v>6.37</v>
      </c>
      <c r="C6899" s="1">
        <v>5.52</v>
      </c>
      <c r="D6899" s="1">
        <v>0.54</v>
      </c>
      <c r="E6899" s="1" t="s">
        <v>113</v>
      </c>
      <c r="F6899" s="1" t="s">
        <v>113</v>
      </c>
      <c r="G6899" s="1" t="s">
        <v>113</v>
      </c>
      <c r="H6899" s="1" t="str">
        <f>VLOOKUP(F6899,Countries!$A$1:$B$161,2,0)</f>
        <v>United States of America</v>
      </c>
    </row>
    <row r="6900" spans="1:8" x14ac:dyDescent="0.3">
      <c r="A6900" s="3">
        <v>46235.407256944447</v>
      </c>
      <c r="B6900" s="1">
        <v>6.37</v>
      </c>
      <c r="C6900" s="1">
        <v>5.52</v>
      </c>
      <c r="D6900" s="1">
        <v>0.54</v>
      </c>
      <c r="E6900" s="1" t="s">
        <v>113</v>
      </c>
      <c r="F6900" s="1" t="s">
        <v>113</v>
      </c>
      <c r="G6900" s="1" t="s">
        <v>113</v>
      </c>
      <c r="H6900" s="1" t="str">
        <f>VLOOKUP(F6900,Countries!$A$1:$B$161,2,0)</f>
        <v>United States of America</v>
      </c>
    </row>
    <row r="6901" spans="1:8" x14ac:dyDescent="0.3">
      <c r="A6901" s="3">
        <v>46235.404849537037</v>
      </c>
      <c r="B6901" s="1">
        <v>2.99</v>
      </c>
      <c r="C6901" s="1">
        <v>2.59</v>
      </c>
      <c r="D6901" s="1">
        <v>0.38</v>
      </c>
      <c r="E6901" s="1" t="s">
        <v>113</v>
      </c>
      <c r="F6901" s="1" t="s">
        <v>113</v>
      </c>
      <c r="G6901" s="1" t="s">
        <v>113</v>
      </c>
      <c r="H6901" s="1" t="str">
        <f>VLOOKUP(F6901,Countries!$A$1:$B$161,2,0)</f>
        <v>United States of America</v>
      </c>
    </row>
    <row r="6902" spans="1:8" x14ac:dyDescent="0.3">
      <c r="A6902" s="3">
        <v>46235.403032407397</v>
      </c>
      <c r="B6902" s="1">
        <v>6.37</v>
      </c>
      <c r="C6902" s="1">
        <v>5.52</v>
      </c>
      <c r="D6902" s="1">
        <v>0.54</v>
      </c>
      <c r="E6902" s="1" t="s">
        <v>113</v>
      </c>
      <c r="F6902" s="1" t="s">
        <v>113</v>
      </c>
      <c r="G6902" s="1" t="s">
        <v>113</v>
      </c>
      <c r="H6902" s="1" t="str">
        <f>VLOOKUP(F6902,Countries!$A$1:$B$161,2,0)</f>
        <v>United States of America</v>
      </c>
    </row>
    <row r="6903" spans="1:8" x14ac:dyDescent="0.3">
      <c r="A6903" s="3">
        <v>46235.393657407411</v>
      </c>
      <c r="B6903" s="1">
        <v>3.99</v>
      </c>
      <c r="C6903" s="1">
        <v>3.46</v>
      </c>
      <c r="D6903" s="1">
        <v>0.43</v>
      </c>
      <c r="E6903" s="1" t="s">
        <v>145</v>
      </c>
      <c r="F6903" s="1" t="s">
        <v>145</v>
      </c>
      <c r="G6903" s="1" t="s">
        <v>145</v>
      </c>
      <c r="H6903" s="1" t="str">
        <f>VLOOKUP(F6903,Countries!$A$1:$B$161,2,0)</f>
        <v>Thailand</v>
      </c>
    </row>
    <row r="6904" spans="1:8" x14ac:dyDescent="0.3">
      <c r="A6904" s="3">
        <v>46235.38548611111</v>
      </c>
      <c r="B6904" s="1">
        <v>10.62</v>
      </c>
      <c r="C6904" s="1">
        <v>9.2100000000000009</v>
      </c>
      <c r="D6904" s="1">
        <v>0.73</v>
      </c>
      <c r="E6904" s="1" t="s">
        <v>113</v>
      </c>
      <c r="F6904" s="1" t="s">
        <v>113</v>
      </c>
      <c r="G6904" s="1" t="s">
        <v>113</v>
      </c>
      <c r="H6904" s="1" t="str">
        <f>VLOOKUP(F6904,Countries!$A$1:$B$161,2,0)</f>
        <v>United States of America</v>
      </c>
    </row>
    <row r="6905" spans="1:8" x14ac:dyDescent="0.3">
      <c r="A6905" s="3">
        <v>46235.375104166669</v>
      </c>
      <c r="B6905" s="1">
        <v>6.37</v>
      </c>
      <c r="C6905" s="1">
        <v>5.52</v>
      </c>
      <c r="D6905" s="1">
        <v>0.54</v>
      </c>
      <c r="E6905" s="1" t="s">
        <v>113</v>
      </c>
      <c r="F6905" s="1" t="s">
        <v>113</v>
      </c>
      <c r="G6905" s="1" t="s">
        <v>113</v>
      </c>
      <c r="H6905" s="1" t="str">
        <f>VLOOKUP(F6905,Countries!$A$1:$B$161,2,0)</f>
        <v>United States of America</v>
      </c>
    </row>
    <row r="6906" spans="1:8" x14ac:dyDescent="0.3">
      <c r="A6906" s="3">
        <v>46235.374537037038</v>
      </c>
      <c r="B6906" s="1">
        <v>2.5099999999999998</v>
      </c>
      <c r="C6906" s="1">
        <v>2.1800000000000002</v>
      </c>
      <c r="D6906" s="1">
        <v>0.32</v>
      </c>
      <c r="E6906" s="1" t="s">
        <v>151</v>
      </c>
      <c r="F6906" s="1" t="s">
        <v>151</v>
      </c>
      <c r="G6906" s="1" t="s">
        <v>151</v>
      </c>
      <c r="H6906" s="1" t="str">
        <f>VLOOKUP(F6906,Countries!$A$1:$B$161,2,0)</f>
        <v>Netherlands (Holland)</v>
      </c>
    </row>
    <row r="6907" spans="1:8" x14ac:dyDescent="0.3">
      <c r="A6907" s="3">
        <v>46235.366516203707</v>
      </c>
      <c r="B6907" s="1">
        <v>6.37</v>
      </c>
      <c r="C6907" s="1">
        <v>5.52</v>
      </c>
      <c r="D6907" s="1">
        <v>0.54</v>
      </c>
      <c r="E6907" s="1" t="s">
        <v>113</v>
      </c>
      <c r="F6907" s="1" t="s">
        <v>113</v>
      </c>
      <c r="G6907" s="1" t="s">
        <v>113</v>
      </c>
      <c r="H6907" s="1" t="str">
        <f>VLOOKUP(F6907,Countries!$A$1:$B$161,2,0)</f>
        <v>United States of America</v>
      </c>
    </row>
    <row r="6908" spans="1:8" x14ac:dyDescent="0.3">
      <c r="A6908" s="3">
        <v>46235.351319444453</v>
      </c>
      <c r="B6908" s="1">
        <v>14.77</v>
      </c>
      <c r="C6908" s="1">
        <v>12.8</v>
      </c>
      <c r="D6908" s="1">
        <v>0.93</v>
      </c>
      <c r="E6908" s="1" t="s">
        <v>113</v>
      </c>
      <c r="F6908" s="1" t="s">
        <v>113</v>
      </c>
      <c r="G6908" s="1" t="s">
        <v>113</v>
      </c>
      <c r="H6908" s="1" t="str">
        <f>VLOOKUP(F6908,Countries!$A$1:$B$161,2,0)</f>
        <v>United States of America</v>
      </c>
    </row>
    <row r="6909" spans="1:8" x14ac:dyDescent="0.3">
      <c r="A6909" s="3">
        <v>46235.345393518517</v>
      </c>
      <c r="B6909" s="1">
        <v>6.37</v>
      </c>
      <c r="C6909" s="1">
        <v>5.52</v>
      </c>
      <c r="D6909" s="1">
        <v>0.54</v>
      </c>
      <c r="E6909" s="1" t="s">
        <v>113</v>
      </c>
      <c r="F6909" s="1" t="s">
        <v>113</v>
      </c>
      <c r="G6909" s="1" t="s">
        <v>113</v>
      </c>
      <c r="H6909" s="1" t="str">
        <f>VLOOKUP(F6909,Countries!$A$1:$B$161,2,0)</f>
        <v>United States of America</v>
      </c>
    </row>
    <row r="6910" spans="1:8" x14ac:dyDescent="0.3">
      <c r="A6910" s="3">
        <v>46235.345335648148</v>
      </c>
      <c r="B6910" s="1">
        <v>22.18</v>
      </c>
      <c r="C6910" s="1">
        <v>19.23</v>
      </c>
      <c r="D6910" s="1">
        <v>1.25</v>
      </c>
      <c r="E6910" s="1" t="s">
        <v>113</v>
      </c>
      <c r="F6910" s="1" t="s">
        <v>113</v>
      </c>
      <c r="G6910" s="1" t="s">
        <v>113</v>
      </c>
      <c r="H6910" s="1" t="str">
        <f>VLOOKUP(F6910,Countries!$A$1:$B$161,2,0)</f>
        <v>United States of America</v>
      </c>
    </row>
    <row r="6911" spans="1:8" x14ac:dyDescent="0.3">
      <c r="A6911" s="3">
        <v>46235.334837962961</v>
      </c>
      <c r="B6911" s="1">
        <v>6.37</v>
      </c>
      <c r="C6911" s="1">
        <v>5.52</v>
      </c>
      <c r="D6911" s="1">
        <v>0.54</v>
      </c>
      <c r="E6911" s="1" t="s">
        <v>113</v>
      </c>
      <c r="F6911" s="1" t="s">
        <v>113</v>
      </c>
      <c r="G6911" s="1" t="s">
        <v>113</v>
      </c>
      <c r="H6911" s="1" t="str">
        <f>VLOOKUP(F6911,Countries!$A$1:$B$161,2,0)</f>
        <v>United States of America</v>
      </c>
    </row>
    <row r="6912" spans="1:8" x14ac:dyDescent="0.3">
      <c r="A6912" s="3">
        <v>46235.331875000003</v>
      </c>
      <c r="B6912" s="1">
        <v>25.13</v>
      </c>
      <c r="C6912" s="1">
        <v>21.79</v>
      </c>
      <c r="D6912" s="1">
        <v>1.4</v>
      </c>
      <c r="E6912" s="1" t="s">
        <v>113</v>
      </c>
      <c r="F6912" s="1" t="s">
        <v>113</v>
      </c>
      <c r="G6912" s="1" t="s">
        <v>113</v>
      </c>
      <c r="H6912" s="1" t="str">
        <f>VLOOKUP(F6912,Countries!$A$1:$B$161,2,0)</f>
        <v>United States of America</v>
      </c>
    </row>
    <row r="6913" spans="1:8" x14ac:dyDescent="0.3">
      <c r="A6913" s="3">
        <v>46235.329953703702</v>
      </c>
      <c r="B6913" s="1">
        <v>7.39</v>
      </c>
      <c r="C6913" s="1">
        <v>6.41</v>
      </c>
      <c r="D6913" s="1">
        <v>0.48</v>
      </c>
      <c r="E6913" s="1" t="s">
        <v>147</v>
      </c>
      <c r="F6913" s="1" t="s">
        <v>147</v>
      </c>
      <c r="G6913" s="1" t="s">
        <v>147</v>
      </c>
      <c r="H6913" s="1" t="str">
        <f>VLOOKUP(F6913,Countries!$A$1:$B$161,2,0)</f>
        <v>Germany</v>
      </c>
    </row>
    <row r="6914" spans="1:8" x14ac:dyDescent="0.3">
      <c r="A6914" s="3">
        <v>46235.326631944437</v>
      </c>
      <c r="B6914" s="1">
        <v>3.69</v>
      </c>
      <c r="C6914" s="1">
        <v>3.2</v>
      </c>
      <c r="D6914" s="1">
        <v>0.36</v>
      </c>
      <c r="E6914" s="1" t="s">
        <v>159</v>
      </c>
      <c r="F6914" s="1" t="s">
        <v>159</v>
      </c>
      <c r="G6914" s="1" t="s">
        <v>159</v>
      </c>
      <c r="H6914" s="1" t="str">
        <f>VLOOKUP(F6914,Countries!$A$1:$B$161,2,0)</f>
        <v>Romania</v>
      </c>
    </row>
    <row r="6915" spans="1:8" x14ac:dyDescent="0.3">
      <c r="A6915" s="3">
        <v>46235.324525462973</v>
      </c>
      <c r="B6915" s="1">
        <v>6.37</v>
      </c>
      <c r="C6915" s="1">
        <v>5.52</v>
      </c>
      <c r="D6915" s="1">
        <v>0.54</v>
      </c>
      <c r="E6915" s="1" t="s">
        <v>113</v>
      </c>
      <c r="F6915" s="1" t="s">
        <v>113</v>
      </c>
      <c r="G6915" s="1" t="s">
        <v>113</v>
      </c>
      <c r="H6915" s="1" t="str">
        <f>VLOOKUP(F6915,Countries!$A$1:$B$161,2,0)</f>
        <v>United States of America</v>
      </c>
    </row>
    <row r="6916" spans="1:8" x14ac:dyDescent="0.3">
      <c r="A6916" s="3">
        <v>46235.321747685193</v>
      </c>
      <c r="B6916" s="1">
        <v>7.48</v>
      </c>
      <c r="C6916" s="1">
        <v>6.48</v>
      </c>
      <c r="D6916" s="1">
        <v>0.54</v>
      </c>
      <c r="E6916" s="1" t="s">
        <v>119</v>
      </c>
      <c r="F6916" s="1" t="s">
        <v>119</v>
      </c>
      <c r="G6916" s="1" t="s">
        <v>119</v>
      </c>
      <c r="H6916" s="1" t="str">
        <f>VLOOKUP(F6916,Countries!$A$1:$B$161,2,0)</f>
        <v>Great Britain (United Kingdom)</v>
      </c>
    </row>
    <row r="6917" spans="1:8" x14ac:dyDescent="0.3">
      <c r="A6917" s="3">
        <v>46235.31590277778</v>
      </c>
      <c r="B6917" s="1">
        <v>1.99</v>
      </c>
      <c r="C6917" s="1">
        <v>1.73</v>
      </c>
      <c r="D6917" s="1">
        <v>0.34</v>
      </c>
      <c r="E6917" s="1" t="s">
        <v>164</v>
      </c>
      <c r="F6917" s="1" t="s">
        <v>164</v>
      </c>
      <c r="G6917" s="1" t="s">
        <v>164</v>
      </c>
      <c r="H6917" s="1" t="str">
        <f>VLOOKUP(F6917,Countries!$A$1:$B$161,2,0)</f>
        <v>Guyana</v>
      </c>
    </row>
    <row r="6918" spans="1:8" x14ac:dyDescent="0.3">
      <c r="A6918" s="3">
        <v>46235.310729166667</v>
      </c>
      <c r="B6918" s="1">
        <v>7.48</v>
      </c>
      <c r="C6918" s="1">
        <v>6.48</v>
      </c>
      <c r="D6918" s="1">
        <v>0.48</v>
      </c>
      <c r="E6918" s="1" t="s">
        <v>123</v>
      </c>
      <c r="F6918" s="1" t="s">
        <v>123</v>
      </c>
      <c r="G6918" s="1" t="s">
        <v>123</v>
      </c>
      <c r="H6918" s="1" t="str">
        <f>VLOOKUP(F6918,Countries!$A$1:$B$161,2,0)</f>
        <v>France</v>
      </c>
    </row>
    <row r="6919" spans="1:8" x14ac:dyDescent="0.3">
      <c r="A6919" s="3">
        <v>46235.305787037039</v>
      </c>
      <c r="B6919" s="1">
        <v>14.77</v>
      </c>
      <c r="C6919" s="1">
        <v>12.8</v>
      </c>
      <c r="D6919" s="1">
        <v>0.93</v>
      </c>
      <c r="E6919" s="1" t="s">
        <v>113</v>
      </c>
      <c r="F6919" s="1" t="s">
        <v>113</v>
      </c>
      <c r="G6919" s="1" t="s">
        <v>113</v>
      </c>
      <c r="H6919" s="1" t="str">
        <f>VLOOKUP(F6919,Countries!$A$1:$B$161,2,0)</f>
        <v>United States of America</v>
      </c>
    </row>
    <row r="6920" spans="1:8" x14ac:dyDescent="0.3">
      <c r="A6920" s="3">
        <v>46235.30064814815</v>
      </c>
      <c r="B6920" s="1">
        <v>42.54</v>
      </c>
      <c r="C6920" s="1">
        <v>36.880000000000003</v>
      </c>
      <c r="D6920" s="1">
        <v>2.19</v>
      </c>
      <c r="E6920" s="1" t="s">
        <v>113</v>
      </c>
      <c r="F6920" s="1" t="s">
        <v>113</v>
      </c>
      <c r="G6920" s="1" t="s">
        <v>113</v>
      </c>
      <c r="H6920" s="1" t="str">
        <f>VLOOKUP(F6920,Countries!$A$1:$B$161,2,0)</f>
        <v>United States of America</v>
      </c>
    </row>
    <row r="6921" spans="1:8" x14ac:dyDescent="0.3">
      <c r="A6921" s="3">
        <v>46235.300520833327</v>
      </c>
      <c r="B6921" s="1">
        <v>1.99</v>
      </c>
      <c r="C6921" s="1">
        <v>1.73</v>
      </c>
      <c r="D6921" s="1">
        <v>0.34</v>
      </c>
      <c r="E6921" s="1" t="s">
        <v>148</v>
      </c>
      <c r="F6921" s="1" t="s">
        <v>148</v>
      </c>
      <c r="G6921" s="1" t="s">
        <v>148</v>
      </c>
      <c r="H6921" s="1" t="str">
        <f>VLOOKUP(F6921,Countries!$A$1:$B$161,2,0)</f>
        <v>Honduras</v>
      </c>
    </row>
    <row r="6922" spans="1:8" x14ac:dyDescent="0.3">
      <c r="A6922" s="3">
        <v>46235.29886574074</v>
      </c>
      <c r="B6922" s="1">
        <v>6.37</v>
      </c>
      <c r="C6922" s="1">
        <v>5.52</v>
      </c>
      <c r="D6922" s="1">
        <v>0.54</v>
      </c>
      <c r="E6922" s="1" t="s">
        <v>113</v>
      </c>
      <c r="F6922" s="1" t="s">
        <v>113</v>
      </c>
      <c r="G6922" s="1" t="s">
        <v>113</v>
      </c>
      <c r="H6922" s="1" t="str">
        <f>VLOOKUP(F6922,Countries!$A$1:$B$161,2,0)</f>
        <v>United States of America</v>
      </c>
    </row>
    <row r="6923" spans="1:8" x14ac:dyDescent="0.3">
      <c r="A6923" s="3">
        <v>46235.270752314813</v>
      </c>
      <c r="B6923" s="1">
        <v>17.36</v>
      </c>
      <c r="C6923" s="1">
        <v>15.05</v>
      </c>
      <c r="D6923" s="1">
        <v>0.78</v>
      </c>
      <c r="E6923" s="1" t="s">
        <v>123</v>
      </c>
      <c r="F6923" s="1" t="s">
        <v>123</v>
      </c>
      <c r="G6923" s="1" t="s">
        <v>123</v>
      </c>
      <c r="H6923" s="1" t="str">
        <f>VLOOKUP(F6923,Countries!$A$1:$B$161,2,0)</f>
        <v>France</v>
      </c>
    </row>
    <row r="6924" spans="1:8" x14ac:dyDescent="0.3">
      <c r="A6924" s="3">
        <v>46235.268761574072</v>
      </c>
      <c r="B6924" s="1">
        <v>3.39</v>
      </c>
      <c r="C6924" s="1">
        <v>2.94</v>
      </c>
      <c r="D6924" s="1">
        <v>0.41</v>
      </c>
      <c r="E6924" s="1" t="s">
        <v>114</v>
      </c>
      <c r="F6924" s="1" t="s">
        <v>114</v>
      </c>
      <c r="G6924" s="1" t="s">
        <v>114</v>
      </c>
      <c r="H6924" s="1" t="str">
        <f>VLOOKUP(F6924,Countries!$A$1:$B$161,2,0)</f>
        <v>Philippines</v>
      </c>
    </row>
    <row r="6925" spans="1:8" x14ac:dyDescent="0.3">
      <c r="A6925" s="3">
        <v>46235.268692129634</v>
      </c>
      <c r="B6925" s="1">
        <v>1.99</v>
      </c>
      <c r="C6925" s="1">
        <v>1.73</v>
      </c>
      <c r="D6925" s="1">
        <v>0.34</v>
      </c>
      <c r="E6925" s="1" t="s">
        <v>126</v>
      </c>
      <c r="F6925" s="1" t="s">
        <v>126</v>
      </c>
      <c r="G6925" s="1" t="s">
        <v>126</v>
      </c>
      <c r="H6925" s="1" t="str">
        <f>VLOOKUP(F6925,Countries!$A$1:$B$161,2,0)</f>
        <v>Cambodia</v>
      </c>
    </row>
    <row r="6926" spans="1:8" x14ac:dyDescent="0.3">
      <c r="A6926" s="3">
        <v>46235.268333333333</v>
      </c>
      <c r="B6926" s="1">
        <v>6.37</v>
      </c>
      <c r="C6926" s="1">
        <v>5.52</v>
      </c>
      <c r="D6926" s="1">
        <v>0.54</v>
      </c>
      <c r="E6926" s="1" t="s">
        <v>113</v>
      </c>
      <c r="F6926" s="1" t="s">
        <v>113</v>
      </c>
      <c r="G6926" s="1" t="s">
        <v>113</v>
      </c>
      <c r="H6926" s="1" t="str">
        <f>VLOOKUP(F6926,Countries!$A$1:$B$161,2,0)</f>
        <v>United States of America</v>
      </c>
    </row>
    <row r="6927" spans="1:8" x14ac:dyDescent="0.3">
      <c r="A6927" s="3">
        <v>46235.266041666669</v>
      </c>
      <c r="B6927" s="1">
        <v>6.37</v>
      </c>
      <c r="C6927" s="1">
        <v>5.52</v>
      </c>
      <c r="D6927" s="1">
        <v>0.54</v>
      </c>
      <c r="E6927" s="1" t="s">
        <v>113</v>
      </c>
      <c r="F6927" s="1" t="s">
        <v>113</v>
      </c>
      <c r="G6927" s="1" t="s">
        <v>113</v>
      </c>
      <c r="H6927" s="1" t="str">
        <f>VLOOKUP(F6927,Countries!$A$1:$B$161,2,0)</f>
        <v>United States of America</v>
      </c>
    </row>
    <row r="6928" spans="1:8" x14ac:dyDescent="0.3">
      <c r="A6928" s="3">
        <v>46235.263726851852</v>
      </c>
      <c r="B6928" s="1">
        <v>6.37</v>
      </c>
      <c r="C6928" s="1">
        <v>5.52</v>
      </c>
      <c r="D6928" s="1">
        <v>0.54</v>
      </c>
      <c r="E6928" s="1" t="s">
        <v>113</v>
      </c>
      <c r="F6928" s="1" t="s">
        <v>113</v>
      </c>
      <c r="G6928" s="1" t="s">
        <v>113</v>
      </c>
      <c r="H6928" s="1" t="str">
        <f>VLOOKUP(F6928,Countries!$A$1:$B$161,2,0)</f>
        <v>United States of America</v>
      </c>
    </row>
    <row r="6929" spans="1:8" x14ac:dyDescent="0.3">
      <c r="A6929" s="3">
        <v>46235.260740740741</v>
      </c>
      <c r="B6929" s="1">
        <v>17.36</v>
      </c>
      <c r="C6929" s="1">
        <v>15.05</v>
      </c>
      <c r="D6929" s="1">
        <v>0.78</v>
      </c>
      <c r="E6929" s="1" t="s">
        <v>123</v>
      </c>
      <c r="F6929" s="1" t="s">
        <v>123</v>
      </c>
      <c r="G6929" s="1" t="s">
        <v>123</v>
      </c>
      <c r="H6929" s="1" t="str">
        <f>VLOOKUP(F6929,Countries!$A$1:$B$161,2,0)</f>
        <v>France</v>
      </c>
    </row>
    <row r="6930" spans="1:8" x14ac:dyDescent="0.3">
      <c r="A6930" s="3">
        <v>46235.257662037038</v>
      </c>
      <c r="B6930" s="1">
        <v>6.37</v>
      </c>
      <c r="C6930" s="1">
        <v>5.52</v>
      </c>
      <c r="D6930" s="1">
        <v>0.54</v>
      </c>
      <c r="E6930" s="1" t="s">
        <v>113</v>
      </c>
      <c r="F6930" s="1" t="s">
        <v>113</v>
      </c>
      <c r="G6930" s="1" t="s">
        <v>113</v>
      </c>
      <c r="H6930" s="1" t="str">
        <f>VLOOKUP(F6930,Countries!$A$1:$B$161,2,0)</f>
        <v>United States of America</v>
      </c>
    </row>
    <row r="6931" spans="1:8" x14ac:dyDescent="0.3">
      <c r="A6931" s="3">
        <v>46235.254236111112</v>
      </c>
      <c r="B6931" s="1">
        <v>6.37</v>
      </c>
      <c r="C6931" s="1">
        <v>5.52</v>
      </c>
      <c r="D6931" s="1">
        <v>0.54</v>
      </c>
      <c r="E6931" s="1" t="s">
        <v>113</v>
      </c>
      <c r="F6931" s="1" t="s">
        <v>113</v>
      </c>
      <c r="G6931" s="1" t="s">
        <v>113</v>
      </c>
      <c r="H6931" s="1" t="str">
        <f>VLOOKUP(F6931,Countries!$A$1:$B$161,2,0)</f>
        <v>United States of America</v>
      </c>
    </row>
    <row r="6932" spans="1:8" x14ac:dyDescent="0.3">
      <c r="A6932" s="3">
        <v>46235.249074074083</v>
      </c>
      <c r="B6932" s="1">
        <v>1.99</v>
      </c>
      <c r="C6932" s="1">
        <v>1.73</v>
      </c>
      <c r="D6932" s="1">
        <v>0.34</v>
      </c>
      <c r="E6932" s="1" t="s">
        <v>182</v>
      </c>
      <c r="F6932" s="1" t="s">
        <v>182</v>
      </c>
      <c r="G6932" s="1" t="s">
        <v>182</v>
      </c>
      <c r="H6932" s="1" t="str">
        <f>VLOOKUP(F6932,Countries!$A$1:$B$161,2,0)</f>
        <v>Guatemala</v>
      </c>
    </row>
    <row r="6933" spans="1:8" x14ac:dyDescent="0.3">
      <c r="A6933" s="3">
        <v>46235.248657407406</v>
      </c>
      <c r="B6933" s="1">
        <v>14.77</v>
      </c>
      <c r="C6933" s="1">
        <v>12.8</v>
      </c>
      <c r="D6933" s="1">
        <v>0.93</v>
      </c>
      <c r="E6933" s="1" t="s">
        <v>113</v>
      </c>
      <c r="F6933" s="1" t="s">
        <v>113</v>
      </c>
      <c r="G6933" s="1" t="s">
        <v>113</v>
      </c>
      <c r="H6933" s="1" t="str">
        <f>VLOOKUP(F6933,Countries!$A$1:$B$161,2,0)</f>
        <v>United States of America</v>
      </c>
    </row>
    <row r="6934" spans="1:8" x14ac:dyDescent="0.3">
      <c r="A6934" s="3">
        <v>46235.246018518519</v>
      </c>
      <c r="B6934" s="1">
        <v>17.36</v>
      </c>
      <c r="C6934" s="1">
        <v>15.05</v>
      </c>
      <c r="D6934" s="1">
        <v>0.78</v>
      </c>
      <c r="E6934" s="1" t="s">
        <v>123</v>
      </c>
      <c r="F6934" s="1" t="s">
        <v>123</v>
      </c>
      <c r="G6934" s="1" t="s">
        <v>123</v>
      </c>
      <c r="H6934" s="1" t="str">
        <f>VLOOKUP(F6934,Countries!$A$1:$B$161,2,0)</f>
        <v>France</v>
      </c>
    </row>
    <row r="6935" spans="1:8" x14ac:dyDescent="0.3">
      <c r="A6935" s="3">
        <v>46235.242175925923</v>
      </c>
      <c r="B6935" s="1">
        <v>43.43</v>
      </c>
      <c r="C6935" s="1">
        <v>37.65</v>
      </c>
      <c r="D6935" s="1">
        <v>1.56</v>
      </c>
      <c r="E6935" s="1" t="s">
        <v>123</v>
      </c>
      <c r="F6935" s="1" t="s">
        <v>123</v>
      </c>
      <c r="G6935" s="1" t="s">
        <v>123</v>
      </c>
      <c r="H6935" s="1" t="str">
        <f>VLOOKUP(F6935,Countries!$A$1:$B$161,2,0)</f>
        <v>France</v>
      </c>
    </row>
    <row r="6936" spans="1:8" x14ac:dyDescent="0.3">
      <c r="A6936" s="3">
        <v>46235.235844907409</v>
      </c>
      <c r="B6936" s="1">
        <v>3.35</v>
      </c>
      <c r="C6936" s="1">
        <v>2.9</v>
      </c>
      <c r="D6936" s="1">
        <v>0.4</v>
      </c>
      <c r="E6936" s="1" t="s">
        <v>149</v>
      </c>
      <c r="F6936" s="1" t="s">
        <v>149</v>
      </c>
      <c r="G6936" s="1" t="s">
        <v>149</v>
      </c>
      <c r="H6936" s="1" t="str">
        <f>VLOOKUP(F6936,Countries!$A$1:$B$161,2,0)</f>
        <v>Indonesia</v>
      </c>
    </row>
    <row r="6937" spans="1:8" x14ac:dyDescent="0.3">
      <c r="A6937" s="3">
        <v>46235.235381944447</v>
      </c>
      <c r="B6937" s="1">
        <v>12.48</v>
      </c>
      <c r="C6937" s="1">
        <v>10.82</v>
      </c>
      <c r="D6937" s="1">
        <v>0.63</v>
      </c>
      <c r="E6937" s="1" t="s">
        <v>123</v>
      </c>
      <c r="F6937" s="1" t="s">
        <v>123</v>
      </c>
      <c r="G6937" s="1" t="s">
        <v>123</v>
      </c>
      <c r="H6937" s="1" t="str">
        <f>VLOOKUP(F6937,Countries!$A$1:$B$161,2,0)</f>
        <v>France</v>
      </c>
    </row>
    <row r="6938" spans="1:8" x14ac:dyDescent="0.3">
      <c r="A6938" s="3">
        <v>46235.234189814822</v>
      </c>
      <c r="B6938" s="1">
        <v>6.37</v>
      </c>
      <c r="C6938" s="1">
        <v>5.52</v>
      </c>
      <c r="D6938" s="1">
        <v>0.54</v>
      </c>
      <c r="E6938" s="1" t="s">
        <v>113</v>
      </c>
      <c r="F6938" s="1" t="s">
        <v>113</v>
      </c>
      <c r="G6938" s="1" t="s">
        <v>113</v>
      </c>
      <c r="H6938" s="1" t="str">
        <f>VLOOKUP(F6938,Countries!$A$1:$B$161,2,0)</f>
        <v>United States of America</v>
      </c>
    </row>
    <row r="6939" spans="1:8" x14ac:dyDescent="0.3">
      <c r="A6939" s="3">
        <v>46235.22451388889</v>
      </c>
      <c r="B6939" s="1">
        <v>14.77</v>
      </c>
      <c r="C6939" s="1">
        <v>12.8</v>
      </c>
      <c r="D6939" s="1">
        <v>0.93</v>
      </c>
      <c r="E6939" s="1" t="s">
        <v>113</v>
      </c>
      <c r="F6939" s="1" t="s">
        <v>113</v>
      </c>
      <c r="G6939" s="1" t="s">
        <v>113</v>
      </c>
      <c r="H6939" s="1" t="str">
        <f>VLOOKUP(F6939,Countries!$A$1:$B$161,2,0)</f>
        <v>United States of America</v>
      </c>
    </row>
    <row r="6940" spans="1:8" x14ac:dyDescent="0.3">
      <c r="A6940" s="3">
        <v>46235.218912037039</v>
      </c>
      <c r="B6940" s="1">
        <v>7.48</v>
      </c>
      <c r="C6940" s="1">
        <v>6.48</v>
      </c>
      <c r="D6940" s="1">
        <v>0.48</v>
      </c>
      <c r="E6940" s="1" t="s">
        <v>123</v>
      </c>
      <c r="F6940" s="1" t="s">
        <v>123</v>
      </c>
      <c r="G6940" s="1" t="s">
        <v>123</v>
      </c>
      <c r="H6940" s="1" t="str">
        <f>VLOOKUP(F6940,Countries!$A$1:$B$161,2,0)</f>
        <v>France</v>
      </c>
    </row>
    <row r="6941" spans="1:8" x14ac:dyDescent="0.3">
      <c r="A6941" s="3">
        <v>46235.216249999998</v>
      </c>
      <c r="B6941" s="1">
        <v>6.37</v>
      </c>
      <c r="C6941" s="1">
        <v>5.52</v>
      </c>
      <c r="D6941" s="1">
        <v>0.54</v>
      </c>
      <c r="E6941" s="1" t="s">
        <v>113</v>
      </c>
      <c r="F6941" s="1" t="s">
        <v>113</v>
      </c>
      <c r="G6941" s="1" t="s">
        <v>113</v>
      </c>
      <c r="H6941" s="1" t="str">
        <f>VLOOKUP(F6941,Countries!$A$1:$B$161,2,0)</f>
        <v>United States of America</v>
      </c>
    </row>
    <row r="6942" spans="1:8" x14ac:dyDescent="0.3">
      <c r="A6942" s="3">
        <v>46235.214212962957</v>
      </c>
      <c r="B6942" s="1">
        <v>7.21</v>
      </c>
      <c r="C6942" s="1">
        <v>6.25</v>
      </c>
      <c r="D6942" s="1">
        <v>0.57999999999999996</v>
      </c>
      <c r="E6942" s="1" t="s">
        <v>165</v>
      </c>
      <c r="F6942" s="1" t="s">
        <v>165</v>
      </c>
      <c r="G6942" s="1" t="s">
        <v>165</v>
      </c>
      <c r="H6942" s="1" t="str">
        <f>VLOOKUP(F6942,Countries!$A$1:$B$161,2,0)</f>
        <v>Israel</v>
      </c>
    </row>
    <row r="6943" spans="1:8" x14ac:dyDescent="0.3">
      <c r="A6943" s="3">
        <v>46235.210636574076</v>
      </c>
      <c r="B6943" s="1">
        <v>6.37</v>
      </c>
      <c r="C6943" s="1">
        <v>5.52</v>
      </c>
      <c r="D6943" s="1">
        <v>0.54</v>
      </c>
      <c r="E6943" s="1" t="s">
        <v>113</v>
      </c>
      <c r="F6943" s="1" t="s">
        <v>113</v>
      </c>
      <c r="G6943" s="1" t="s">
        <v>113</v>
      </c>
      <c r="H6943" s="1" t="str">
        <f>VLOOKUP(F6943,Countries!$A$1:$B$161,2,0)</f>
        <v>United States of America</v>
      </c>
    </row>
    <row r="6944" spans="1:8" x14ac:dyDescent="0.3">
      <c r="A6944" s="3">
        <v>46235.198263888888</v>
      </c>
      <c r="B6944" s="1">
        <v>6.37</v>
      </c>
      <c r="C6944" s="1">
        <v>5.52</v>
      </c>
      <c r="D6944" s="1">
        <v>0.54</v>
      </c>
      <c r="E6944" s="1" t="s">
        <v>113</v>
      </c>
      <c r="F6944" s="1" t="s">
        <v>113</v>
      </c>
      <c r="G6944" s="1" t="s">
        <v>113</v>
      </c>
      <c r="H6944" s="1" t="str">
        <f>VLOOKUP(F6944,Countries!$A$1:$B$161,2,0)</f>
        <v>United States of America</v>
      </c>
    </row>
    <row r="6945" spans="1:8" x14ac:dyDescent="0.3">
      <c r="A6945" s="3">
        <v>46235.185150462959</v>
      </c>
      <c r="B6945" s="1">
        <v>12.48</v>
      </c>
      <c r="C6945" s="1">
        <v>10.82</v>
      </c>
      <c r="D6945" s="1">
        <v>0.74</v>
      </c>
      <c r="E6945" s="1" t="s">
        <v>119</v>
      </c>
      <c r="F6945" s="1" t="s">
        <v>119</v>
      </c>
      <c r="G6945" s="1" t="s">
        <v>119</v>
      </c>
      <c r="H6945" s="1" t="str">
        <f>VLOOKUP(F6945,Countries!$A$1:$B$161,2,0)</f>
        <v>Great Britain (United Kingdom)</v>
      </c>
    </row>
    <row r="6946" spans="1:8" x14ac:dyDescent="0.3">
      <c r="A6946" s="3">
        <v>46235.181550925918</v>
      </c>
      <c r="B6946" s="1">
        <v>17.36</v>
      </c>
      <c r="C6946" s="1">
        <v>15.05</v>
      </c>
      <c r="D6946" s="1">
        <v>0.93</v>
      </c>
      <c r="E6946" s="1" t="s">
        <v>119</v>
      </c>
      <c r="F6946" s="1" t="s">
        <v>119</v>
      </c>
      <c r="G6946" s="1" t="s">
        <v>119</v>
      </c>
      <c r="H6946" s="1" t="str">
        <f>VLOOKUP(F6946,Countries!$A$1:$B$161,2,0)</f>
        <v>Great Britain (United Kingdom)</v>
      </c>
    </row>
    <row r="6947" spans="1:8" x14ac:dyDescent="0.3">
      <c r="A6947" s="3">
        <v>46235.181296296287</v>
      </c>
      <c r="B6947" s="1">
        <v>7.48</v>
      </c>
      <c r="C6947" s="1">
        <v>6.48</v>
      </c>
      <c r="D6947" s="1">
        <v>0.48</v>
      </c>
      <c r="E6947" s="1" t="s">
        <v>123</v>
      </c>
      <c r="F6947" s="1" t="s">
        <v>123</v>
      </c>
      <c r="G6947" s="1" t="s">
        <v>123</v>
      </c>
      <c r="H6947" s="1" t="str">
        <f>VLOOKUP(F6947,Countries!$A$1:$B$161,2,0)</f>
        <v>France</v>
      </c>
    </row>
    <row r="6948" spans="1:8" x14ac:dyDescent="0.3">
      <c r="A6948" s="3">
        <v>46235.172048611108</v>
      </c>
      <c r="B6948" s="1">
        <v>2.09</v>
      </c>
      <c r="C6948" s="1">
        <v>1.81</v>
      </c>
      <c r="D6948" s="1">
        <v>0.35</v>
      </c>
      <c r="E6948" s="1" t="s">
        <v>166</v>
      </c>
      <c r="F6948" s="1" t="s">
        <v>143</v>
      </c>
      <c r="G6948" s="1" t="s">
        <v>143</v>
      </c>
      <c r="H6948" s="1" t="str">
        <f>VLOOKUP(F6948,Countries!$A$1:$B$161,2,0)</f>
        <v>United Arab Emirates</v>
      </c>
    </row>
    <row r="6949" spans="1:8" x14ac:dyDescent="0.3">
      <c r="A6949" s="3">
        <v>46235.162418981483</v>
      </c>
      <c r="B6949" s="1">
        <v>6.37</v>
      </c>
      <c r="C6949" s="1">
        <v>5.52</v>
      </c>
      <c r="D6949" s="1">
        <v>0.54</v>
      </c>
      <c r="E6949" s="1" t="s">
        <v>113</v>
      </c>
      <c r="F6949" s="1" t="s">
        <v>113</v>
      </c>
      <c r="G6949" s="1" t="s">
        <v>113</v>
      </c>
      <c r="H6949" s="1" t="str">
        <f>VLOOKUP(F6949,Countries!$A$1:$B$161,2,0)</f>
        <v>United States of America</v>
      </c>
    </row>
    <row r="6950" spans="1:8" x14ac:dyDescent="0.3">
      <c r="A6950" s="3">
        <v>46235.142893518518</v>
      </c>
      <c r="B6950" s="1">
        <v>26.59</v>
      </c>
      <c r="C6950" s="1">
        <v>23.05</v>
      </c>
      <c r="D6950" s="1">
        <v>1.46</v>
      </c>
      <c r="E6950" s="1" t="s">
        <v>113</v>
      </c>
      <c r="F6950" s="1" t="s">
        <v>113</v>
      </c>
      <c r="G6950" s="1" t="s">
        <v>113</v>
      </c>
      <c r="H6950" s="1" t="str">
        <f>VLOOKUP(F6950,Countries!$A$1:$B$161,2,0)</f>
        <v>United States of America</v>
      </c>
    </row>
    <row r="6951" spans="1:8" x14ac:dyDescent="0.3">
      <c r="A6951" s="3">
        <v>46235.141932870371</v>
      </c>
      <c r="B6951" s="1">
        <v>29.57</v>
      </c>
      <c r="C6951" s="1">
        <v>25.63</v>
      </c>
      <c r="D6951" s="1">
        <v>1.59</v>
      </c>
      <c r="E6951" s="1" t="s">
        <v>113</v>
      </c>
      <c r="F6951" s="1" t="s">
        <v>113</v>
      </c>
      <c r="G6951" s="1" t="s">
        <v>113</v>
      </c>
      <c r="H6951" s="1" t="str">
        <f>VLOOKUP(F6951,Countries!$A$1:$B$161,2,0)</f>
        <v>United States of America</v>
      </c>
    </row>
    <row r="6952" spans="1:8" x14ac:dyDescent="0.3">
      <c r="A6952" s="3">
        <v>46235.138009259259</v>
      </c>
      <c r="B6952" s="1">
        <v>17.36</v>
      </c>
      <c r="C6952" s="1">
        <v>15.05</v>
      </c>
      <c r="D6952" s="1">
        <v>0.93</v>
      </c>
      <c r="E6952" s="1" t="s">
        <v>119</v>
      </c>
      <c r="F6952" s="1" t="s">
        <v>119</v>
      </c>
      <c r="G6952" s="1" t="s">
        <v>119</v>
      </c>
      <c r="H6952" s="1" t="str">
        <f>VLOOKUP(F6952,Countries!$A$1:$B$161,2,0)</f>
        <v>Great Britain (United Kingdom)</v>
      </c>
    </row>
    <row r="6953" spans="1:8" x14ac:dyDescent="0.3">
      <c r="A6953" s="3">
        <v>46235.137048611112</v>
      </c>
      <c r="B6953" s="1">
        <v>17.010000000000002</v>
      </c>
      <c r="C6953" s="1">
        <v>14.75</v>
      </c>
      <c r="D6953" s="1">
        <v>1.03</v>
      </c>
      <c r="E6953" s="1" t="s">
        <v>113</v>
      </c>
      <c r="F6953" s="1" t="s">
        <v>113</v>
      </c>
      <c r="G6953" s="1" t="s">
        <v>113</v>
      </c>
      <c r="H6953" s="1" t="str">
        <f>VLOOKUP(F6953,Countries!$A$1:$B$161,2,0)</f>
        <v>United States of America</v>
      </c>
    </row>
    <row r="6954" spans="1:8" x14ac:dyDescent="0.3">
      <c r="A6954" s="3">
        <v>46235.134918981479</v>
      </c>
      <c r="B6954" s="1">
        <v>2.99</v>
      </c>
      <c r="C6954" s="1">
        <v>2.59</v>
      </c>
      <c r="D6954" s="1">
        <v>0.38</v>
      </c>
      <c r="E6954" s="1" t="s">
        <v>113</v>
      </c>
      <c r="F6954" s="1" t="s">
        <v>113</v>
      </c>
      <c r="G6954" s="1" t="s">
        <v>113</v>
      </c>
      <c r="H6954" s="1" t="str">
        <f>VLOOKUP(F6954,Countries!$A$1:$B$161,2,0)</f>
        <v>United States of America</v>
      </c>
    </row>
    <row r="6955" spans="1:8" x14ac:dyDescent="0.3">
      <c r="A6955" s="3">
        <v>46235.134375000001</v>
      </c>
      <c r="B6955" s="1">
        <v>69.5</v>
      </c>
      <c r="C6955" s="1">
        <v>60.25</v>
      </c>
      <c r="D6955" s="1">
        <v>2.97</v>
      </c>
      <c r="E6955" s="1" t="s">
        <v>119</v>
      </c>
      <c r="F6955" s="1" t="s">
        <v>119</v>
      </c>
      <c r="G6955" s="1" t="s">
        <v>119</v>
      </c>
      <c r="H6955" s="1" t="str">
        <f>VLOOKUP(F6955,Countries!$A$1:$B$161,2,0)</f>
        <v>Great Britain (United Kingdom)</v>
      </c>
    </row>
    <row r="6956" spans="1:8" x14ac:dyDescent="0.3">
      <c r="A6956" s="3">
        <v>46235.126423611109</v>
      </c>
      <c r="B6956" s="1">
        <v>4.24</v>
      </c>
      <c r="C6956" s="1">
        <v>3.68</v>
      </c>
      <c r="D6956" s="1">
        <v>0.44</v>
      </c>
      <c r="E6956" s="1"/>
      <c r="F6956" s="1" t="s">
        <v>113</v>
      </c>
      <c r="G6956" s="1" t="s">
        <v>113</v>
      </c>
      <c r="H6956" s="1" t="str">
        <f>VLOOKUP(F6956,Countries!$A$1:$B$161,2,0)</f>
        <v>United States of America</v>
      </c>
    </row>
    <row r="6957" spans="1:8" x14ac:dyDescent="0.3">
      <c r="A6957" s="3">
        <v>46235.120046296302</v>
      </c>
      <c r="B6957" s="1">
        <v>6.65</v>
      </c>
      <c r="C6957" s="1">
        <v>5.76</v>
      </c>
      <c r="D6957" s="1">
        <v>0.56000000000000005</v>
      </c>
      <c r="E6957" s="1" t="s">
        <v>130</v>
      </c>
      <c r="F6957" s="1" t="s">
        <v>130</v>
      </c>
      <c r="G6957" s="1" t="s">
        <v>130</v>
      </c>
      <c r="H6957" s="1" t="str">
        <f>VLOOKUP(F6957,Countries!$A$1:$B$161,2,0)</f>
        <v>Australia</v>
      </c>
    </row>
    <row r="6958" spans="1:8" x14ac:dyDescent="0.3">
      <c r="A6958" s="3">
        <v>46235.117708333331</v>
      </c>
      <c r="B6958" s="1">
        <v>42.54</v>
      </c>
      <c r="C6958" s="1">
        <v>36.880000000000003</v>
      </c>
      <c r="D6958" s="1">
        <v>2.19</v>
      </c>
      <c r="E6958" s="1" t="s">
        <v>113</v>
      </c>
      <c r="F6958" s="1" t="s">
        <v>113</v>
      </c>
      <c r="G6958" s="1" t="s">
        <v>113</v>
      </c>
      <c r="H6958" s="1" t="str">
        <f>VLOOKUP(F6958,Countries!$A$1:$B$161,2,0)</f>
        <v>United States of America</v>
      </c>
    </row>
    <row r="6959" spans="1:8" x14ac:dyDescent="0.3">
      <c r="A6959" s="3">
        <v>46235.11509259259</v>
      </c>
      <c r="B6959" s="1">
        <v>5.99</v>
      </c>
      <c r="C6959" s="1">
        <v>5.19</v>
      </c>
      <c r="D6959" s="1">
        <v>0.52</v>
      </c>
      <c r="E6959" s="1" t="s">
        <v>129</v>
      </c>
      <c r="F6959" s="1" t="s">
        <v>129</v>
      </c>
      <c r="G6959" s="1" t="s">
        <v>129</v>
      </c>
      <c r="H6959" s="1" t="str">
        <f>VLOOKUP(F6959,Countries!$A$1:$B$161,2,0)</f>
        <v>Qatar</v>
      </c>
    </row>
    <row r="6960" spans="1:8" x14ac:dyDescent="0.3">
      <c r="A6960" s="3">
        <v>46235.112858796303</v>
      </c>
      <c r="B6960" s="1">
        <v>2.1800000000000002</v>
      </c>
      <c r="C6960" s="1">
        <v>1.89</v>
      </c>
      <c r="D6960" s="1">
        <v>0.35</v>
      </c>
      <c r="E6960" s="1" t="s">
        <v>158</v>
      </c>
      <c r="F6960" s="1" t="s">
        <v>152</v>
      </c>
      <c r="G6960" s="1" t="s">
        <v>152</v>
      </c>
      <c r="H6960" s="1" t="str">
        <f>VLOOKUP(F6960,Countries!$A$1:$B$161,2,0)</f>
        <v>Singapore</v>
      </c>
    </row>
    <row r="6961" spans="1:8" x14ac:dyDescent="0.3">
      <c r="A6961" s="3">
        <v>46235.109432870369</v>
      </c>
      <c r="B6961" s="1">
        <v>6.37</v>
      </c>
      <c r="C6961" s="1">
        <v>5.52</v>
      </c>
      <c r="D6961" s="1">
        <v>0.54</v>
      </c>
      <c r="E6961" s="1" t="s">
        <v>132</v>
      </c>
      <c r="F6961" s="1" t="s">
        <v>132</v>
      </c>
      <c r="G6961" s="1" t="s">
        <v>132</v>
      </c>
      <c r="H6961" s="1" t="str">
        <f>VLOOKUP(F6961,Countries!$A$1:$B$161,2,0)</f>
        <v>Canada</v>
      </c>
    </row>
    <row r="6962" spans="1:8" x14ac:dyDescent="0.3">
      <c r="A6962" s="3">
        <v>46235.102037037039</v>
      </c>
      <c r="B6962" s="1">
        <v>3.18</v>
      </c>
      <c r="C6962" s="1">
        <v>2.76</v>
      </c>
      <c r="D6962" s="1">
        <v>0.4</v>
      </c>
      <c r="E6962" s="1" t="s">
        <v>113</v>
      </c>
      <c r="F6962" s="1" t="s">
        <v>113</v>
      </c>
      <c r="G6962" s="1" t="s">
        <v>113</v>
      </c>
      <c r="H6962" s="1" t="str">
        <f>VLOOKUP(F6962,Countries!$A$1:$B$161,2,0)</f>
        <v>United States of America</v>
      </c>
    </row>
    <row r="6963" spans="1:8" x14ac:dyDescent="0.3">
      <c r="A6963" s="3">
        <v>46235.101863425924</v>
      </c>
      <c r="B6963" s="1">
        <v>7.48</v>
      </c>
      <c r="C6963" s="1">
        <v>6.48</v>
      </c>
      <c r="D6963" s="1">
        <v>0.5</v>
      </c>
      <c r="E6963" s="1" t="s">
        <v>123</v>
      </c>
      <c r="F6963" s="1" t="s">
        <v>123</v>
      </c>
      <c r="G6963" s="1" t="s">
        <v>123</v>
      </c>
      <c r="H6963" s="1" t="str">
        <f>VLOOKUP(F6963,Countries!$A$1:$B$161,2,0)</f>
        <v>France</v>
      </c>
    </row>
    <row r="6964" spans="1:8" x14ac:dyDescent="0.3">
      <c r="A6964" s="3">
        <v>46235.099641203713</v>
      </c>
      <c r="B6964" s="1">
        <v>17.760000000000002</v>
      </c>
      <c r="C6964" s="1">
        <v>15.4</v>
      </c>
      <c r="D6964" s="1">
        <v>1.06</v>
      </c>
      <c r="E6964" s="1" t="s">
        <v>130</v>
      </c>
      <c r="F6964" s="1" t="s">
        <v>130</v>
      </c>
      <c r="G6964" s="1" t="s">
        <v>130</v>
      </c>
      <c r="H6964" s="1" t="str">
        <f>VLOOKUP(F6964,Countries!$A$1:$B$161,2,0)</f>
        <v>Australia</v>
      </c>
    </row>
    <row r="6965" spans="1:8" x14ac:dyDescent="0.3">
      <c r="A6965" s="3">
        <v>46235.087152777778</v>
      </c>
      <c r="B6965" s="1">
        <v>2.21</v>
      </c>
      <c r="C6965" s="1">
        <v>1.92</v>
      </c>
      <c r="D6965" s="1">
        <v>0.35</v>
      </c>
      <c r="E6965" s="1" t="s">
        <v>121</v>
      </c>
      <c r="F6965" s="1" t="s">
        <v>121</v>
      </c>
      <c r="G6965" s="1" t="s">
        <v>121</v>
      </c>
      <c r="H6965" s="1" t="str">
        <f>VLOOKUP(F6965,Countries!$A$1:$B$161,2,0)</f>
        <v>Japan</v>
      </c>
    </row>
    <row r="6966" spans="1:8" x14ac:dyDescent="0.3">
      <c r="A6966" s="3">
        <v>46235.084745370368</v>
      </c>
      <c r="B6966" s="1">
        <v>10.62</v>
      </c>
      <c r="C6966" s="1">
        <v>9.2100000000000009</v>
      </c>
      <c r="D6966" s="1">
        <v>0.73</v>
      </c>
      <c r="E6966" s="1" t="s">
        <v>113</v>
      </c>
      <c r="F6966" s="1" t="s">
        <v>113</v>
      </c>
      <c r="G6966" s="1" t="s">
        <v>113</v>
      </c>
      <c r="H6966" s="1" t="str">
        <f>VLOOKUP(F6966,Countries!$A$1:$B$161,2,0)</f>
        <v>United States of America</v>
      </c>
    </row>
    <row r="6967" spans="1:8" x14ac:dyDescent="0.3">
      <c r="A6967" s="3">
        <v>46235.052928240737</v>
      </c>
      <c r="B6967" s="1">
        <v>6.37</v>
      </c>
      <c r="C6967" s="1">
        <v>5.52</v>
      </c>
      <c r="D6967" s="1">
        <v>0.54</v>
      </c>
      <c r="E6967" s="1" t="s">
        <v>113</v>
      </c>
      <c r="F6967" s="1" t="s">
        <v>113</v>
      </c>
      <c r="G6967" s="1" t="s">
        <v>113</v>
      </c>
      <c r="H6967" s="1" t="str">
        <f>VLOOKUP(F6967,Countries!$A$1:$B$161,2,0)</f>
        <v>United States of America</v>
      </c>
    </row>
    <row r="6968" spans="1:8" x14ac:dyDescent="0.3">
      <c r="A6968" s="3">
        <v>46235.052314814813</v>
      </c>
      <c r="B6968" s="1">
        <v>69.36</v>
      </c>
      <c r="C6968" s="1">
        <v>60.13</v>
      </c>
      <c r="D6968" s="1">
        <v>2.95</v>
      </c>
      <c r="E6968" s="1" t="s">
        <v>119</v>
      </c>
      <c r="F6968" s="1" t="s">
        <v>119</v>
      </c>
      <c r="G6968" s="1" t="s">
        <v>119</v>
      </c>
      <c r="H6968" s="1" t="str">
        <f>VLOOKUP(F6968,Countries!$A$1:$B$161,2,0)</f>
        <v>Great Britain (United Kingdom)</v>
      </c>
    </row>
    <row r="6969" spans="1:8" x14ac:dyDescent="0.3">
      <c r="A6969" s="3">
        <v>46235.041435185187</v>
      </c>
      <c r="B6969" s="1">
        <v>15.43</v>
      </c>
      <c r="C6969" s="1">
        <v>13.38</v>
      </c>
      <c r="D6969" s="1">
        <v>0.95</v>
      </c>
      <c r="E6969" s="1" t="s">
        <v>130</v>
      </c>
      <c r="F6969" s="1" t="s">
        <v>130</v>
      </c>
      <c r="G6969" s="1" t="s">
        <v>130</v>
      </c>
      <c r="H6969" s="1" t="str">
        <f>VLOOKUP(F6969,Countries!$A$1:$B$161,2,0)</f>
        <v>Australia</v>
      </c>
    </row>
    <row r="6970" spans="1:8" x14ac:dyDescent="0.3">
      <c r="A6970" s="3">
        <v>46235.033263888887</v>
      </c>
      <c r="B6970" s="1">
        <v>26.06</v>
      </c>
      <c r="C6970" s="1">
        <v>22.59</v>
      </c>
      <c r="D6970" s="1">
        <v>1.26</v>
      </c>
      <c r="E6970" s="1" t="s">
        <v>119</v>
      </c>
      <c r="F6970" s="1" t="s">
        <v>119</v>
      </c>
      <c r="G6970" s="1" t="s">
        <v>119</v>
      </c>
      <c r="H6970" s="1" t="str">
        <f>VLOOKUP(F6970,Countries!$A$1:$B$161,2,0)</f>
        <v>Great Britain (United Kingdom)</v>
      </c>
    </row>
    <row r="6971" spans="1:8" x14ac:dyDescent="0.3">
      <c r="A6971" s="3">
        <v>46235.032604166663</v>
      </c>
      <c r="B6971" s="1">
        <v>7.48</v>
      </c>
      <c r="C6971" s="1">
        <v>6.48</v>
      </c>
      <c r="D6971" s="1">
        <v>0.54</v>
      </c>
      <c r="E6971" s="1" t="s">
        <v>119</v>
      </c>
      <c r="F6971" s="1" t="s">
        <v>119</v>
      </c>
      <c r="G6971" s="1" t="s">
        <v>119</v>
      </c>
      <c r="H6971" s="1" t="str">
        <f>VLOOKUP(F6971,Countries!$A$1:$B$161,2,0)</f>
        <v>Great Britain (United Kingdom)</v>
      </c>
    </row>
    <row r="6972" spans="1:8" x14ac:dyDescent="0.3">
      <c r="A6972" s="3">
        <v>46235.029050925928</v>
      </c>
      <c r="B6972" s="1">
        <v>100.38</v>
      </c>
      <c r="C6972" s="1">
        <v>87.02</v>
      </c>
      <c r="D6972" s="1">
        <v>4.82</v>
      </c>
      <c r="E6972" s="1" t="s">
        <v>130</v>
      </c>
      <c r="F6972" s="1" t="s">
        <v>130</v>
      </c>
      <c r="G6972" s="1" t="s">
        <v>130</v>
      </c>
      <c r="H6972" s="1" t="str">
        <f>VLOOKUP(F6972,Countries!$A$1:$B$161,2,0)</f>
        <v>Australia</v>
      </c>
    </row>
    <row r="6973" spans="1:8" x14ac:dyDescent="0.3">
      <c r="A6973" s="3">
        <v>46235.021921296298</v>
      </c>
      <c r="B6973" s="1">
        <v>8.5</v>
      </c>
      <c r="C6973" s="1">
        <v>7.37</v>
      </c>
      <c r="D6973" s="1">
        <v>0.64</v>
      </c>
      <c r="E6973" s="1" t="s">
        <v>119</v>
      </c>
      <c r="F6973" s="1" t="s">
        <v>113</v>
      </c>
      <c r="G6973" s="1" t="s">
        <v>113</v>
      </c>
      <c r="H6973" s="1" t="str">
        <f>VLOOKUP(F6973,Countries!$A$1:$B$161,2,0)</f>
        <v>United States of America</v>
      </c>
    </row>
    <row r="6974" spans="1:8" x14ac:dyDescent="0.3">
      <c r="A6974" s="3">
        <v>46235.017511574071</v>
      </c>
      <c r="B6974" s="1">
        <v>3.39</v>
      </c>
      <c r="C6974" s="1">
        <v>2.94</v>
      </c>
      <c r="D6974" s="1">
        <v>0.41</v>
      </c>
      <c r="E6974" s="1" t="s">
        <v>114</v>
      </c>
      <c r="F6974" s="1" t="s">
        <v>114</v>
      </c>
      <c r="G6974" s="1" t="s">
        <v>114</v>
      </c>
      <c r="H6974" s="1" t="str">
        <f>VLOOKUP(F6974,Countries!$A$1:$B$161,2,0)</f>
        <v>Philippines</v>
      </c>
    </row>
    <row r="6975" spans="1:8" x14ac:dyDescent="0.3">
      <c r="A6975" s="3">
        <v>46235.012939814813</v>
      </c>
      <c r="B6975" s="1">
        <v>5.99</v>
      </c>
      <c r="C6975" s="1">
        <v>5.19</v>
      </c>
      <c r="D6975" s="1">
        <v>0.52</v>
      </c>
      <c r="E6975" s="1" t="s">
        <v>143</v>
      </c>
      <c r="F6975" s="1" t="s">
        <v>143</v>
      </c>
      <c r="G6975" s="1" t="s">
        <v>143</v>
      </c>
      <c r="H6975" s="1" t="str">
        <f>VLOOKUP(F6975,Countries!$A$1:$B$161,2,0)</f>
        <v>United Arab Emirates</v>
      </c>
    </row>
    <row r="6976" spans="1:8" x14ac:dyDescent="0.3">
      <c r="A6976" s="3">
        <v>46235.008842592593</v>
      </c>
      <c r="B6976" s="1">
        <v>6.37</v>
      </c>
      <c r="C6976" s="1">
        <v>5.52</v>
      </c>
      <c r="D6976" s="1">
        <v>0.54</v>
      </c>
      <c r="E6976" s="1" t="s">
        <v>113</v>
      </c>
      <c r="F6976" s="1" t="s">
        <v>113</v>
      </c>
      <c r="G6976" s="1" t="s">
        <v>113</v>
      </c>
      <c r="H6976" s="1" t="str">
        <f>VLOOKUP(F6976,Countries!$A$1:$B$161,2,0)</f>
        <v>United States of America</v>
      </c>
    </row>
    <row r="6977" spans="1:8" x14ac:dyDescent="0.3">
      <c r="A6977" s="3">
        <v>46235.008576388893</v>
      </c>
      <c r="B6977" s="1">
        <v>6.37</v>
      </c>
      <c r="C6977" s="1">
        <v>5.52</v>
      </c>
      <c r="D6977" s="1">
        <v>0.54</v>
      </c>
      <c r="E6977" s="1" t="s">
        <v>113</v>
      </c>
      <c r="F6977" s="1" t="s">
        <v>113</v>
      </c>
      <c r="G6977" s="1" t="s">
        <v>113</v>
      </c>
      <c r="H6977" s="1" t="str">
        <f>VLOOKUP(F6977,Countries!$A$1:$B$161,2,0)</f>
        <v>United States of America</v>
      </c>
    </row>
    <row r="6978" spans="1:8" x14ac:dyDescent="0.3">
      <c r="A6978" s="3">
        <v>46235.004513888889</v>
      </c>
      <c r="B6978" s="1">
        <v>2.99</v>
      </c>
      <c r="C6978" s="1">
        <v>2.59</v>
      </c>
      <c r="D6978" s="1">
        <v>0.38</v>
      </c>
      <c r="E6978" s="1" t="s">
        <v>149</v>
      </c>
      <c r="F6978" s="1" t="s">
        <v>149</v>
      </c>
      <c r="G6978" s="1" t="s">
        <v>149</v>
      </c>
      <c r="H6978" s="1" t="str">
        <f>VLOOKUP(F6978,Countries!$A$1:$B$161,2,0)</f>
        <v>Indonesia</v>
      </c>
    </row>
    <row r="6979" spans="1:8" x14ac:dyDescent="0.3">
      <c r="A6979" s="3">
        <v>46234.997476851851</v>
      </c>
      <c r="B6979" s="1">
        <v>26.96</v>
      </c>
      <c r="C6979" s="1">
        <v>23.37</v>
      </c>
      <c r="D6979" s="1">
        <v>1.48</v>
      </c>
      <c r="E6979" s="1" t="s">
        <v>113</v>
      </c>
      <c r="F6979" s="1" t="s">
        <v>113</v>
      </c>
      <c r="G6979" s="1" t="s">
        <v>113</v>
      </c>
      <c r="H6979" s="1" t="str">
        <f>VLOOKUP(F6979,Countries!$A$1:$B$161,2,0)</f>
        <v>United States of America</v>
      </c>
    </row>
    <row r="6980" spans="1:8" x14ac:dyDescent="0.3">
      <c r="A6980" s="3">
        <v>46234.995972222219</v>
      </c>
      <c r="B6980" s="1">
        <v>17.96</v>
      </c>
      <c r="C6980" s="1">
        <v>15.57</v>
      </c>
      <c r="D6980" s="1">
        <v>1.07</v>
      </c>
      <c r="E6980" s="1" t="s">
        <v>113</v>
      </c>
      <c r="F6980" s="1" t="s">
        <v>113</v>
      </c>
      <c r="G6980" s="1" t="s">
        <v>113</v>
      </c>
      <c r="H6980" s="1" t="str">
        <f>VLOOKUP(F6980,Countries!$A$1:$B$161,2,0)</f>
        <v>United States of America</v>
      </c>
    </row>
    <row r="6981" spans="1:8" x14ac:dyDescent="0.3">
      <c r="A6981" s="3">
        <v>46234.993194444447</v>
      </c>
      <c r="B6981" s="1">
        <v>7.67</v>
      </c>
      <c r="C6981" s="1">
        <v>6.65</v>
      </c>
      <c r="D6981" s="1">
        <v>0.48</v>
      </c>
      <c r="E6981" s="1" t="s">
        <v>124</v>
      </c>
      <c r="F6981" s="1" t="s">
        <v>124</v>
      </c>
      <c r="G6981" s="1" t="s">
        <v>124</v>
      </c>
      <c r="H6981" s="1" t="str">
        <f>VLOOKUP(F6981,Countries!$A$1:$B$161,2,0)</f>
        <v>Italy</v>
      </c>
    </row>
    <row r="6982" spans="1:8" x14ac:dyDescent="0.3">
      <c r="A6982" s="3">
        <v>46234.991678240738</v>
      </c>
      <c r="B6982" s="1">
        <v>10.85</v>
      </c>
      <c r="C6982" s="1">
        <v>9.41</v>
      </c>
      <c r="D6982" s="1">
        <v>0.75</v>
      </c>
      <c r="E6982" s="1" t="s">
        <v>115</v>
      </c>
      <c r="F6982" s="1" t="s">
        <v>115</v>
      </c>
      <c r="G6982" s="1" t="s">
        <v>115</v>
      </c>
      <c r="H6982" s="1" t="str">
        <f>VLOOKUP(F6982,Countries!$A$1:$B$161,2,0)</f>
        <v>Switzerland</v>
      </c>
    </row>
    <row r="6983" spans="1:8" x14ac:dyDescent="0.3">
      <c r="A6983" s="3">
        <v>46234.982118055559</v>
      </c>
      <c r="B6983" s="1">
        <v>10.85</v>
      </c>
      <c r="C6983" s="1">
        <v>9.41</v>
      </c>
      <c r="D6983" s="1">
        <v>0.75</v>
      </c>
      <c r="E6983" s="1" t="s">
        <v>115</v>
      </c>
      <c r="F6983" s="1" t="s">
        <v>115</v>
      </c>
      <c r="G6983" s="1" t="s">
        <v>115</v>
      </c>
      <c r="H6983" s="1" t="str">
        <f>VLOOKUP(F6983,Countries!$A$1:$B$161,2,0)</f>
        <v>Switzerland</v>
      </c>
    </row>
    <row r="6984" spans="1:8" x14ac:dyDescent="0.3">
      <c r="A6984" s="3">
        <v>46234.96634259259</v>
      </c>
      <c r="B6984" s="1">
        <v>7.58</v>
      </c>
      <c r="C6984" s="1">
        <v>6.57</v>
      </c>
      <c r="D6984" s="1">
        <v>0.48</v>
      </c>
      <c r="E6984" s="1" t="s">
        <v>116</v>
      </c>
      <c r="F6984" s="1" t="s">
        <v>116</v>
      </c>
      <c r="G6984" s="1" t="s">
        <v>116</v>
      </c>
      <c r="H6984" s="1" t="str">
        <f>VLOOKUP(F6984,Countries!$A$1:$B$161,2,0)</f>
        <v>Spain</v>
      </c>
    </row>
    <row r="6985" spans="1:8" x14ac:dyDescent="0.3">
      <c r="A6985" s="3">
        <v>46234.965983796297</v>
      </c>
      <c r="B6985" s="1">
        <v>17.36</v>
      </c>
      <c r="C6985" s="1">
        <v>15.05</v>
      </c>
      <c r="D6985" s="1">
        <v>0.93</v>
      </c>
      <c r="E6985" s="1" t="s">
        <v>119</v>
      </c>
      <c r="F6985" s="1" t="s">
        <v>119</v>
      </c>
      <c r="G6985" s="1" t="s">
        <v>119</v>
      </c>
      <c r="H6985" s="1" t="str">
        <f>VLOOKUP(F6985,Countries!$A$1:$B$161,2,0)</f>
        <v>Great Britain (United Kingdom)</v>
      </c>
    </row>
    <row r="6986" spans="1:8" x14ac:dyDescent="0.3">
      <c r="A6986" s="3">
        <v>46234.961435185192</v>
      </c>
      <c r="B6986" s="1">
        <v>6.3</v>
      </c>
      <c r="C6986" s="1">
        <v>5.46</v>
      </c>
      <c r="D6986" s="1">
        <v>0.54</v>
      </c>
      <c r="E6986" s="1" t="s">
        <v>132</v>
      </c>
      <c r="F6986" s="1" t="s">
        <v>132</v>
      </c>
      <c r="G6986" s="1" t="s">
        <v>132</v>
      </c>
      <c r="H6986" s="1" t="str">
        <f>VLOOKUP(F6986,Countries!$A$1:$B$161,2,0)</f>
        <v>Canada</v>
      </c>
    </row>
    <row r="6987" spans="1:8" x14ac:dyDescent="0.3">
      <c r="A6987" s="3">
        <v>46234.944745370369</v>
      </c>
      <c r="B6987" s="1">
        <v>10.85</v>
      </c>
      <c r="C6987" s="1">
        <v>9.41</v>
      </c>
      <c r="D6987" s="1">
        <v>0.75</v>
      </c>
      <c r="E6987" s="1" t="s">
        <v>115</v>
      </c>
      <c r="F6987" s="1" t="s">
        <v>115</v>
      </c>
      <c r="G6987" s="1" t="s">
        <v>115</v>
      </c>
      <c r="H6987" s="1" t="str">
        <f>VLOOKUP(F6987,Countries!$A$1:$B$161,2,0)</f>
        <v>Switzerland</v>
      </c>
    </row>
    <row r="6988" spans="1:8" x14ac:dyDescent="0.3">
      <c r="A6988" s="3">
        <v>46234.943368055552</v>
      </c>
      <c r="B6988" s="1">
        <v>6.37</v>
      </c>
      <c r="C6988" s="1">
        <v>5.52</v>
      </c>
      <c r="D6988" s="1">
        <v>0.54</v>
      </c>
      <c r="E6988" s="1" t="s">
        <v>130</v>
      </c>
      <c r="F6988" s="1" t="s">
        <v>130</v>
      </c>
      <c r="G6988" s="1" t="s">
        <v>130</v>
      </c>
      <c r="H6988" s="1" t="str">
        <f>VLOOKUP(F6988,Countries!$A$1:$B$161,2,0)</f>
        <v>Australia</v>
      </c>
    </row>
    <row r="6989" spans="1:8" x14ac:dyDescent="0.3">
      <c r="A6989" s="3">
        <v>46234.937708333331</v>
      </c>
      <c r="B6989" s="1">
        <v>14.77</v>
      </c>
      <c r="C6989" s="1">
        <v>12.8</v>
      </c>
      <c r="D6989" s="1">
        <v>0.93</v>
      </c>
      <c r="E6989" s="1" t="s">
        <v>113</v>
      </c>
      <c r="F6989" s="1" t="s">
        <v>113</v>
      </c>
      <c r="G6989" s="1" t="s">
        <v>113</v>
      </c>
      <c r="H6989" s="1" t="str">
        <f>VLOOKUP(F6989,Countries!$A$1:$B$161,2,0)</f>
        <v>United States of America</v>
      </c>
    </row>
    <row r="6990" spans="1:8" x14ac:dyDescent="0.3">
      <c r="A6990" s="3">
        <v>46234.934131944443</v>
      </c>
      <c r="B6990" s="1">
        <v>6.3</v>
      </c>
      <c r="C6990" s="1">
        <v>5.46</v>
      </c>
      <c r="D6990" s="1">
        <v>0.54</v>
      </c>
      <c r="E6990" s="1" t="s">
        <v>132</v>
      </c>
      <c r="F6990" s="1" t="s">
        <v>132</v>
      </c>
      <c r="G6990" s="1" t="s">
        <v>132</v>
      </c>
      <c r="H6990" s="1" t="str">
        <f>VLOOKUP(F6990,Countries!$A$1:$B$161,2,0)</f>
        <v>Canada</v>
      </c>
    </row>
    <row r="6991" spans="1:8" x14ac:dyDescent="0.3">
      <c r="A6991" s="3">
        <v>46234.930138888893</v>
      </c>
      <c r="B6991" s="1">
        <v>6.37</v>
      </c>
      <c r="C6991" s="1">
        <v>5.52</v>
      </c>
      <c r="D6991" s="1">
        <v>0.54</v>
      </c>
      <c r="E6991" s="1" t="s">
        <v>113</v>
      </c>
      <c r="F6991" s="1" t="s">
        <v>113</v>
      </c>
      <c r="G6991" s="1" t="s">
        <v>113</v>
      </c>
      <c r="H6991" s="1" t="str">
        <f>VLOOKUP(F6991,Countries!$A$1:$B$161,2,0)</f>
        <v>United States of America</v>
      </c>
    </row>
    <row r="6992" spans="1:8" x14ac:dyDescent="0.3">
      <c r="A6992" s="3">
        <v>46234.924224537041</v>
      </c>
      <c r="B6992" s="1">
        <v>10.62</v>
      </c>
      <c r="C6992" s="1">
        <v>9.2100000000000009</v>
      </c>
      <c r="D6992" s="1">
        <v>0.73</v>
      </c>
      <c r="E6992" s="1" t="s">
        <v>113</v>
      </c>
      <c r="F6992" s="1" t="s">
        <v>113</v>
      </c>
      <c r="G6992" s="1" t="s">
        <v>113</v>
      </c>
      <c r="H6992" s="1" t="str">
        <f>VLOOKUP(F6992,Countries!$A$1:$B$161,2,0)</f>
        <v>United States of America</v>
      </c>
    </row>
    <row r="6993" spans="1:8" x14ac:dyDescent="0.3">
      <c r="A6993" s="3">
        <v>46234.923773148148</v>
      </c>
      <c r="B6993" s="1">
        <v>10.85</v>
      </c>
      <c r="C6993" s="1">
        <v>9.41</v>
      </c>
      <c r="D6993" s="1">
        <v>0.75</v>
      </c>
      <c r="E6993" s="1" t="s">
        <v>115</v>
      </c>
      <c r="F6993" s="1" t="s">
        <v>115</v>
      </c>
      <c r="G6993" s="1" t="s">
        <v>115</v>
      </c>
      <c r="H6993" s="1" t="str">
        <f>VLOOKUP(F6993,Countries!$A$1:$B$161,2,0)</f>
        <v>Switzerland</v>
      </c>
    </row>
    <row r="6994" spans="1:8" x14ac:dyDescent="0.3">
      <c r="A6994" s="3">
        <v>46234.922847222217</v>
      </c>
      <c r="B6994" s="1">
        <v>14.77</v>
      </c>
      <c r="C6994" s="1">
        <v>12.8</v>
      </c>
      <c r="D6994" s="1">
        <v>0.93</v>
      </c>
      <c r="E6994" s="1" t="s">
        <v>113</v>
      </c>
      <c r="F6994" s="1" t="s">
        <v>113</v>
      </c>
      <c r="G6994" s="1" t="s">
        <v>113</v>
      </c>
      <c r="H6994" s="1" t="str">
        <f>VLOOKUP(F6994,Countries!$A$1:$B$161,2,0)</f>
        <v>United States of America</v>
      </c>
    </row>
    <row r="6995" spans="1:8" x14ac:dyDescent="0.3">
      <c r="A6995" s="3">
        <v>46234.922256944446</v>
      </c>
      <c r="B6995" s="1">
        <v>36.96</v>
      </c>
      <c r="C6995" s="1">
        <v>32.04</v>
      </c>
      <c r="D6995" s="1">
        <v>1.93</v>
      </c>
      <c r="E6995" s="1" t="s">
        <v>113</v>
      </c>
      <c r="F6995" s="1" t="s">
        <v>113</v>
      </c>
      <c r="G6995" s="1" t="s">
        <v>113</v>
      </c>
      <c r="H6995" s="1" t="str">
        <f>VLOOKUP(F6995,Countries!$A$1:$B$161,2,0)</f>
        <v>United States of America</v>
      </c>
    </row>
    <row r="6996" spans="1:8" x14ac:dyDescent="0.3">
      <c r="A6996" s="3">
        <v>46234.920659722222</v>
      </c>
      <c r="B6996" s="1">
        <v>123.32</v>
      </c>
      <c r="C6996" s="1">
        <v>106.91</v>
      </c>
      <c r="D6996" s="1">
        <v>5.86</v>
      </c>
      <c r="E6996" s="1" t="s">
        <v>130</v>
      </c>
      <c r="F6996" s="1" t="s">
        <v>130</v>
      </c>
      <c r="G6996" s="1" t="s">
        <v>130</v>
      </c>
      <c r="H6996" s="1" t="str">
        <f>VLOOKUP(F6996,Countries!$A$1:$B$161,2,0)</f>
        <v>Australia</v>
      </c>
    </row>
    <row r="6997" spans="1:8" x14ac:dyDescent="0.3">
      <c r="A6997" s="3">
        <v>46234.920312499999</v>
      </c>
      <c r="B6997" s="1">
        <v>10.62</v>
      </c>
      <c r="C6997" s="1">
        <v>9.2100000000000009</v>
      </c>
      <c r="D6997" s="1">
        <v>0.73</v>
      </c>
      <c r="E6997" s="1" t="s">
        <v>113</v>
      </c>
      <c r="F6997" s="1" t="s">
        <v>113</v>
      </c>
      <c r="G6997" s="1" t="s">
        <v>113</v>
      </c>
      <c r="H6997" s="1" t="str">
        <f>VLOOKUP(F6997,Countries!$A$1:$B$161,2,0)</f>
        <v>United States of America</v>
      </c>
    </row>
    <row r="6998" spans="1:8" x14ac:dyDescent="0.3">
      <c r="A6998" s="3">
        <v>46234.919502314813</v>
      </c>
      <c r="B6998" s="1">
        <v>15.43</v>
      </c>
      <c r="C6998" s="1">
        <v>13.38</v>
      </c>
      <c r="D6998" s="1">
        <v>0.95</v>
      </c>
      <c r="E6998" s="1" t="s">
        <v>130</v>
      </c>
      <c r="F6998" s="1" t="s">
        <v>130</v>
      </c>
      <c r="G6998" s="1" t="s">
        <v>130</v>
      </c>
      <c r="H6998" s="1" t="str">
        <f>VLOOKUP(F6998,Countries!$A$1:$B$161,2,0)</f>
        <v>Australia</v>
      </c>
    </row>
    <row r="6999" spans="1:8" x14ac:dyDescent="0.3">
      <c r="A6999" s="3">
        <v>46234.916388888887</v>
      </c>
      <c r="B6999" s="1">
        <v>10.62</v>
      </c>
      <c r="C6999" s="1">
        <v>9.2100000000000009</v>
      </c>
      <c r="D6999" s="1">
        <v>0.73</v>
      </c>
      <c r="E6999" s="1" t="s">
        <v>113</v>
      </c>
      <c r="F6999" s="1" t="s">
        <v>113</v>
      </c>
      <c r="G6999" s="1" t="s">
        <v>113</v>
      </c>
      <c r="H6999" s="1" t="str">
        <f>VLOOKUP(F6999,Countries!$A$1:$B$161,2,0)</f>
        <v>United States of America</v>
      </c>
    </row>
    <row r="7000" spans="1:8" x14ac:dyDescent="0.3">
      <c r="A7000" s="3">
        <v>46234.915706018517</v>
      </c>
      <c r="B7000" s="1">
        <v>21.27</v>
      </c>
      <c r="C7000" s="1">
        <v>18.440000000000001</v>
      </c>
      <c r="D7000" s="1">
        <v>1.22</v>
      </c>
      <c r="E7000" s="1" t="s">
        <v>113</v>
      </c>
      <c r="F7000" s="1" t="s">
        <v>113</v>
      </c>
      <c r="G7000" s="1" t="s">
        <v>113</v>
      </c>
      <c r="H7000" s="1" t="str">
        <f>VLOOKUP(F7000,Countries!$A$1:$B$161,2,0)</f>
        <v>United States of America</v>
      </c>
    </row>
    <row r="7001" spans="1:8" x14ac:dyDescent="0.3">
      <c r="A7001" s="3">
        <v>46234.914664351847</v>
      </c>
      <c r="B7001" s="1">
        <v>15.43</v>
      </c>
      <c r="C7001" s="1">
        <v>13.38</v>
      </c>
      <c r="D7001" s="1">
        <v>0.95</v>
      </c>
      <c r="E7001" s="1" t="s">
        <v>130</v>
      </c>
      <c r="F7001" s="1" t="s">
        <v>130</v>
      </c>
      <c r="G7001" s="1" t="s">
        <v>130</v>
      </c>
      <c r="H7001" s="1" t="str">
        <f>VLOOKUP(F7001,Countries!$A$1:$B$161,2,0)</f>
        <v>Australia</v>
      </c>
    </row>
    <row r="7002" spans="1:8" x14ac:dyDescent="0.3">
      <c r="A7002" s="3">
        <v>46234.914097222223</v>
      </c>
      <c r="B7002" s="1">
        <v>6.37</v>
      </c>
      <c r="C7002" s="1">
        <v>5.52</v>
      </c>
      <c r="D7002" s="1">
        <v>0.54</v>
      </c>
      <c r="E7002" s="1" t="s">
        <v>183</v>
      </c>
      <c r="F7002" s="1" t="s">
        <v>183</v>
      </c>
      <c r="G7002" s="1" t="s">
        <v>183</v>
      </c>
      <c r="H7002" s="1" t="str">
        <f>VLOOKUP(F7002,Countries!$A$1:$B$161,2,0)</f>
        <v>Malaysia</v>
      </c>
    </row>
    <row r="7003" spans="1:8" x14ac:dyDescent="0.3">
      <c r="A7003" s="3">
        <v>46234.913541666669</v>
      </c>
      <c r="B7003" s="1">
        <v>15.44</v>
      </c>
      <c r="C7003" s="1">
        <v>13.39</v>
      </c>
      <c r="D7003" s="1">
        <v>0.96</v>
      </c>
      <c r="E7003" s="1" t="s">
        <v>130</v>
      </c>
      <c r="F7003" s="1" t="s">
        <v>130</v>
      </c>
      <c r="G7003" s="1" t="s">
        <v>130</v>
      </c>
      <c r="H7003" s="1" t="str">
        <f>VLOOKUP(F7003,Countries!$A$1:$B$161,2,0)</f>
        <v>Australia</v>
      </c>
    </row>
    <row r="7004" spans="1:8" x14ac:dyDescent="0.3">
      <c r="A7004" s="3">
        <v>46234.911828703713</v>
      </c>
      <c r="B7004" s="1">
        <v>10.85</v>
      </c>
      <c r="C7004" s="1">
        <v>9.41</v>
      </c>
      <c r="D7004" s="1">
        <v>0.75</v>
      </c>
      <c r="E7004" s="1" t="s">
        <v>115</v>
      </c>
      <c r="F7004" s="1" t="s">
        <v>115</v>
      </c>
      <c r="G7004" s="1" t="s">
        <v>115</v>
      </c>
      <c r="H7004" s="1" t="str">
        <f>VLOOKUP(F7004,Countries!$A$1:$B$161,2,0)</f>
        <v>Switzerland</v>
      </c>
    </row>
    <row r="7005" spans="1:8" x14ac:dyDescent="0.3">
      <c r="A7005" s="3">
        <v>46234.910868055558</v>
      </c>
      <c r="B7005" s="1">
        <v>26.59</v>
      </c>
      <c r="C7005" s="1">
        <v>23.06</v>
      </c>
      <c r="D7005" s="1">
        <v>1.46</v>
      </c>
      <c r="E7005" s="1" t="s">
        <v>113</v>
      </c>
      <c r="F7005" s="1" t="s">
        <v>113</v>
      </c>
      <c r="G7005" s="1" t="s">
        <v>113</v>
      </c>
      <c r="H7005" s="1" t="str">
        <f>VLOOKUP(F7005,Countries!$A$1:$B$161,2,0)</f>
        <v>United States of America</v>
      </c>
    </row>
    <row r="7006" spans="1:8" x14ac:dyDescent="0.3">
      <c r="A7006" s="3">
        <v>46234.91070601852</v>
      </c>
      <c r="B7006" s="1">
        <v>10.62</v>
      </c>
      <c r="C7006" s="1">
        <v>9.2100000000000009</v>
      </c>
      <c r="D7006" s="1">
        <v>0.73</v>
      </c>
      <c r="E7006" s="1" t="s">
        <v>113</v>
      </c>
      <c r="F7006" s="1" t="s">
        <v>113</v>
      </c>
      <c r="G7006" s="1" t="s">
        <v>113</v>
      </c>
      <c r="H7006" s="1" t="str">
        <f>VLOOKUP(F7006,Countries!$A$1:$B$161,2,0)</f>
        <v>United States of America</v>
      </c>
    </row>
    <row r="7007" spans="1:8" x14ac:dyDescent="0.3">
      <c r="A7007" s="3">
        <v>46234.910150462973</v>
      </c>
      <c r="B7007" s="1">
        <v>6.37</v>
      </c>
      <c r="C7007" s="1">
        <v>5.52</v>
      </c>
      <c r="D7007" s="1">
        <v>0.54</v>
      </c>
      <c r="E7007" s="1" t="s">
        <v>113</v>
      </c>
      <c r="F7007" s="1" t="s">
        <v>113</v>
      </c>
      <c r="G7007" s="1" t="s">
        <v>113</v>
      </c>
      <c r="H7007" s="1" t="str">
        <f>VLOOKUP(F7007,Countries!$A$1:$B$161,2,0)</f>
        <v>United States of America</v>
      </c>
    </row>
    <row r="7008" spans="1:8" x14ac:dyDescent="0.3">
      <c r="A7008" s="3">
        <v>46234.907152777778</v>
      </c>
      <c r="B7008" s="1">
        <v>1.99</v>
      </c>
      <c r="C7008" s="1">
        <v>1.73</v>
      </c>
      <c r="D7008" s="1">
        <v>0.34</v>
      </c>
      <c r="E7008" s="1" t="s">
        <v>126</v>
      </c>
      <c r="F7008" s="1" t="s">
        <v>126</v>
      </c>
      <c r="G7008" s="1" t="s">
        <v>126</v>
      </c>
      <c r="H7008" s="1" t="str">
        <f>VLOOKUP(F7008,Countries!$A$1:$B$161,2,0)</f>
        <v>Cambodia</v>
      </c>
    </row>
    <row r="7009" spans="1:8" x14ac:dyDescent="0.3">
      <c r="A7009" s="3">
        <v>46234.906736111108</v>
      </c>
      <c r="B7009" s="1">
        <v>61.65</v>
      </c>
      <c r="C7009" s="1">
        <v>53.46</v>
      </c>
      <c r="D7009" s="1">
        <v>3.06</v>
      </c>
      <c r="E7009" s="1" t="s">
        <v>130</v>
      </c>
      <c r="F7009" s="1" t="s">
        <v>130</v>
      </c>
      <c r="G7009" s="1" t="s">
        <v>130</v>
      </c>
      <c r="H7009" s="1" t="str">
        <f>VLOOKUP(F7009,Countries!$A$1:$B$161,2,0)</f>
        <v>Australia</v>
      </c>
    </row>
    <row r="7010" spans="1:8" x14ac:dyDescent="0.3">
      <c r="A7010" s="3">
        <v>46234.906226851846</v>
      </c>
      <c r="B7010" s="1">
        <v>15.43</v>
      </c>
      <c r="C7010" s="1">
        <v>13.38</v>
      </c>
      <c r="D7010" s="1">
        <v>0.95</v>
      </c>
      <c r="E7010" s="1" t="s">
        <v>130</v>
      </c>
      <c r="F7010" s="1" t="s">
        <v>130</v>
      </c>
      <c r="G7010" s="1" t="s">
        <v>130</v>
      </c>
      <c r="H7010" s="1" t="str">
        <f>VLOOKUP(F7010,Countries!$A$1:$B$161,2,0)</f>
        <v>Australia</v>
      </c>
    </row>
    <row r="7011" spans="1:8" x14ac:dyDescent="0.3">
      <c r="A7011" s="3">
        <v>46234.902407407397</v>
      </c>
      <c r="B7011" s="1">
        <v>15.43</v>
      </c>
      <c r="C7011" s="1">
        <v>13.38</v>
      </c>
      <c r="D7011" s="1">
        <v>0.95</v>
      </c>
      <c r="E7011" s="1" t="s">
        <v>130</v>
      </c>
      <c r="F7011" s="1" t="s">
        <v>130</v>
      </c>
      <c r="G7011" s="1" t="s">
        <v>130</v>
      </c>
      <c r="H7011" s="1" t="str">
        <f>VLOOKUP(F7011,Countries!$A$1:$B$161,2,0)</f>
        <v>Australia</v>
      </c>
    </row>
    <row r="7012" spans="1:8" x14ac:dyDescent="0.3">
      <c r="A7012" s="3">
        <v>46234.902187500003</v>
      </c>
      <c r="B7012" s="1">
        <v>6.37</v>
      </c>
      <c r="C7012" s="1">
        <v>5.52</v>
      </c>
      <c r="D7012" s="1">
        <v>0.54</v>
      </c>
      <c r="E7012" s="1" t="s">
        <v>113</v>
      </c>
      <c r="F7012" s="1" t="s">
        <v>113</v>
      </c>
      <c r="G7012" s="1" t="s">
        <v>113</v>
      </c>
      <c r="H7012" s="1" t="str">
        <f>VLOOKUP(F7012,Countries!$A$1:$B$161,2,0)</f>
        <v>United States of America</v>
      </c>
    </row>
    <row r="7013" spans="1:8" x14ac:dyDescent="0.3">
      <c r="A7013" s="3">
        <v>46234.901469907411</v>
      </c>
      <c r="B7013" s="1">
        <v>10.85</v>
      </c>
      <c r="C7013" s="1">
        <v>9.41</v>
      </c>
      <c r="D7013" s="1">
        <v>0.75</v>
      </c>
      <c r="E7013" s="1" t="s">
        <v>115</v>
      </c>
      <c r="F7013" s="1" t="s">
        <v>115</v>
      </c>
      <c r="G7013" s="1" t="s">
        <v>115</v>
      </c>
      <c r="H7013" s="1" t="str">
        <f>VLOOKUP(F7013,Countries!$A$1:$B$161,2,0)</f>
        <v>Switzerland</v>
      </c>
    </row>
    <row r="7014" spans="1:8" x14ac:dyDescent="0.3">
      <c r="A7014" s="3">
        <v>46234.900706018518</v>
      </c>
      <c r="B7014" s="1">
        <v>18.53</v>
      </c>
      <c r="C7014" s="1">
        <v>16.07</v>
      </c>
      <c r="D7014" s="1">
        <v>1.0900000000000001</v>
      </c>
      <c r="E7014" s="1" t="s">
        <v>130</v>
      </c>
      <c r="F7014" s="1" t="s">
        <v>130</v>
      </c>
      <c r="G7014" s="1" t="s">
        <v>130</v>
      </c>
      <c r="H7014" s="1" t="str">
        <f>VLOOKUP(F7014,Countries!$A$1:$B$161,2,0)</f>
        <v>Australia</v>
      </c>
    </row>
    <row r="7015" spans="1:8" x14ac:dyDescent="0.3">
      <c r="A7015" s="3">
        <v>46234.897303240738</v>
      </c>
      <c r="B7015" s="1">
        <v>10.85</v>
      </c>
      <c r="C7015" s="1">
        <v>9.41</v>
      </c>
      <c r="D7015" s="1">
        <v>0.75</v>
      </c>
      <c r="E7015" s="1" t="s">
        <v>115</v>
      </c>
      <c r="F7015" s="1" t="s">
        <v>115</v>
      </c>
      <c r="G7015" s="1" t="s">
        <v>115</v>
      </c>
      <c r="H7015" s="1" t="str">
        <f>VLOOKUP(F7015,Countries!$A$1:$B$161,2,0)</f>
        <v>Switzerland</v>
      </c>
    </row>
    <row r="7016" spans="1:8" x14ac:dyDescent="0.3">
      <c r="A7016" s="3">
        <v>46234.894687499997</v>
      </c>
      <c r="B7016" s="1">
        <v>15.43</v>
      </c>
      <c r="C7016" s="1">
        <v>13.38</v>
      </c>
      <c r="D7016" s="1">
        <v>0.95</v>
      </c>
      <c r="E7016" s="1" t="s">
        <v>130</v>
      </c>
      <c r="F7016" s="1" t="s">
        <v>130</v>
      </c>
      <c r="G7016" s="1" t="s">
        <v>130</v>
      </c>
      <c r="H7016" s="1" t="str">
        <f>VLOOKUP(F7016,Countries!$A$1:$B$161,2,0)</f>
        <v>Australia</v>
      </c>
    </row>
    <row r="7017" spans="1:8" x14ac:dyDescent="0.3">
      <c r="A7017" s="3">
        <v>46234.892916666657</v>
      </c>
      <c r="B7017" s="1">
        <v>10.85</v>
      </c>
      <c r="C7017" s="1">
        <v>9.41</v>
      </c>
      <c r="D7017" s="1">
        <v>0.75</v>
      </c>
      <c r="E7017" s="1" t="s">
        <v>115</v>
      </c>
      <c r="F7017" s="1" t="s">
        <v>115</v>
      </c>
      <c r="G7017" s="1" t="s">
        <v>115</v>
      </c>
      <c r="H7017" s="1" t="str">
        <f>VLOOKUP(F7017,Countries!$A$1:$B$161,2,0)</f>
        <v>Switzerland</v>
      </c>
    </row>
    <row r="7018" spans="1:8" x14ac:dyDescent="0.3">
      <c r="A7018" s="3">
        <v>46234.892187500001</v>
      </c>
      <c r="B7018" s="1">
        <v>15.78</v>
      </c>
      <c r="C7018" s="1">
        <v>13.68</v>
      </c>
      <c r="D7018" s="1">
        <v>0.96</v>
      </c>
      <c r="E7018" s="1" t="s">
        <v>114</v>
      </c>
      <c r="F7018" s="1" t="s">
        <v>114</v>
      </c>
      <c r="G7018" s="1" t="s">
        <v>114</v>
      </c>
      <c r="H7018" s="1" t="str">
        <f>VLOOKUP(F7018,Countries!$A$1:$B$161,2,0)</f>
        <v>Philippines</v>
      </c>
    </row>
    <row r="7019" spans="1:8" x14ac:dyDescent="0.3">
      <c r="A7019" s="3">
        <v>46234.889606481483</v>
      </c>
      <c r="B7019" s="1">
        <v>10.85</v>
      </c>
      <c r="C7019" s="1">
        <v>9.41</v>
      </c>
      <c r="D7019" s="1">
        <v>0.75</v>
      </c>
      <c r="E7019" s="1" t="s">
        <v>115</v>
      </c>
      <c r="F7019" s="1" t="s">
        <v>115</v>
      </c>
      <c r="G7019" s="1" t="s">
        <v>115</v>
      </c>
      <c r="H7019" s="1" t="str">
        <f>VLOOKUP(F7019,Countries!$A$1:$B$161,2,0)</f>
        <v>Switzerland</v>
      </c>
    </row>
    <row r="7020" spans="1:8" x14ac:dyDescent="0.3">
      <c r="A7020" s="3">
        <v>46234.887766203698</v>
      </c>
      <c r="B7020" s="1">
        <v>15.43</v>
      </c>
      <c r="C7020" s="1">
        <v>13.38</v>
      </c>
      <c r="D7020" s="1">
        <v>0.95</v>
      </c>
      <c r="E7020" s="1" t="s">
        <v>130</v>
      </c>
      <c r="F7020" s="1" t="s">
        <v>130</v>
      </c>
      <c r="G7020" s="1" t="s">
        <v>130</v>
      </c>
      <c r="H7020" s="1" t="str">
        <f>VLOOKUP(F7020,Countries!$A$1:$B$161,2,0)</f>
        <v>Australia</v>
      </c>
    </row>
    <row r="7021" spans="1:8" x14ac:dyDescent="0.3">
      <c r="A7021" s="3">
        <v>46234.883310185192</v>
      </c>
      <c r="B7021" s="1">
        <v>15.43</v>
      </c>
      <c r="C7021" s="1">
        <v>13.38</v>
      </c>
      <c r="D7021" s="1">
        <v>0.95</v>
      </c>
      <c r="E7021" s="1" t="s">
        <v>130</v>
      </c>
      <c r="F7021" s="1" t="s">
        <v>130</v>
      </c>
      <c r="G7021" s="1" t="s">
        <v>130</v>
      </c>
      <c r="H7021" s="1" t="str">
        <f>VLOOKUP(F7021,Countries!$A$1:$B$161,2,0)</f>
        <v>Australia</v>
      </c>
    </row>
    <row r="7022" spans="1:8" x14ac:dyDescent="0.3">
      <c r="A7022" s="3">
        <v>46234.878541666672</v>
      </c>
      <c r="B7022" s="1">
        <v>15.43</v>
      </c>
      <c r="C7022" s="1">
        <v>13.38</v>
      </c>
      <c r="D7022" s="1">
        <v>0.95</v>
      </c>
      <c r="E7022" s="1" t="s">
        <v>130</v>
      </c>
      <c r="F7022" s="1" t="s">
        <v>130</v>
      </c>
      <c r="G7022" s="1" t="s">
        <v>130</v>
      </c>
      <c r="H7022" s="1" t="str">
        <f>VLOOKUP(F7022,Countries!$A$1:$B$161,2,0)</f>
        <v>Australia</v>
      </c>
    </row>
    <row r="7023" spans="1:8" x14ac:dyDescent="0.3">
      <c r="A7023" s="3">
        <v>46234.877222222232</v>
      </c>
      <c r="B7023" s="1">
        <v>15.44</v>
      </c>
      <c r="C7023" s="1">
        <v>13.39</v>
      </c>
      <c r="D7023" s="1">
        <v>0.96</v>
      </c>
      <c r="E7023" s="1" t="s">
        <v>130</v>
      </c>
      <c r="F7023" s="1" t="s">
        <v>130</v>
      </c>
      <c r="G7023" s="1" t="s">
        <v>130</v>
      </c>
      <c r="H7023" s="1" t="str">
        <f>VLOOKUP(F7023,Countries!$A$1:$B$161,2,0)</f>
        <v>Australia</v>
      </c>
    </row>
  </sheetData>
  <autoFilter ref="A1:H7023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1"/>
  <sheetViews>
    <sheetView workbookViewId="0"/>
  </sheetViews>
  <sheetFormatPr defaultRowHeight="14.4" x14ac:dyDescent="0.3"/>
  <cols>
    <col min="1" max="1" width="10" customWidth="1"/>
    <col min="2" max="2" width="34" customWidth="1"/>
  </cols>
  <sheetData>
    <row r="1" spans="1:2" x14ac:dyDescent="0.3">
      <c r="A1" s="1" t="s">
        <v>211</v>
      </c>
      <c r="B1" s="1" t="s">
        <v>226</v>
      </c>
    </row>
    <row r="2" spans="1:2" x14ac:dyDescent="0.3">
      <c r="A2" s="1" t="s">
        <v>162</v>
      </c>
      <c r="B2" s="1" t="s">
        <v>227</v>
      </c>
    </row>
    <row r="3" spans="1:2" x14ac:dyDescent="0.3">
      <c r="A3" s="1" t="s">
        <v>173</v>
      </c>
      <c r="B3" s="1" t="s">
        <v>228</v>
      </c>
    </row>
    <row r="4" spans="1:2" x14ac:dyDescent="0.3">
      <c r="A4" s="1" t="s">
        <v>229</v>
      </c>
      <c r="B4" s="1" t="s">
        <v>230</v>
      </c>
    </row>
    <row r="5" spans="1:2" x14ac:dyDescent="0.3">
      <c r="A5" s="1" t="s">
        <v>231</v>
      </c>
      <c r="B5" s="1" t="s">
        <v>232</v>
      </c>
    </row>
    <row r="6" spans="1:2" x14ac:dyDescent="0.3">
      <c r="A6" s="1" t="s">
        <v>233</v>
      </c>
      <c r="B6" s="1" t="s">
        <v>234</v>
      </c>
    </row>
    <row r="7" spans="1:2" x14ac:dyDescent="0.3">
      <c r="A7" s="1" t="s">
        <v>235</v>
      </c>
      <c r="B7" s="1" t="s">
        <v>236</v>
      </c>
    </row>
    <row r="8" spans="1:2" x14ac:dyDescent="0.3">
      <c r="A8" s="1" t="s">
        <v>130</v>
      </c>
      <c r="B8" s="1" t="s">
        <v>4</v>
      </c>
    </row>
    <row r="9" spans="1:2" x14ac:dyDescent="0.3">
      <c r="A9" s="1" t="s">
        <v>189</v>
      </c>
      <c r="B9" s="1" t="s">
        <v>5</v>
      </c>
    </row>
    <row r="10" spans="1:2" x14ac:dyDescent="0.3">
      <c r="A10" s="1" t="s">
        <v>237</v>
      </c>
      <c r="B10" s="1" t="s">
        <v>238</v>
      </c>
    </row>
    <row r="11" spans="1:2" x14ac:dyDescent="0.3">
      <c r="A11" s="1" t="s">
        <v>239</v>
      </c>
      <c r="B11" s="1" t="s">
        <v>240</v>
      </c>
    </row>
    <row r="12" spans="1:2" x14ac:dyDescent="0.3">
      <c r="A12" s="1" t="s">
        <v>241</v>
      </c>
      <c r="B12" s="1" t="s">
        <v>242</v>
      </c>
    </row>
    <row r="13" spans="1:2" x14ac:dyDescent="0.3">
      <c r="A13" s="1" t="s">
        <v>243</v>
      </c>
      <c r="B13" s="1" t="s">
        <v>244</v>
      </c>
    </row>
    <row r="14" spans="1:2" x14ac:dyDescent="0.3">
      <c r="A14" s="1" t="s">
        <v>245</v>
      </c>
      <c r="B14" s="1" t="s">
        <v>246</v>
      </c>
    </row>
    <row r="15" spans="1:2" x14ac:dyDescent="0.3">
      <c r="A15" s="1" t="s">
        <v>247</v>
      </c>
      <c r="B15" s="1" t="s">
        <v>248</v>
      </c>
    </row>
    <row r="16" spans="1:2" x14ac:dyDescent="0.3">
      <c r="A16" s="1" t="s">
        <v>154</v>
      </c>
      <c r="B16" s="1" t="s">
        <v>6</v>
      </c>
    </row>
    <row r="17" spans="1:2" x14ac:dyDescent="0.3">
      <c r="A17" s="1" t="s">
        <v>249</v>
      </c>
      <c r="B17" s="1" t="s">
        <v>250</v>
      </c>
    </row>
    <row r="18" spans="1:2" x14ac:dyDescent="0.3">
      <c r="A18" s="1" t="s">
        <v>118</v>
      </c>
      <c r="B18" s="1" t="s">
        <v>7</v>
      </c>
    </row>
    <row r="19" spans="1:2" x14ac:dyDescent="0.3">
      <c r="A19" s="1" t="s">
        <v>251</v>
      </c>
      <c r="B19" s="1" t="s">
        <v>252</v>
      </c>
    </row>
    <row r="20" spans="1:2" x14ac:dyDescent="0.3">
      <c r="A20" s="1" t="s">
        <v>209</v>
      </c>
      <c r="B20" s="1" t="s">
        <v>8</v>
      </c>
    </row>
    <row r="21" spans="1:2" x14ac:dyDescent="0.3">
      <c r="A21" s="1" t="s">
        <v>195</v>
      </c>
      <c r="B21" s="1" t="s">
        <v>9</v>
      </c>
    </row>
    <row r="22" spans="1:2" x14ac:dyDescent="0.3">
      <c r="A22" s="1" t="s">
        <v>253</v>
      </c>
      <c r="B22" s="1" t="s">
        <v>254</v>
      </c>
    </row>
    <row r="23" spans="1:2" x14ac:dyDescent="0.3">
      <c r="A23" s="1" t="s">
        <v>207</v>
      </c>
      <c r="B23" s="1" t="s">
        <v>10</v>
      </c>
    </row>
    <row r="24" spans="1:2" x14ac:dyDescent="0.3">
      <c r="A24" s="1" t="s">
        <v>255</v>
      </c>
      <c r="B24" s="1" t="s">
        <v>256</v>
      </c>
    </row>
    <row r="25" spans="1:2" x14ac:dyDescent="0.3">
      <c r="A25" s="1" t="s">
        <v>155</v>
      </c>
      <c r="B25" s="1" t="s">
        <v>11</v>
      </c>
    </row>
    <row r="26" spans="1:2" x14ac:dyDescent="0.3">
      <c r="A26" s="1" t="s">
        <v>257</v>
      </c>
      <c r="B26" s="1" t="s">
        <v>258</v>
      </c>
    </row>
    <row r="27" spans="1:2" x14ac:dyDescent="0.3">
      <c r="A27" s="1" t="s">
        <v>259</v>
      </c>
      <c r="B27" s="1" t="s">
        <v>260</v>
      </c>
    </row>
    <row r="28" spans="1:2" x14ac:dyDescent="0.3">
      <c r="A28" s="1" t="s">
        <v>126</v>
      </c>
      <c r="B28" s="1" t="s">
        <v>12</v>
      </c>
    </row>
    <row r="29" spans="1:2" x14ac:dyDescent="0.3">
      <c r="A29" s="1" t="s">
        <v>204</v>
      </c>
      <c r="B29" s="1" t="s">
        <v>13</v>
      </c>
    </row>
    <row r="30" spans="1:2" x14ac:dyDescent="0.3">
      <c r="A30" s="1" t="s">
        <v>132</v>
      </c>
      <c r="B30" s="1" t="s">
        <v>14</v>
      </c>
    </row>
    <row r="31" spans="1:2" x14ac:dyDescent="0.3">
      <c r="A31" s="1" t="s">
        <v>168</v>
      </c>
      <c r="B31" s="1" t="s">
        <v>261</v>
      </c>
    </row>
    <row r="32" spans="1:2" x14ac:dyDescent="0.3">
      <c r="A32" s="1" t="s">
        <v>262</v>
      </c>
      <c r="B32" s="1" t="s">
        <v>263</v>
      </c>
    </row>
    <row r="33" spans="1:2" x14ac:dyDescent="0.3">
      <c r="A33" s="1" t="s">
        <v>225</v>
      </c>
      <c r="B33" s="1" t="s">
        <v>15</v>
      </c>
    </row>
    <row r="34" spans="1:2" x14ac:dyDescent="0.3">
      <c r="A34" s="1" t="s">
        <v>197</v>
      </c>
      <c r="B34" s="1" t="s">
        <v>16</v>
      </c>
    </row>
    <row r="35" spans="1:2" x14ac:dyDescent="0.3">
      <c r="A35" s="1" t="s">
        <v>140</v>
      </c>
      <c r="B35" s="1" t="s">
        <v>17</v>
      </c>
    </row>
    <row r="36" spans="1:2" x14ac:dyDescent="0.3">
      <c r="A36" s="1" t="s">
        <v>264</v>
      </c>
      <c r="B36" s="1" t="s">
        <v>265</v>
      </c>
    </row>
    <row r="37" spans="1:2" x14ac:dyDescent="0.3">
      <c r="A37" s="1" t="s">
        <v>266</v>
      </c>
      <c r="B37" s="1" t="s">
        <v>267</v>
      </c>
    </row>
    <row r="38" spans="1:2" x14ac:dyDescent="0.3">
      <c r="A38" s="1" t="s">
        <v>157</v>
      </c>
      <c r="B38" s="1" t="s">
        <v>18</v>
      </c>
    </row>
    <row r="39" spans="1:2" x14ac:dyDescent="0.3">
      <c r="A39" s="1" t="s">
        <v>156</v>
      </c>
      <c r="B39" s="1" t="s">
        <v>19</v>
      </c>
    </row>
    <row r="40" spans="1:2" x14ac:dyDescent="0.3">
      <c r="A40" s="1" t="s">
        <v>172</v>
      </c>
      <c r="B40" s="1" t="s">
        <v>20</v>
      </c>
    </row>
    <row r="41" spans="1:2" x14ac:dyDescent="0.3">
      <c r="A41" s="1" t="s">
        <v>167</v>
      </c>
      <c r="B41" s="1" t="s">
        <v>268</v>
      </c>
    </row>
    <row r="42" spans="1:2" x14ac:dyDescent="0.3">
      <c r="A42" s="1" t="s">
        <v>120</v>
      </c>
      <c r="B42" s="1" t="s">
        <v>21</v>
      </c>
    </row>
    <row r="43" spans="1:2" x14ac:dyDescent="0.3">
      <c r="A43" s="1" t="s">
        <v>133</v>
      </c>
      <c r="B43" s="1" t="s">
        <v>22</v>
      </c>
    </row>
    <row r="44" spans="1:2" x14ac:dyDescent="0.3">
      <c r="A44" s="1" t="s">
        <v>269</v>
      </c>
      <c r="B44" s="1" t="s">
        <v>270</v>
      </c>
    </row>
    <row r="45" spans="1:2" x14ac:dyDescent="0.3">
      <c r="A45" s="1" t="s">
        <v>188</v>
      </c>
      <c r="B45" s="1" t="s">
        <v>23</v>
      </c>
    </row>
    <row r="46" spans="1:2" x14ac:dyDescent="0.3">
      <c r="A46" s="1" t="s">
        <v>206</v>
      </c>
      <c r="B46" s="1" t="s">
        <v>271</v>
      </c>
    </row>
    <row r="47" spans="1:2" x14ac:dyDescent="0.3">
      <c r="A47" s="1" t="s">
        <v>190</v>
      </c>
      <c r="B47" s="1" t="s">
        <v>24</v>
      </c>
    </row>
    <row r="48" spans="1:2" x14ac:dyDescent="0.3">
      <c r="A48" s="1" t="s">
        <v>150</v>
      </c>
      <c r="B48" s="1" t="s">
        <v>25</v>
      </c>
    </row>
    <row r="49" spans="1:2" x14ac:dyDescent="0.3">
      <c r="A49" s="1" t="s">
        <v>272</v>
      </c>
      <c r="B49" s="1" t="s">
        <v>273</v>
      </c>
    </row>
    <row r="50" spans="1:2" x14ac:dyDescent="0.3">
      <c r="A50" s="1" t="s">
        <v>274</v>
      </c>
      <c r="B50" s="1" t="s">
        <v>275</v>
      </c>
    </row>
    <row r="51" spans="1:2" x14ac:dyDescent="0.3">
      <c r="A51" s="1" t="s">
        <v>111</v>
      </c>
      <c r="B51" s="1" t="s">
        <v>26</v>
      </c>
    </row>
    <row r="52" spans="1:2" x14ac:dyDescent="0.3">
      <c r="A52" s="1" t="s">
        <v>123</v>
      </c>
      <c r="B52" s="1" t="s">
        <v>27</v>
      </c>
    </row>
    <row r="53" spans="1:2" x14ac:dyDescent="0.3">
      <c r="A53" s="1" t="s">
        <v>208</v>
      </c>
      <c r="B53" s="1" t="s">
        <v>28</v>
      </c>
    </row>
    <row r="54" spans="1:2" x14ac:dyDescent="0.3">
      <c r="A54" s="1" t="s">
        <v>147</v>
      </c>
      <c r="B54" s="1" t="s">
        <v>29</v>
      </c>
    </row>
    <row r="55" spans="1:2" x14ac:dyDescent="0.3">
      <c r="A55" s="1" t="s">
        <v>220</v>
      </c>
      <c r="B55" s="1" t="s">
        <v>30</v>
      </c>
    </row>
    <row r="56" spans="1:2" x14ac:dyDescent="0.3">
      <c r="A56" s="1" t="s">
        <v>119</v>
      </c>
      <c r="B56" s="1" t="s">
        <v>31</v>
      </c>
    </row>
    <row r="57" spans="1:2" x14ac:dyDescent="0.3">
      <c r="A57" s="1" t="s">
        <v>201</v>
      </c>
      <c r="B57" s="1" t="s">
        <v>32</v>
      </c>
    </row>
    <row r="58" spans="1:2" x14ac:dyDescent="0.3">
      <c r="A58" s="1" t="s">
        <v>276</v>
      </c>
      <c r="B58" s="1" t="s">
        <v>277</v>
      </c>
    </row>
    <row r="59" spans="1:2" x14ac:dyDescent="0.3">
      <c r="A59" s="1" t="s">
        <v>175</v>
      </c>
      <c r="B59" s="1" t="s">
        <v>33</v>
      </c>
    </row>
    <row r="60" spans="1:2" x14ac:dyDescent="0.3">
      <c r="A60" s="1" t="s">
        <v>182</v>
      </c>
      <c r="B60" s="1" t="s">
        <v>34</v>
      </c>
    </row>
    <row r="61" spans="1:2" x14ac:dyDescent="0.3">
      <c r="A61" s="1" t="s">
        <v>164</v>
      </c>
      <c r="B61" s="1" t="s">
        <v>35</v>
      </c>
    </row>
    <row r="62" spans="1:2" x14ac:dyDescent="0.3">
      <c r="A62" s="1" t="s">
        <v>148</v>
      </c>
      <c r="B62" s="1" t="s">
        <v>36</v>
      </c>
    </row>
    <row r="63" spans="1:2" x14ac:dyDescent="0.3">
      <c r="A63" s="1" t="s">
        <v>134</v>
      </c>
      <c r="B63" s="1" t="s">
        <v>37</v>
      </c>
    </row>
    <row r="64" spans="1:2" x14ac:dyDescent="0.3">
      <c r="A64" s="1" t="s">
        <v>177</v>
      </c>
      <c r="B64" s="1" t="s">
        <v>38</v>
      </c>
    </row>
    <row r="65" spans="1:2" x14ac:dyDescent="0.3">
      <c r="A65" s="1" t="s">
        <v>138</v>
      </c>
      <c r="B65" s="1" t="s">
        <v>39</v>
      </c>
    </row>
    <row r="66" spans="1:2" x14ac:dyDescent="0.3">
      <c r="A66" s="1" t="s">
        <v>142</v>
      </c>
      <c r="B66" s="1" t="s">
        <v>40</v>
      </c>
    </row>
    <row r="67" spans="1:2" x14ac:dyDescent="0.3">
      <c r="A67" s="1" t="s">
        <v>149</v>
      </c>
      <c r="B67" s="1" t="s">
        <v>41</v>
      </c>
    </row>
    <row r="68" spans="1:2" x14ac:dyDescent="0.3">
      <c r="A68" s="1" t="s">
        <v>200</v>
      </c>
      <c r="B68" s="1" t="s">
        <v>42</v>
      </c>
    </row>
    <row r="69" spans="1:2" x14ac:dyDescent="0.3">
      <c r="A69" s="1" t="s">
        <v>112</v>
      </c>
      <c r="B69" s="1" t="s">
        <v>43</v>
      </c>
    </row>
    <row r="70" spans="1:2" x14ac:dyDescent="0.3">
      <c r="A70" s="1" t="s">
        <v>165</v>
      </c>
      <c r="B70" s="1" t="s">
        <v>44</v>
      </c>
    </row>
    <row r="71" spans="1:2" x14ac:dyDescent="0.3">
      <c r="A71" s="1" t="s">
        <v>124</v>
      </c>
      <c r="B71" s="1" t="s">
        <v>45</v>
      </c>
    </row>
    <row r="72" spans="1:2" x14ac:dyDescent="0.3">
      <c r="A72" s="1" t="s">
        <v>187</v>
      </c>
      <c r="B72" s="1" t="s">
        <v>46</v>
      </c>
    </row>
    <row r="73" spans="1:2" x14ac:dyDescent="0.3">
      <c r="A73" s="1" t="s">
        <v>121</v>
      </c>
      <c r="B73" s="1" t="s">
        <v>47</v>
      </c>
    </row>
    <row r="74" spans="1:2" x14ac:dyDescent="0.3">
      <c r="A74" s="1" t="s">
        <v>221</v>
      </c>
      <c r="B74" s="1" t="s">
        <v>48</v>
      </c>
    </row>
    <row r="75" spans="1:2" x14ac:dyDescent="0.3">
      <c r="A75" s="1" t="s">
        <v>196</v>
      </c>
      <c r="B75" s="1" t="s">
        <v>49</v>
      </c>
    </row>
    <row r="76" spans="1:2" x14ac:dyDescent="0.3">
      <c r="A76" s="1" t="s">
        <v>213</v>
      </c>
      <c r="B76" s="1" t="s">
        <v>50</v>
      </c>
    </row>
    <row r="77" spans="1:2" x14ac:dyDescent="0.3">
      <c r="A77" s="1" t="s">
        <v>171</v>
      </c>
      <c r="B77" s="1" t="s">
        <v>51</v>
      </c>
    </row>
    <row r="78" spans="1:2" x14ac:dyDescent="0.3">
      <c r="A78" s="1" t="s">
        <v>135</v>
      </c>
      <c r="B78" s="1" t="s">
        <v>52</v>
      </c>
    </row>
    <row r="79" spans="1:2" x14ac:dyDescent="0.3">
      <c r="A79" s="1" t="s">
        <v>170</v>
      </c>
      <c r="B79" s="1" t="s">
        <v>53</v>
      </c>
    </row>
    <row r="80" spans="1:2" x14ac:dyDescent="0.3">
      <c r="A80" s="1" t="s">
        <v>278</v>
      </c>
      <c r="B80" s="1" t="s">
        <v>279</v>
      </c>
    </row>
    <row r="81" spans="1:2" x14ac:dyDescent="0.3">
      <c r="A81" s="1" t="s">
        <v>280</v>
      </c>
      <c r="B81" s="1" t="s">
        <v>281</v>
      </c>
    </row>
    <row r="82" spans="1:2" x14ac:dyDescent="0.3">
      <c r="A82" s="1" t="s">
        <v>202</v>
      </c>
      <c r="B82" s="1" t="s">
        <v>54</v>
      </c>
    </row>
    <row r="83" spans="1:2" x14ac:dyDescent="0.3">
      <c r="A83" s="1" t="s">
        <v>282</v>
      </c>
      <c r="B83" s="1" t="s">
        <v>283</v>
      </c>
    </row>
    <row r="84" spans="1:2" x14ac:dyDescent="0.3">
      <c r="A84" s="1" t="s">
        <v>193</v>
      </c>
      <c r="B84" s="1" t="s">
        <v>55</v>
      </c>
    </row>
    <row r="85" spans="1:2" x14ac:dyDescent="0.3">
      <c r="A85" s="1" t="s">
        <v>192</v>
      </c>
      <c r="B85" s="1" t="s">
        <v>56</v>
      </c>
    </row>
    <row r="86" spans="1:2" x14ac:dyDescent="0.3">
      <c r="A86" s="1" t="s">
        <v>161</v>
      </c>
      <c r="B86" s="1" t="s">
        <v>57</v>
      </c>
    </row>
    <row r="87" spans="1:2" x14ac:dyDescent="0.3">
      <c r="A87" s="1" t="s">
        <v>284</v>
      </c>
      <c r="B87" s="1" t="s">
        <v>285</v>
      </c>
    </row>
    <row r="88" spans="1:2" x14ac:dyDescent="0.3">
      <c r="A88" s="1" t="s">
        <v>286</v>
      </c>
      <c r="B88" s="1" t="s">
        <v>287</v>
      </c>
    </row>
    <row r="89" spans="1:2" x14ac:dyDescent="0.3">
      <c r="A89" s="1" t="s">
        <v>288</v>
      </c>
      <c r="B89" s="1" t="s">
        <v>289</v>
      </c>
    </row>
    <row r="90" spans="1:2" x14ac:dyDescent="0.3">
      <c r="A90" s="1" t="s">
        <v>183</v>
      </c>
      <c r="B90" s="1" t="s">
        <v>58</v>
      </c>
    </row>
    <row r="91" spans="1:2" x14ac:dyDescent="0.3">
      <c r="A91" s="1" t="s">
        <v>290</v>
      </c>
      <c r="B91" s="1" t="s">
        <v>291</v>
      </c>
    </row>
    <row r="92" spans="1:2" x14ac:dyDescent="0.3">
      <c r="A92" s="1" t="s">
        <v>292</v>
      </c>
      <c r="B92" s="1" t="s">
        <v>293</v>
      </c>
    </row>
    <row r="93" spans="1:2" x14ac:dyDescent="0.3">
      <c r="A93" s="1" t="s">
        <v>294</v>
      </c>
      <c r="B93" s="1" t="s">
        <v>295</v>
      </c>
    </row>
    <row r="94" spans="1:2" x14ac:dyDescent="0.3">
      <c r="A94" s="1" t="s">
        <v>223</v>
      </c>
      <c r="B94" s="1" t="s">
        <v>59</v>
      </c>
    </row>
    <row r="95" spans="1:2" x14ac:dyDescent="0.3">
      <c r="A95" s="1" t="s">
        <v>216</v>
      </c>
      <c r="B95" s="1" t="s">
        <v>296</v>
      </c>
    </row>
    <row r="96" spans="1:2" x14ac:dyDescent="0.3">
      <c r="A96" s="1" t="s">
        <v>153</v>
      </c>
      <c r="B96" s="1" t="s">
        <v>60</v>
      </c>
    </row>
    <row r="97" spans="1:2" x14ac:dyDescent="0.3">
      <c r="A97" s="1" t="s">
        <v>181</v>
      </c>
      <c r="B97" s="1" t="s">
        <v>61</v>
      </c>
    </row>
    <row r="98" spans="1:2" x14ac:dyDescent="0.3">
      <c r="A98" s="1" t="s">
        <v>199</v>
      </c>
      <c r="B98" s="1" t="s">
        <v>62</v>
      </c>
    </row>
    <row r="99" spans="1:2" x14ac:dyDescent="0.3">
      <c r="A99" s="1" t="s">
        <v>297</v>
      </c>
      <c r="B99" s="1" t="s">
        <v>298</v>
      </c>
    </row>
    <row r="100" spans="1:2" x14ac:dyDescent="0.3">
      <c r="A100" s="1" t="s">
        <v>222</v>
      </c>
      <c r="B100" s="1" t="s">
        <v>63</v>
      </c>
    </row>
    <row r="101" spans="1:2" x14ac:dyDescent="0.3">
      <c r="A101" s="1" t="s">
        <v>299</v>
      </c>
      <c r="B101" s="1" t="s">
        <v>300</v>
      </c>
    </row>
    <row r="102" spans="1:2" x14ac:dyDescent="0.3">
      <c r="A102" s="1" t="s">
        <v>122</v>
      </c>
      <c r="B102" s="1" t="s">
        <v>64</v>
      </c>
    </row>
    <row r="103" spans="1:2" x14ac:dyDescent="0.3">
      <c r="A103" s="1" t="s">
        <v>301</v>
      </c>
      <c r="B103" s="1" t="s">
        <v>302</v>
      </c>
    </row>
    <row r="104" spans="1:2" x14ac:dyDescent="0.3">
      <c r="A104" s="1" t="s">
        <v>166</v>
      </c>
      <c r="B104" s="1" t="s">
        <v>303</v>
      </c>
    </row>
    <row r="105" spans="1:2" x14ac:dyDescent="0.3">
      <c r="A105" s="1" t="s">
        <v>151</v>
      </c>
      <c r="B105" s="1" t="s">
        <v>65</v>
      </c>
    </row>
    <row r="106" spans="1:2" x14ac:dyDescent="0.3">
      <c r="A106" s="1" t="s">
        <v>160</v>
      </c>
      <c r="B106" s="1" t="s">
        <v>66</v>
      </c>
    </row>
    <row r="107" spans="1:2" x14ac:dyDescent="0.3">
      <c r="A107" s="1" t="s">
        <v>210</v>
      </c>
      <c r="B107" s="1" t="s">
        <v>67</v>
      </c>
    </row>
    <row r="108" spans="1:2" x14ac:dyDescent="0.3">
      <c r="A108" s="1" t="s">
        <v>139</v>
      </c>
      <c r="B108" s="1" t="s">
        <v>68</v>
      </c>
    </row>
    <row r="109" spans="1:2" x14ac:dyDescent="0.3">
      <c r="A109" s="1" t="s">
        <v>125</v>
      </c>
      <c r="B109" s="1" t="s">
        <v>69</v>
      </c>
    </row>
    <row r="110" spans="1:2" x14ac:dyDescent="0.3">
      <c r="A110" s="1" t="s">
        <v>304</v>
      </c>
      <c r="B110" s="1" t="s">
        <v>305</v>
      </c>
    </row>
    <row r="111" spans="1:2" x14ac:dyDescent="0.3">
      <c r="A111" s="1" t="s">
        <v>205</v>
      </c>
      <c r="B111" s="1" t="s">
        <v>70</v>
      </c>
    </row>
    <row r="112" spans="1:2" x14ac:dyDescent="0.3">
      <c r="A112" s="1" t="s">
        <v>215</v>
      </c>
      <c r="B112" s="1" t="s">
        <v>71</v>
      </c>
    </row>
    <row r="113" spans="1:2" x14ac:dyDescent="0.3">
      <c r="A113" s="1" t="s">
        <v>217</v>
      </c>
      <c r="B113" s="1" t="s">
        <v>72</v>
      </c>
    </row>
    <row r="114" spans="1:2" x14ac:dyDescent="0.3">
      <c r="A114" s="1" t="s">
        <v>306</v>
      </c>
      <c r="B114" s="1" t="s">
        <v>307</v>
      </c>
    </row>
    <row r="115" spans="1:2" x14ac:dyDescent="0.3">
      <c r="A115" s="1" t="s">
        <v>186</v>
      </c>
      <c r="B115" s="1" t="s">
        <v>73</v>
      </c>
    </row>
    <row r="116" spans="1:2" x14ac:dyDescent="0.3">
      <c r="A116" s="1" t="s">
        <v>214</v>
      </c>
      <c r="B116" s="1" t="s">
        <v>74</v>
      </c>
    </row>
    <row r="117" spans="1:2" x14ac:dyDescent="0.3">
      <c r="A117" s="1" t="s">
        <v>114</v>
      </c>
      <c r="B117" s="1" t="s">
        <v>75</v>
      </c>
    </row>
    <row r="118" spans="1:2" x14ac:dyDescent="0.3">
      <c r="A118" s="1" t="s">
        <v>137</v>
      </c>
      <c r="B118" s="1" t="s">
        <v>76</v>
      </c>
    </row>
    <row r="119" spans="1:2" x14ac:dyDescent="0.3">
      <c r="A119" s="1" t="s">
        <v>180</v>
      </c>
      <c r="B119" s="1" t="s">
        <v>77</v>
      </c>
    </row>
    <row r="120" spans="1:2" x14ac:dyDescent="0.3">
      <c r="A120" s="1" t="s">
        <v>127</v>
      </c>
      <c r="B120" s="1" t="s">
        <v>78</v>
      </c>
    </row>
    <row r="121" spans="1:2" x14ac:dyDescent="0.3">
      <c r="A121" s="1" t="s">
        <v>129</v>
      </c>
      <c r="B121" s="1" t="s">
        <v>79</v>
      </c>
    </row>
    <row r="122" spans="1:2" x14ac:dyDescent="0.3">
      <c r="A122" s="1" t="s">
        <v>185</v>
      </c>
      <c r="B122" s="1" t="s">
        <v>80</v>
      </c>
    </row>
    <row r="123" spans="1:2" x14ac:dyDescent="0.3">
      <c r="A123" s="1" t="s">
        <v>159</v>
      </c>
      <c r="B123" s="1" t="s">
        <v>81</v>
      </c>
    </row>
    <row r="124" spans="1:2" x14ac:dyDescent="0.3">
      <c r="A124" s="1" t="s">
        <v>308</v>
      </c>
      <c r="B124" s="1" t="s">
        <v>309</v>
      </c>
    </row>
    <row r="125" spans="1:2" x14ac:dyDescent="0.3">
      <c r="A125" s="1" t="s">
        <v>310</v>
      </c>
      <c r="B125" s="1" t="s">
        <v>311</v>
      </c>
    </row>
    <row r="126" spans="1:2" x14ac:dyDescent="0.3">
      <c r="A126" s="1" t="s">
        <v>163</v>
      </c>
      <c r="B126" s="1" t="s">
        <v>82</v>
      </c>
    </row>
    <row r="127" spans="1:2" x14ac:dyDescent="0.3">
      <c r="A127" s="1" t="s">
        <v>141</v>
      </c>
      <c r="B127" s="1" t="s">
        <v>83</v>
      </c>
    </row>
    <row r="128" spans="1:2" x14ac:dyDescent="0.3">
      <c r="A128" s="1" t="s">
        <v>312</v>
      </c>
      <c r="B128" s="1" t="s">
        <v>313</v>
      </c>
    </row>
    <row r="129" spans="1:2" x14ac:dyDescent="0.3">
      <c r="A129" s="1" t="s">
        <v>314</v>
      </c>
      <c r="B129" s="1" t="s">
        <v>315</v>
      </c>
    </row>
    <row r="130" spans="1:2" x14ac:dyDescent="0.3">
      <c r="A130" s="1" t="s">
        <v>152</v>
      </c>
      <c r="B130" s="1" t="s">
        <v>84</v>
      </c>
    </row>
    <row r="131" spans="1:2" x14ac:dyDescent="0.3">
      <c r="A131" s="1" t="s">
        <v>316</v>
      </c>
      <c r="B131" s="1" t="s">
        <v>317</v>
      </c>
    </row>
    <row r="132" spans="1:2" x14ac:dyDescent="0.3">
      <c r="A132" s="1" t="s">
        <v>117</v>
      </c>
      <c r="B132" s="1" t="s">
        <v>85</v>
      </c>
    </row>
    <row r="133" spans="1:2" x14ac:dyDescent="0.3">
      <c r="A133" s="1" t="s">
        <v>203</v>
      </c>
      <c r="B133" s="1" t="s">
        <v>86</v>
      </c>
    </row>
    <row r="134" spans="1:2" x14ac:dyDescent="0.3">
      <c r="A134" s="1" t="s">
        <v>318</v>
      </c>
      <c r="B134" s="1" t="s">
        <v>319</v>
      </c>
    </row>
    <row r="135" spans="1:2" x14ac:dyDescent="0.3">
      <c r="A135" s="1" t="s">
        <v>128</v>
      </c>
      <c r="B135" s="1" t="s">
        <v>87</v>
      </c>
    </row>
    <row r="136" spans="1:2" x14ac:dyDescent="0.3">
      <c r="A136" s="1" t="s">
        <v>116</v>
      </c>
      <c r="B136" s="1" t="s">
        <v>88</v>
      </c>
    </row>
    <row r="137" spans="1:2" x14ac:dyDescent="0.3">
      <c r="A137" s="1" t="s">
        <v>169</v>
      </c>
      <c r="B137" s="1" t="s">
        <v>89</v>
      </c>
    </row>
    <row r="138" spans="1:2" x14ac:dyDescent="0.3">
      <c r="A138" s="1" t="s">
        <v>320</v>
      </c>
      <c r="B138" s="1" t="s">
        <v>321</v>
      </c>
    </row>
    <row r="139" spans="1:2" x14ac:dyDescent="0.3">
      <c r="A139" s="1" t="s">
        <v>322</v>
      </c>
      <c r="B139" s="1" t="s">
        <v>323</v>
      </c>
    </row>
    <row r="140" spans="1:2" x14ac:dyDescent="0.3">
      <c r="A140" s="1" t="s">
        <v>178</v>
      </c>
      <c r="B140" s="1" t="s">
        <v>90</v>
      </c>
    </row>
    <row r="141" spans="1:2" x14ac:dyDescent="0.3">
      <c r="A141" s="1" t="s">
        <v>115</v>
      </c>
      <c r="B141" s="1" t="s">
        <v>91</v>
      </c>
    </row>
    <row r="142" spans="1:2" x14ac:dyDescent="0.3">
      <c r="A142" s="1" t="s">
        <v>198</v>
      </c>
      <c r="B142" s="1" t="s">
        <v>92</v>
      </c>
    </row>
    <row r="143" spans="1:2" x14ac:dyDescent="0.3">
      <c r="A143" s="1" t="s">
        <v>324</v>
      </c>
      <c r="B143" s="1" t="s">
        <v>325</v>
      </c>
    </row>
    <row r="144" spans="1:2" x14ac:dyDescent="0.3">
      <c r="A144" s="1" t="s">
        <v>326</v>
      </c>
      <c r="B144" s="1" t="s">
        <v>327</v>
      </c>
    </row>
    <row r="145" spans="1:2" x14ac:dyDescent="0.3">
      <c r="A145" s="1" t="s">
        <v>145</v>
      </c>
      <c r="B145" s="1" t="s">
        <v>93</v>
      </c>
    </row>
    <row r="146" spans="1:2" x14ac:dyDescent="0.3">
      <c r="A146" s="1" t="s">
        <v>328</v>
      </c>
      <c r="B146" s="1" t="s">
        <v>329</v>
      </c>
    </row>
    <row r="147" spans="1:2" x14ac:dyDescent="0.3">
      <c r="A147" s="1" t="s">
        <v>158</v>
      </c>
      <c r="B147" s="1" t="s">
        <v>330</v>
      </c>
    </row>
    <row r="148" spans="1:2" x14ac:dyDescent="0.3">
      <c r="A148" s="1" t="s">
        <v>136</v>
      </c>
      <c r="B148" s="1" t="s">
        <v>94</v>
      </c>
    </row>
    <row r="149" spans="1:2" x14ac:dyDescent="0.3">
      <c r="A149" s="1" t="s">
        <v>331</v>
      </c>
      <c r="B149" s="1" t="s">
        <v>332</v>
      </c>
    </row>
    <row r="150" spans="1:2" x14ac:dyDescent="0.3">
      <c r="A150" s="1" t="s">
        <v>191</v>
      </c>
      <c r="B150" s="1" t="s">
        <v>95</v>
      </c>
    </row>
    <row r="151" spans="1:2" x14ac:dyDescent="0.3">
      <c r="A151" s="1" t="s">
        <v>131</v>
      </c>
      <c r="B151" s="1" t="s">
        <v>96</v>
      </c>
    </row>
    <row r="152" spans="1:2" x14ac:dyDescent="0.3">
      <c r="A152" s="1" t="s">
        <v>143</v>
      </c>
      <c r="B152" s="1" t="s">
        <v>97</v>
      </c>
    </row>
    <row r="153" spans="1:2" x14ac:dyDescent="0.3">
      <c r="A153" s="1" t="s">
        <v>113</v>
      </c>
      <c r="B153" s="1" t="s">
        <v>98</v>
      </c>
    </row>
    <row r="154" spans="1:2" x14ac:dyDescent="0.3">
      <c r="A154" s="1" t="s">
        <v>144</v>
      </c>
      <c r="B154" s="1" t="s">
        <v>99</v>
      </c>
    </row>
    <row r="155" spans="1:2" x14ac:dyDescent="0.3">
      <c r="A155" s="1" t="s">
        <v>333</v>
      </c>
      <c r="B155" s="1" t="s">
        <v>334</v>
      </c>
    </row>
    <row r="156" spans="1:2" x14ac:dyDescent="0.3">
      <c r="A156" s="1" t="s">
        <v>335</v>
      </c>
      <c r="B156" s="1" t="s">
        <v>336</v>
      </c>
    </row>
    <row r="157" spans="1:2" x14ac:dyDescent="0.3">
      <c r="A157" s="1" t="s">
        <v>194</v>
      </c>
      <c r="B157" s="1" t="s">
        <v>100</v>
      </c>
    </row>
    <row r="158" spans="1:2" x14ac:dyDescent="0.3">
      <c r="A158" s="1" t="s">
        <v>337</v>
      </c>
      <c r="B158" s="1" t="s">
        <v>338</v>
      </c>
    </row>
    <row r="159" spans="1:2" x14ac:dyDescent="0.3">
      <c r="A159" s="1" t="s">
        <v>339</v>
      </c>
      <c r="B159" s="1" t="s">
        <v>340</v>
      </c>
    </row>
    <row r="160" spans="1:2" x14ac:dyDescent="0.3">
      <c r="A160" s="1" t="s">
        <v>174</v>
      </c>
      <c r="B160" s="1" t="s">
        <v>101</v>
      </c>
    </row>
    <row r="161" spans="1:2" x14ac:dyDescent="0.3">
      <c r="A161" s="1" t="s">
        <v>341</v>
      </c>
      <c r="B161" s="1" t="s">
        <v>342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Сводная</vt:lpstr>
      <vt:lpstr>unified_payments</vt:lpstr>
      <vt:lpstr>Countries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Ольга Бел</cp:lastModifiedBy>
  <dcterms:created xsi:type="dcterms:W3CDTF">2026-09-07T08:45:44Z</dcterms:created>
  <dcterms:modified xsi:type="dcterms:W3CDTF">2026-09-09T10:28:47Z</dcterms:modified>
</cp:coreProperties>
</file>