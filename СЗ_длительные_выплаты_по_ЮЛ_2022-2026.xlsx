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З по Ю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9"/>
    </font>
    <font>
      <name val="Arial"/>
      <b val="1"/>
      <color rgb="000000FF"/>
      <sz val="9"/>
    </font>
    <font>
      <name val="Arial"/>
      <b val="1"/>
      <color rgb="00FFFFFF"/>
      <sz val="10"/>
    </font>
    <font>
      <name val="Arial"/>
      <b val="1"/>
      <color rgb="001F4E78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DCE6F1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pivotButton="0" quotePrefix="0" xfId="0"/>
    <xf numFmtId="164" fontId="8" fillId="0" borderId="1" pivotButton="0" quotePrefix="0" xfId="0"/>
    <xf numFmtId="164" fontId="9" fillId="0" borderId="1" pivotButton="0" quotePrefix="0" xfId="0"/>
    <xf numFmtId="0" fontId="0" fillId="5" borderId="1" pivotButton="0" quotePrefix="0" xfId="0"/>
    <xf numFmtId="0" fontId="8" fillId="5" borderId="1" pivotButton="0" quotePrefix="0" xfId="0"/>
    <xf numFmtId="164" fontId="8" fillId="5" borderId="1" pivotButton="0" quotePrefix="0" xfId="0"/>
    <xf numFmtId="0" fontId="0" fillId="6" borderId="1" pivotButton="0" quotePrefix="0" xfId="0"/>
    <xf numFmtId="0" fontId="10" fillId="6" borderId="1" pivotButton="0" quotePrefix="0" xfId="0"/>
    <xf numFmtId="164" fontId="10" fillId="6" borderId="1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center"/>
    </xf>
    <xf numFmtId="0" fontId="8" fillId="7" borderId="1" pivotButton="0" quotePrefix="0" xfId="0"/>
    <xf numFmtId="0" fontId="7" fillId="7" borderId="1" applyAlignment="1" pivotButton="0" quotePrefix="0" xfId="0">
      <alignment horizontal="center"/>
    </xf>
    <xf numFmtId="164" fontId="7" fillId="7" borderId="1" pivotButton="0" quotePrefix="0" xfId="0"/>
    <xf numFmtId="0" fontId="8" fillId="6" borderId="1" pivotButton="0" quotePrefix="0" xfId="0"/>
    <xf numFmtId="0" fontId="8" fillId="6" borderId="1" applyAlignment="1" pivotButton="0" quotePrefix="0" xfId="0">
      <alignment horizontal="center"/>
    </xf>
    <xf numFmtId="164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7" customWidth="1" min="4" max="4"/>
    <col width="11" customWidth="1" min="5" max="5"/>
    <col width="11" customWidth="1" min="6" max="6"/>
    <col width="15" customWidth="1" min="7" max="7"/>
    <col width="6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7" customWidth="1" min="14" max="14"/>
    <col width="19" customWidth="1" min="15" max="15"/>
  </cols>
  <sheetData>
    <row r="1">
      <c r="A1" s="1" t="inlineStr">
        <is>
          <t>Самозанятые: длительные и крупные выплаты, группировка по юр. лицу (2022–2026)</t>
        </is>
      </c>
    </row>
    <row r="2">
      <c r="A2" s="2" t="inlineStr">
        <is>
          <t>Источник: Google Sheets «СЗ ТФ/ ДДЛ/ БВ и т.д.», ID 1CTm8rGtwIEp43AnDihsIF-fu0rYvk0PpZsbhgwqx9yw. Суммы — «Итого к выплате» (на руки + НПД), ₽.</t>
        </is>
      </c>
    </row>
    <row r="3">
      <c r="A3" s="2" t="inlineStr">
        <is>
          <t>Отбор: статус «активен», выплаты продолжаются в 2026. Внутри каждого ЮЛ: по стажу (лет выплат) по убыванию, далее по общей сумме по убыванию.</t>
        </is>
      </c>
    </row>
    <row r="4">
      <c r="A4" s="3" t="inlineStr">
        <is>
          <t>Выплат в 2026 (мес.):</t>
        </is>
      </c>
      <c r="B4" s="4" t="n">
        <v>7</v>
      </c>
      <c r="C4" s="2" t="inlineStr">
        <is>
          <t>← допущение: в 2026 прошло 7 выплат (16.01, 13.02, 13.03, 15.04, 15.05, 15.06, 15.07)</t>
        </is>
      </c>
    </row>
    <row r="6" ht="30" customHeight="1">
      <c r="A6" s="5" t="inlineStr">
        <is>
          <t>№</t>
        </is>
      </c>
      <c r="B6" s="5" t="inlineStr">
        <is>
          <t>ФИО</t>
        </is>
      </c>
      <c r="C6" s="5" t="inlineStr">
        <is>
          <t>Проект</t>
        </is>
      </c>
      <c r="D6" s="5" t="inlineStr">
        <is>
          <t>ЮЛ</t>
        </is>
      </c>
      <c r="E6" s="5" t="inlineStr">
        <is>
          <t>Ставка НПД</t>
        </is>
      </c>
      <c r="F6" s="5" t="inlineStr">
        <is>
          <t>Статус</t>
        </is>
      </c>
      <c r="G6" s="5" t="inlineStr">
        <is>
          <t>Период выплат</t>
        </is>
      </c>
      <c r="H6" s="5" t="inlineStr">
        <is>
          <t>Лет</t>
        </is>
      </c>
      <c r="I6" s="5" t="inlineStr">
        <is>
          <t>2022</t>
        </is>
      </c>
      <c r="J6" s="5" t="inlineStr">
        <is>
          <t>2023</t>
        </is>
      </c>
      <c r="K6" s="5" t="inlineStr">
        <is>
          <t>2024</t>
        </is>
      </c>
      <c r="L6" s="5" t="inlineStr">
        <is>
          <t>2025</t>
        </is>
      </c>
      <c r="M6" s="5" t="inlineStr">
        <is>
          <t>2026</t>
        </is>
      </c>
      <c r="N6" s="5" t="inlineStr">
        <is>
          <t>Итого 2022–2026</t>
        </is>
      </c>
      <c r="O6" s="5" t="inlineStr">
        <is>
          <t>Среднемес. выплата 2026</t>
        </is>
      </c>
    </row>
    <row r="7">
      <c r="A7" s="6" t="inlineStr">
        <is>
          <t>БВ — 15 чел.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8" t="n">
        <v>1</v>
      </c>
      <c r="B8" s="9" t="inlineStr">
        <is>
          <t>Глубокая Яна Ярославовна</t>
        </is>
      </c>
      <c r="C8" s="9" t="inlineStr">
        <is>
          <t>ТФМ (ПО)</t>
        </is>
      </c>
      <c r="D8" s="8" t="inlineStr">
        <is>
          <t>БВ</t>
        </is>
      </c>
      <c r="E8" s="8" t="inlineStr">
        <is>
          <t>6%</t>
        </is>
      </c>
      <c r="F8" s="8" t="inlineStr">
        <is>
          <t>активен</t>
        </is>
      </c>
      <c r="G8" s="8" t="inlineStr">
        <is>
          <t>2022–2026</t>
        </is>
      </c>
      <c r="H8" s="8" t="n">
        <v>5</v>
      </c>
      <c r="I8" s="10" t="n">
        <v>74734</v>
      </c>
      <c r="J8" s="10" t="n">
        <v>1277373</v>
      </c>
      <c r="K8" s="10" t="n">
        <v>2001199</v>
      </c>
      <c r="L8" s="10" t="n">
        <v>2541224</v>
      </c>
      <c r="M8" s="10" t="n">
        <v>1468449.18</v>
      </c>
      <c r="N8" s="11">
        <f>SUM(I8:M8)</f>
        <v/>
      </c>
      <c r="O8" s="12">
        <f>M8/$B$4</f>
        <v/>
      </c>
    </row>
    <row r="9">
      <c r="A9" s="8" t="n">
        <v>2</v>
      </c>
      <c r="B9" s="9" t="inlineStr">
        <is>
          <t>Высочинский Даниил Сергеевич</t>
        </is>
      </c>
      <c r="C9" s="9" t="inlineStr">
        <is>
          <t>ТФМ (ОСП)</t>
        </is>
      </c>
      <c r="D9" s="8" t="inlineStr">
        <is>
          <t>БВ</t>
        </is>
      </c>
      <c r="E9" s="8" t="inlineStr">
        <is>
          <t>6%</t>
        </is>
      </c>
      <c r="F9" s="8" t="inlineStr">
        <is>
          <t>активен</t>
        </is>
      </c>
      <c r="G9" s="8" t="inlineStr">
        <is>
          <t>2022–2026</t>
        </is>
      </c>
      <c r="H9" s="8" t="n">
        <v>5</v>
      </c>
      <c r="I9" s="10" t="n">
        <v>43489</v>
      </c>
      <c r="J9" s="10" t="n">
        <v>715306.13</v>
      </c>
      <c r="K9" s="10" t="n">
        <v>1582317</v>
      </c>
      <c r="L9" s="10" t="n">
        <v>1778297</v>
      </c>
      <c r="M9" s="10" t="n">
        <v>1146293</v>
      </c>
      <c r="N9" s="11">
        <f>SUM(I9:M9)</f>
        <v/>
      </c>
      <c r="O9" s="12">
        <f>M9/$B$4</f>
        <v/>
      </c>
    </row>
    <row r="10">
      <c r="A10" s="8" t="n">
        <v>3</v>
      </c>
      <c r="B10" s="9" t="inlineStr">
        <is>
          <t>Дроздова Мария Глебовна</t>
        </is>
      </c>
      <c r="C10" s="9" t="inlineStr">
        <is>
          <t>ТФМ (ОСП)</t>
        </is>
      </c>
      <c r="D10" s="8" t="inlineStr">
        <is>
          <t>БВ</t>
        </is>
      </c>
      <c r="E10" s="8" t="inlineStr">
        <is>
          <t>6%</t>
        </is>
      </c>
      <c r="F10" s="8" t="inlineStr">
        <is>
          <t>активен</t>
        </is>
      </c>
      <c r="G10" s="8" t="inlineStr">
        <is>
          <t>2022–2026</t>
        </is>
      </c>
      <c r="H10" s="8" t="n">
        <v>5</v>
      </c>
      <c r="I10" s="10" t="n">
        <v>41064</v>
      </c>
      <c r="J10" s="10" t="n">
        <v>637553</v>
      </c>
      <c r="K10" s="10" t="n">
        <v>1442457</v>
      </c>
      <c r="L10" s="10" t="n">
        <v>1784722</v>
      </c>
      <c r="M10" s="10" t="n">
        <v>1222167</v>
      </c>
      <c r="N10" s="11">
        <f>SUM(I10:M10)</f>
        <v/>
      </c>
      <c r="O10" s="12">
        <f>M10/$B$4</f>
        <v/>
      </c>
    </row>
    <row r="11">
      <c r="A11" s="8" t="n">
        <v>4</v>
      </c>
      <c r="B11" s="9" t="inlineStr">
        <is>
          <t>Кузьмина Елена Игоревна</t>
        </is>
      </c>
      <c r="C11" s="9" t="inlineStr">
        <is>
          <t>ТФМ (ОСП)</t>
        </is>
      </c>
      <c r="D11" s="8" t="inlineStr">
        <is>
          <t>БВ</t>
        </is>
      </c>
      <c r="E11" s="8" t="inlineStr">
        <is>
          <t>6%</t>
        </is>
      </c>
      <c r="F11" s="8" t="inlineStr">
        <is>
          <t>активен</t>
        </is>
      </c>
      <c r="G11" s="8" t="inlineStr">
        <is>
          <t>2022–2026</t>
        </is>
      </c>
      <c r="H11" s="8" t="n">
        <v>5</v>
      </c>
      <c r="I11" s="10" t="n">
        <v>59574</v>
      </c>
      <c r="J11" s="10" t="n">
        <v>100638</v>
      </c>
      <c r="K11" s="10" t="n">
        <v>1253297</v>
      </c>
      <c r="L11" s="10" t="n">
        <v>115745</v>
      </c>
      <c r="M11" s="10" t="n">
        <v>1062722</v>
      </c>
      <c r="N11" s="11">
        <f>SUM(I11:M11)</f>
        <v/>
      </c>
      <c r="O11" s="12">
        <f>M11/$B$4</f>
        <v/>
      </c>
    </row>
    <row r="12">
      <c r="A12" s="8" t="n">
        <v>5</v>
      </c>
      <c r="B12" s="9" t="inlineStr">
        <is>
          <t>Гатиатуллина Марина Эдуардовна</t>
        </is>
      </c>
      <c r="C12" s="9" t="inlineStr">
        <is>
          <t>Fansy</t>
        </is>
      </c>
      <c r="D12" s="8" t="inlineStr">
        <is>
          <t>БВ</t>
        </is>
      </c>
      <c r="E12" s="8" t="inlineStr">
        <is>
          <t>6%</t>
        </is>
      </c>
      <c r="F12" s="8" t="inlineStr">
        <is>
          <t>активен</t>
        </is>
      </c>
      <c r="G12" s="8" t="inlineStr">
        <is>
          <t>2023–2026</t>
        </is>
      </c>
      <c r="H12" s="8" t="n">
        <v>4</v>
      </c>
      <c r="I12" s="10" t="n">
        <v>0</v>
      </c>
      <c r="J12" s="10" t="n">
        <v>269105.17</v>
      </c>
      <c r="K12" s="10" t="n">
        <v>1743298</v>
      </c>
      <c r="L12" s="10" t="n">
        <v>1991245.01</v>
      </c>
      <c r="M12" s="10" t="n">
        <v>1192011.1</v>
      </c>
      <c r="N12" s="11">
        <f>SUM(I12:M12)</f>
        <v/>
      </c>
      <c r="O12" s="12">
        <f>M12/$B$4</f>
        <v/>
      </c>
    </row>
    <row r="13">
      <c r="A13" s="8" t="n">
        <v>6</v>
      </c>
      <c r="B13" s="9" t="inlineStr">
        <is>
          <t>Оглезнева Полина Сергеевна</t>
        </is>
      </c>
      <c r="C13" s="9" t="inlineStr">
        <is>
          <t>ТФМ (ОСП)</t>
        </is>
      </c>
      <c r="D13" s="8" t="inlineStr">
        <is>
          <t>БВ</t>
        </is>
      </c>
      <c r="E13" s="8" t="inlineStr">
        <is>
          <t>6%</t>
        </is>
      </c>
      <c r="F13" s="8" t="inlineStr">
        <is>
          <t>активен</t>
        </is>
      </c>
      <c r="G13" s="8" t="inlineStr">
        <is>
          <t>2023–2026</t>
        </is>
      </c>
      <c r="H13" s="8" t="n">
        <v>4</v>
      </c>
      <c r="I13" s="10" t="n">
        <v>0</v>
      </c>
      <c r="J13" s="10" t="n">
        <v>140852</v>
      </c>
      <c r="K13" s="10" t="n">
        <v>205851</v>
      </c>
      <c r="L13" s="10" t="n">
        <v>2326991</v>
      </c>
      <c r="M13" s="10" t="n">
        <v>1574518</v>
      </c>
      <c r="N13" s="11">
        <f>SUM(I13:M13)</f>
        <v/>
      </c>
      <c r="O13" s="12">
        <f>M13/$B$4</f>
        <v/>
      </c>
    </row>
    <row r="14">
      <c r="A14" s="8" t="n">
        <v>7</v>
      </c>
      <c r="B14" s="9" t="inlineStr">
        <is>
          <t>Бобрышева Татьяна Сергеевна</t>
        </is>
      </c>
      <c r="C14" s="9" t="inlineStr">
        <is>
          <t>ТФМ (ПО)</t>
        </is>
      </c>
      <c r="D14" s="8" t="inlineStr">
        <is>
          <t>БВ</t>
        </is>
      </c>
      <c r="E14" s="8" t="inlineStr">
        <is>
          <t>6%</t>
        </is>
      </c>
      <c r="F14" s="8" t="inlineStr">
        <is>
          <t>активен</t>
        </is>
      </c>
      <c r="G14" s="8" t="inlineStr">
        <is>
          <t>2023–2026</t>
        </is>
      </c>
      <c r="H14" s="8" t="n">
        <v>4</v>
      </c>
      <c r="I14" s="10" t="n">
        <v>0</v>
      </c>
      <c r="J14" s="10" t="n">
        <v>554372.52</v>
      </c>
      <c r="K14" s="10" t="n">
        <v>1016796.76</v>
      </c>
      <c r="L14" s="10" t="n">
        <v>1505710.52</v>
      </c>
      <c r="M14" s="10" t="n">
        <v>1082430.98</v>
      </c>
      <c r="N14" s="11">
        <f>SUM(I14:M14)</f>
        <v/>
      </c>
      <c r="O14" s="12">
        <f>M14/$B$4</f>
        <v/>
      </c>
    </row>
    <row r="15">
      <c r="A15" s="8" t="n">
        <v>8</v>
      </c>
      <c r="B15" s="9" t="inlineStr">
        <is>
          <t>Абдуллина Аделина Линаровна</t>
        </is>
      </c>
      <c r="C15" s="9" t="inlineStr">
        <is>
          <t>Fansy</t>
        </is>
      </c>
      <c r="D15" s="8" t="inlineStr">
        <is>
          <t>БВ</t>
        </is>
      </c>
      <c r="E15" s="8" t="inlineStr">
        <is>
          <t>0%</t>
        </is>
      </c>
      <c r="F15" s="8" t="inlineStr">
        <is>
          <t>активен</t>
        </is>
      </c>
      <c r="G15" s="8" t="inlineStr">
        <is>
          <t>2023–2026</t>
        </is>
      </c>
      <c r="H15" s="8" t="n">
        <v>4</v>
      </c>
      <c r="I15" s="10" t="n">
        <v>0</v>
      </c>
      <c r="J15" s="10" t="n">
        <v>129104.22</v>
      </c>
      <c r="K15" s="10" t="n">
        <v>690632</v>
      </c>
      <c r="L15" s="10" t="n">
        <v>1072320</v>
      </c>
      <c r="M15" s="10" t="n">
        <v>755000</v>
      </c>
      <c r="N15" s="11">
        <f>SUM(I15:M15)</f>
        <v/>
      </c>
      <c r="O15" s="12">
        <f>M15/$B$4</f>
        <v/>
      </c>
    </row>
    <row r="16">
      <c r="A16" s="8" t="n">
        <v>9</v>
      </c>
      <c r="B16" s="9" t="inlineStr">
        <is>
          <t>Демакова Дарья</t>
        </is>
      </c>
      <c r="C16" s="9" t="inlineStr">
        <is>
          <t>ТХ</t>
        </is>
      </c>
      <c r="D16" s="8" t="inlineStr">
        <is>
          <t>БВ</t>
        </is>
      </c>
      <c r="E16" s="8" t="inlineStr">
        <is>
          <t>6%</t>
        </is>
      </c>
      <c r="F16" s="8" t="inlineStr">
        <is>
          <t>активен</t>
        </is>
      </c>
      <c r="G16" s="8" t="inlineStr">
        <is>
          <t>2024–2026</t>
        </is>
      </c>
      <c r="H16" s="8" t="n">
        <v>3</v>
      </c>
      <c r="I16" s="10" t="n">
        <v>0</v>
      </c>
      <c r="J16" s="10" t="n">
        <v>0</v>
      </c>
      <c r="K16" s="10" t="n">
        <v>582823.1800000001</v>
      </c>
      <c r="L16" s="10" t="n">
        <v>1530724</v>
      </c>
      <c r="M16" s="10" t="n">
        <v>1167329</v>
      </c>
      <c r="N16" s="11">
        <f>SUM(I16:M16)</f>
        <v/>
      </c>
      <c r="O16" s="12">
        <f>M16/$B$4</f>
        <v/>
      </c>
    </row>
    <row r="17">
      <c r="A17" s="8" t="n">
        <v>10</v>
      </c>
      <c r="B17" s="9" t="inlineStr">
        <is>
          <t>Кузнецова Светлана Дмитриевна</t>
        </is>
      </c>
      <c r="C17" s="9" t="inlineStr">
        <is>
          <t>ТФМ (ПО)</t>
        </is>
      </c>
      <c r="D17" s="8" t="inlineStr">
        <is>
          <t>БВ</t>
        </is>
      </c>
      <c r="E17" s="8" t="inlineStr">
        <is>
          <t>6%</t>
        </is>
      </c>
      <c r="F17" s="8" t="inlineStr">
        <is>
          <t>активен</t>
        </is>
      </c>
      <c r="G17" s="8" t="inlineStr">
        <is>
          <t>2024–2026</t>
        </is>
      </c>
      <c r="H17" s="8" t="n">
        <v>3</v>
      </c>
      <c r="I17" s="10" t="n">
        <v>0</v>
      </c>
      <c r="J17" s="10" t="n">
        <v>0</v>
      </c>
      <c r="K17" s="10" t="n">
        <v>1425506.19</v>
      </c>
      <c r="L17" s="10" t="n">
        <v>109043</v>
      </c>
      <c r="M17" s="10" t="n">
        <v>1145357.79</v>
      </c>
      <c r="N17" s="11">
        <f>SUM(I17:M17)</f>
        <v/>
      </c>
      <c r="O17" s="12">
        <f>M17/$B$4</f>
        <v/>
      </c>
    </row>
    <row r="18">
      <c r="A18" s="8" t="n">
        <v>11</v>
      </c>
      <c r="B18" s="9" t="inlineStr">
        <is>
          <t>Нуруллина Анжелика Альбертовна</t>
        </is>
      </c>
      <c r="C18" s="9" t="inlineStr">
        <is>
          <t>Fansy</t>
        </is>
      </c>
      <c r="D18" s="8" t="inlineStr">
        <is>
          <t>БВ</t>
        </is>
      </c>
      <c r="E18" s="8" t="inlineStr">
        <is>
          <t>6%</t>
        </is>
      </c>
      <c r="F18" s="8" t="inlineStr">
        <is>
          <t>активен</t>
        </is>
      </c>
      <c r="G18" s="8" t="inlineStr">
        <is>
          <t>2024–2026</t>
        </is>
      </c>
      <c r="H18" s="8" t="n">
        <v>3</v>
      </c>
      <c r="I18" s="10" t="n">
        <v>0</v>
      </c>
      <c r="J18" s="10" t="n">
        <v>0</v>
      </c>
      <c r="K18" s="10" t="n">
        <v>338830</v>
      </c>
      <c r="L18" s="10" t="n">
        <v>1331065</v>
      </c>
      <c r="M18" s="10" t="n">
        <v>741701</v>
      </c>
      <c r="N18" s="11">
        <f>SUM(I18:M18)</f>
        <v/>
      </c>
      <c r="O18" s="12">
        <f>M18/$B$4</f>
        <v/>
      </c>
    </row>
    <row r="19">
      <c r="A19" s="8" t="n">
        <v>12</v>
      </c>
      <c r="B19" s="9" t="inlineStr">
        <is>
          <t>Тупико Олег Николаевич</t>
        </is>
      </c>
      <c r="C19" s="9" t="inlineStr">
        <is>
          <t>ГК (общие)</t>
        </is>
      </c>
      <c r="D19" s="8" t="inlineStr">
        <is>
          <t>БВ</t>
        </is>
      </c>
      <c r="E19" s="8" t="inlineStr">
        <is>
          <t>6%</t>
        </is>
      </c>
      <c r="F19" s="8" t="inlineStr">
        <is>
          <t>активен</t>
        </is>
      </c>
      <c r="G19" s="8" t="inlineStr">
        <is>
          <t>2024–2026</t>
        </is>
      </c>
      <c r="H19" s="8" t="n">
        <v>3</v>
      </c>
      <c r="I19" s="10" t="n">
        <v>0</v>
      </c>
      <c r="J19" s="10" t="n">
        <v>0</v>
      </c>
      <c r="K19" s="10" t="n">
        <v>259907</v>
      </c>
      <c r="L19" s="10" t="n">
        <v>337036</v>
      </c>
      <c r="M19" s="10" t="n">
        <v>1219304</v>
      </c>
      <c r="N19" s="11">
        <f>SUM(I19:M19)</f>
        <v/>
      </c>
      <c r="O19" s="12">
        <f>M19/$B$4</f>
        <v/>
      </c>
    </row>
    <row r="20">
      <c r="A20" s="8" t="n">
        <v>13</v>
      </c>
      <c r="B20" s="9" t="inlineStr">
        <is>
          <t>Лукьянова Вера Константиновна</t>
        </is>
      </c>
      <c r="C20" s="9" t="inlineStr">
        <is>
          <t>ТФМ (ПО)</t>
        </is>
      </c>
      <c r="D20" s="8" t="inlineStr">
        <is>
          <t>БВ</t>
        </is>
      </c>
      <c r="E20" s="8" t="inlineStr">
        <is>
          <t>6%</t>
        </is>
      </c>
      <c r="F20" s="8" t="inlineStr">
        <is>
          <t>активен</t>
        </is>
      </c>
      <c r="G20" s="8" t="inlineStr">
        <is>
          <t>2024–2026</t>
        </is>
      </c>
      <c r="H20" s="8" t="n">
        <v>3</v>
      </c>
      <c r="I20" s="10" t="n">
        <v>0</v>
      </c>
      <c r="J20" s="10" t="n">
        <v>0</v>
      </c>
      <c r="K20" s="10" t="n">
        <v>141702</v>
      </c>
      <c r="L20" s="10" t="n">
        <v>73617</v>
      </c>
      <c r="M20" s="10" t="n">
        <v>973404</v>
      </c>
      <c r="N20" s="11">
        <f>SUM(I20:M20)</f>
        <v/>
      </c>
      <c r="O20" s="12">
        <f>M20/$B$4</f>
        <v/>
      </c>
    </row>
    <row r="21">
      <c r="A21" s="8" t="n">
        <v>14</v>
      </c>
      <c r="B21" s="9" t="inlineStr">
        <is>
          <t>Левашева Анна Алексеевна</t>
        </is>
      </c>
      <c r="C21" s="9" t="inlineStr">
        <is>
          <t>ТФМ (ПО)</t>
        </is>
      </c>
      <c r="D21" s="8" t="inlineStr">
        <is>
          <t>БВ</t>
        </is>
      </c>
      <c r="E21" s="8" t="inlineStr">
        <is>
          <t>6%</t>
        </is>
      </c>
      <c r="F21" s="8" t="inlineStr">
        <is>
          <t>активен</t>
        </is>
      </c>
      <c r="G21" s="8" t="inlineStr">
        <is>
          <t>2025–2026</t>
        </is>
      </c>
      <c r="H21" s="8" t="n">
        <v>2</v>
      </c>
      <c r="I21" s="10" t="n">
        <v>0</v>
      </c>
      <c r="J21" s="10" t="n">
        <v>0</v>
      </c>
      <c r="K21" s="10" t="n">
        <v>0</v>
      </c>
      <c r="L21" s="10" t="n">
        <v>798831.01</v>
      </c>
      <c r="M21" s="10" t="n">
        <v>1362100.09</v>
      </c>
      <c r="N21" s="11">
        <f>SUM(I21:M21)</f>
        <v/>
      </c>
      <c r="O21" s="12">
        <f>M21/$B$4</f>
        <v/>
      </c>
    </row>
    <row r="22">
      <c r="A22" s="8" t="n">
        <v>15</v>
      </c>
      <c r="B22" s="9" t="inlineStr">
        <is>
          <t>Капустина Вероника Сергеевна</t>
        </is>
      </c>
      <c r="C22" s="9" t="inlineStr">
        <is>
          <t>ТФМ (ОСК)</t>
        </is>
      </c>
      <c r="D22" s="8" t="inlineStr">
        <is>
          <t>БВ</t>
        </is>
      </c>
      <c r="E22" s="8" t="inlineStr">
        <is>
          <t>6%</t>
        </is>
      </c>
      <c r="F22" s="8" t="inlineStr">
        <is>
          <t>активен</t>
        </is>
      </c>
      <c r="G22" s="8" t="inlineStr">
        <is>
          <t>2025–2026</t>
        </is>
      </c>
      <c r="H22" s="8" t="n">
        <v>2</v>
      </c>
      <c r="I22" s="10" t="n">
        <v>0</v>
      </c>
      <c r="J22" s="10" t="n">
        <v>0</v>
      </c>
      <c r="K22" s="10" t="n">
        <v>0</v>
      </c>
      <c r="L22" s="10" t="n">
        <v>214440.3</v>
      </c>
      <c r="M22" s="10" t="n">
        <v>1228052.73</v>
      </c>
      <c r="N22" s="11">
        <f>SUM(I22:M22)</f>
        <v/>
      </c>
      <c r="O22" s="12">
        <f>M22/$B$4</f>
        <v/>
      </c>
    </row>
    <row r="23">
      <c r="A23" s="13" t="n"/>
      <c r="B23" s="14" t="inlineStr">
        <is>
          <t>Итого БВ</t>
        </is>
      </c>
      <c r="C23" s="13" t="n"/>
      <c r="D23" s="13" t="n"/>
      <c r="E23" s="13" t="n"/>
      <c r="F23" s="13" t="n"/>
      <c r="G23" s="13" t="n"/>
      <c r="H23" s="13" t="n"/>
      <c r="I23" s="15">
        <f>SUM(I8:I22)</f>
        <v/>
      </c>
      <c r="J23" s="15">
        <f>SUM(J8:J22)</f>
        <v/>
      </c>
      <c r="K23" s="15">
        <f>SUM(K8:K22)</f>
        <v/>
      </c>
      <c r="L23" s="15">
        <f>SUM(L8:L22)</f>
        <v/>
      </c>
      <c r="M23" s="15">
        <f>SUM(M8:M22)</f>
        <v/>
      </c>
      <c r="N23" s="15">
        <f>SUM(N8:N22)</f>
        <v/>
      </c>
      <c r="O23" s="15">
        <f>SUM(O8:O22)</f>
        <v/>
      </c>
    </row>
    <row r="25">
      <c r="A25" s="6" t="inlineStr">
        <is>
          <t>АС — 4 чел.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>
      <c r="A26" s="8" t="n">
        <v>16</v>
      </c>
      <c r="B26" s="9" t="inlineStr">
        <is>
          <t>Грудинин Алексей Сергеевич</t>
        </is>
      </c>
      <c r="C26" s="9" t="inlineStr">
        <is>
          <t>ТФМ (ПО)</t>
        </is>
      </c>
      <c r="D26" s="8" t="inlineStr">
        <is>
          <t>АС</t>
        </is>
      </c>
      <c r="E26" s="8" t="inlineStr">
        <is>
          <t>6%</t>
        </is>
      </c>
      <c r="F26" s="8" t="inlineStr">
        <is>
          <t>активен</t>
        </is>
      </c>
      <c r="G26" s="8" t="inlineStr">
        <is>
          <t>2022–2026</t>
        </is>
      </c>
      <c r="H26" s="8" t="n">
        <v>5</v>
      </c>
      <c r="I26" s="10" t="n">
        <v>267577.88</v>
      </c>
      <c r="J26" s="10" t="n">
        <v>960405.97</v>
      </c>
      <c r="K26" s="10" t="n">
        <v>1372957.36</v>
      </c>
      <c r="L26" s="10" t="n">
        <v>1558585.08</v>
      </c>
      <c r="M26" s="10" t="n">
        <v>938053.12</v>
      </c>
      <c r="N26" s="11">
        <f>SUM(I26:M26)</f>
        <v/>
      </c>
      <c r="O26" s="12">
        <f>M26/$B$4</f>
        <v/>
      </c>
    </row>
    <row r="27">
      <c r="A27" s="8" t="n">
        <v>17</v>
      </c>
      <c r="B27" s="9" t="inlineStr">
        <is>
          <t>Репетенко Инна Эдуардовна</t>
        </is>
      </c>
      <c r="C27" s="9" t="inlineStr">
        <is>
          <t>ТФМ (ОРБ)</t>
        </is>
      </c>
      <c r="D27" s="8" t="inlineStr">
        <is>
          <t>АС</t>
        </is>
      </c>
      <c r="E27" s="8" t="inlineStr">
        <is>
          <t>6%</t>
        </is>
      </c>
      <c r="F27" s="8" t="inlineStr">
        <is>
          <t>активен</t>
        </is>
      </c>
      <c r="G27" s="8" t="inlineStr">
        <is>
          <t>2022–2026</t>
        </is>
      </c>
      <c r="H27" s="8" t="n">
        <v>5</v>
      </c>
      <c r="I27" s="10" t="n">
        <v>112190</v>
      </c>
      <c r="J27" s="10" t="n">
        <v>246600</v>
      </c>
      <c r="K27" s="10" t="n">
        <v>415655.93</v>
      </c>
      <c r="L27" s="10" t="n">
        <v>142973.52</v>
      </c>
      <c r="M27" s="10" t="n">
        <v>905821.35</v>
      </c>
      <c r="N27" s="11">
        <f>SUM(I27:M27)</f>
        <v/>
      </c>
      <c r="O27" s="12">
        <f>M27/$B$4</f>
        <v/>
      </c>
    </row>
    <row r="28">
      <c r="A28" s="8" t="n">
        <v>18</v>
      </c>
      <c r="B28" s="9" t="inlineStr">
        <is>
          <t>Жиркова Валентина Александровна</t>
        </is>
      </c>
      <c r="C28" s="9" t="inlineStr">
        <is>
          <t>ТФМ (ПО)</t>
        </is>
      </c>
      <c r="D28" s="8" t="inlineStr">
        <is>
          <t>АС</t>
        </is>
      </c>
      <c r="E28" s="8" t="inlineStr">
        <is>
          <t>6%</t>
        </is>
      </c>
      <c r="F28" s="8" t="inlineStr">
        <is>
          <t>активен</t>
        </is>
      </c>
      <c r="G28" s="8" t="inlineStr">
        <is>
          <t>2023–2026</t>
        </is>
      </c>
      <c r="H28" s="8" t="n">
        <v>4</v>
      </c>
      <c r="I28" s="10" t="n">
        <v>0</v>
      </c>
      <c r="J28" s="10" t="n">
        <v>257222.24</v>
      </c>
      <c r="K28" s="10" t="n">
        <v>1497661</v>
      </c>
      <c r="L28" s="10" t="n">
        <v>2201639.5</v>
      </c>
      <c r="M28" s="10" t="n">
        <v>1656517.19</v>
      </c>
      <c r="N28" s="11">
        <f>SUM(I28:M28)</f>
        <v/>
      </c>
      <c r="O28" s="12">
        <f>M28/$B$4</f>
        <v/>
      </c>
    </row>
    <row r="29">
      <c r="A29" s="8" t="n">
        <v>19</v>
      </c>
      <c r="B29" s="9" t="inlineStr">
        <is>
          <t>Возмищева Ксения Дмитриевна</t>
        </is>
      </c>
      <c r="C29" s="9" t="inlineStr">
        <is>
          <t>ТФМ (ОРБ)</t>
        </is>
      </c>
      <c r="D29" s="8" t="inlineStr">
        <is>
          <t>АС</t>
        </is>
      </c>
      <c r="E29" s="8" t="inlineStr">
        <is>
          <t>6%</t>
        </is>
      </c>
      <c r="F29" s="8" t="inlineStr">
        <is>
          <t>активен</t>
        </is>
      </c>
      <c r="G29" s="8" t="inlineStr">
        <is>
          <t>2024–2026</t>
        </is>
      </c>
      <c r="H29" s="8" t="n">
        <v>3</v>
      </c>
      <c r="I29" s="10" t="n">
        <v>0</v>
      </c>
      <c r="J29" s="10" t="n">
        <v>0</v>
      </c>
      <c r="K29" s="10" t="n">
        <v>333311.66</v>
      </c>
      <c r="L29" s="10" t="n">
        <v>1347175.74</v>
      </c>
      <c r="M29" s="10" t="n">
        <v>1267879.25</v>
      </c>
      <c r="N29" s="11">
        <f>SUM(I29:M29)</f>
        <v/>
      </c>
      <c r="O29" s="12">
        <f>M29/$B$4</f>
        <v/>
      </c>
    </row>
    <row r="30">
      <c r="A30" s="13" t="n"/>
      <c r="B30" s="14" t="inlineStr">
        <is>
          <t>Итого АС</t>
        </is>
      </c>
      <c r="C30" s="13" t="n"/>
      <c r="D30" s="13" t="n"/>
      <c r="E30" s="13" t="n"/>
      <c r="F30" s="13" t="n"/>
      <c r="G30" s="13" t="n"/>
      <c r="H30" s="13" t="n"/>
      <c r="I30" s="15">
        <f>SUM(I26:I29)</f>
        <v/>
      </c>
      <c r="J30" s="15">
        <f>SUM(J26:J29)</f>
        <v/>
      </c>
      <c r="K30" s="15">
        <f>SUM(K26:K29)</f>
        <v/>
      </c>
      <c r="L30" s="15">
        <f>SUM(L26:L29)</f>
        <v/>
      </c>
      <c r="M30" s="15">
        <f>SUM(M26:M29)</f>
        <v/>
      </c>
      <c r="N30" s="15">
        <f>SUM(N26:N29)</f>
        <v/>
      </c>
      <c r="O30" s="15">
        <f>SUM(O26:O29)</f>
        <v/>
      </c>
    </row>
    <row r="32">
      <c r="A32" s="6" t="inlineStr">
        <is>
          <t>ИП МТ — 1 чел.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>
      <c r="A33" s="8" t="n">
        <v>20</v>
      </c>
      <c r="B33" s="9" t="inlineStr">
        <is>
          <t>Злобин Николай Алексеевич</t>
        </is>
      </c>
      <c r="C33" s="9" t="inlineStr">
        <is>
          <t>Fansy</t>
        </is>
      </c>
      <c r="D33" s="8" t="inlineStr">
        <is>
          <t>ИП МТ</t>
        </is>
      </c>
      <c r="E33" s="8" t="inlineStr">
        <is>
          <t>6%</t>
        </is>
      </c>
      <c r="F33" s="8" t="inlineStr">
        <is>
          <t>активен</t>
        </is>
      </c>
      <c r="G33" s="8" t="inlineStr">
        <is>
          <t>2023–2026</t>
        </is>
      </c>
      <c r="H33" s="8" t="n">
        <v>4</v>
      </c>
      <c r="I33" s="10" t="n">
        <v>0</v>
      </c>
      <c r="J33" s="10" t="n">
        <v>231383</v>
      </c>
      <c r="K33" s="10" t="n">
        <v>2343163.34</v>
      </c>
      <c r="L33" s="10" t="n">
        <v>2601170</v>
      </c>
      <c r="M33" s="10" t="n">
        <v>1832861.81</v>
      </c>
      <c r="N33" s="11">
        <f>SUM(I33:M33)</f>
        <v/>
      </c>
      <c r="O33" s="12">
        <f>M33/$B$4</f>
        <v/>
      </c>
    </row>
    <row r="34">
      <c r="A34" s="13" t="n"/>
      <c r="B34" s="14" t="inlineStr">
        <is>
          <t>Итого ИП МТ</t>
        </is>
      </c>
      <c r="C34" s="13" t="n"/>
      <c r="D34" s="13" t="n"/>
      <c r="E34" s="13" t="n"/>
      <c r="F34" s="13" t="n"/>
      <c r="G34" s="13" t="n"/>
      <c r="H34" s="13" t="n"/>
      <c r="I34" s="15">
        <f>SUM(I33:I33)</f>
        <v/>
      </c>
      <c r="J34" s="15">
        <f>SUM(J33:J33)</f>
        <v/>
      </c>
      <c r="K34" s="15">
        <f>SUM(K33:K33)</f>
        <v/>
      </c>
      <c r="L34" s="15">
        <f>SUM(L33:L33)</f>
        <v/>
      </c>
      <c r="M34" s="15">
        <f>SUM(M33:M33)</f>
        <v/>
      </c>
      <c r="N34" s="15">
        <f>SUM(N33:N33)</f>
        <v/>
      </c>
      <c r="O34" s="15">
        <f>SUM(O33:O33)</f>
        <v/>
      </c>
    </row>
    <row r="36">
      <c r="A36" s="16" t="n"/>
      <c r="B36" s="17" t="inlineStr">
        <is>
          <t>ВСЕГО (20 чел.)</t>
        </is>
      </c>
      <c r="C36" s="16" t="n"/>
      <c r="D36" s="16" t="n"/>
      <c r="E36" s="16" t="n"/>
      <c r="F36" s="16" t="n"/>
      <c r="G36" s="16" t="n"/>
      <c r="H36" s="16" t="n"/>
      <c r="I36" s="18">
        <f>I23+I30+I34</f>
        <v/>
      </c>
      <c r="J36" s="18">
        <f>J23+J30+J34</f>
        <v/>
      </c>
      <c r="K36" s="18">
        <f>K23+K30+K34</f>
        <v/>
      </c>
      <c r="L36" s="18">
        <f>L23+L30+L34</f>
        <v/>
      </c>
      <c r="M36" s="18">
        <f>M23+M30+M34</f>
        <v/>
      </c>
      <c r="N36" s="18">
        <f>N23+N30+N34</f>
        <v/>
      </c>
      <c r="O36" s="18">
        <f>O23+O30+O34</f>
        <v/>
      </c>
    </row>
    <row r="38">
      <c r="A38" s="19" t="inlineStr">
        <is>
          <t>ПЛАНИРОВАНИЕ</t>
        </is>
      </c>
    </row>
    <row r="39">
      <c r="A39" s="20" t="inlineStr">
        <is>
          <t>Юр. лицо</t>
        </is>
      </c>
      <c r="B39" s="20" t="inlineStr">
        <is>
          <t>Чел.</t>
        </is>
      </c>
      <c r="C39" s="20" t="inlineStr">
        <is>
          <t>Месячный фонд</t>
        </is>
      </c>
      <c r="D39" s="20" t="inlineStr">
        <is>
          <t>На 6 мес.</t>
        </is>
      </c>
      <c r="E39" s="20" t="inlineStr">
        <is>
          <t>На 12 мес.</t>
        </is>
      </c>
    </row>
    <row r="40">
      <c r="A40" s="21" t="inlineStr">
        <is>
          <t>БВ</t>
        </is>
      </c>
      <c r="B40" s="22" t="n">
        <v>15</v>
      </c>
      <c r="C40" s="23">
        <f>O23*1</f>
        <v/>
      </c>
      <c r="D40" s="23">
        <f>O23*6</f>
        <v/>
      </c>
      <c r="E40" s="23">
        <f>O23*12</f>
        <v/>
      </c>
    </row>
    <row r="41">
      <c r="A41" s="21" t="inlineStr">
        <is>
          <t>АС</t>
        </is>
      </c>
      <c r="B41" s="22" t="n">
        <v>4</v>
      </c>
      <c r="C41" s="23">
        <f>O30*1</f>
        <v/>
      </c>
      <c r="D41" s="23">
        <f>O30*6</f>
        <v/>
      </c>
      <c r="E41" s="23">
        <f>O30*12</f>
        <v/>
      </c>
    </row>
    <row r="42">
      <c r="A42" s="21" t="inlineStr">
        <is>
          <t>ИП МТ</t>
        </is>
      </c>
      <c r="B42" s="22" t="n">
        <v>1</v>
      </c>
      <c r="C42" s="23">
        <f>O34*1</f>
        <v/>
      </c>
      <c r="D42" s="23">
        <f>O34*6</f>
        <v/>
      </c>
      <c r="E42" s="23">
        <f>O34*12</f>
        <v/>
      </c>
    </row>
    <row r="43">
      <c r="A43" s="24" t="inlineStr">
        <is>
          <t>ИТОГО</t>
        </is>
      </c>
      <c r="B43" s="25" t="n">
        <v>20</v>
      </c>
      <c r="C43" s="26">
        <f>O36*1</f>
        <v/>
      </c>
      <c r="D43" s="26">
        <f>O36*6</f>
        <v/>
      </c>
      <c r="E43" s="26">
        <f>O36*12</f>
        <v/>
      </c>
    </row>
    <row r="45">
      <c r="A45" s="3" t="inlineStr">
        <is>
          <t>Примечания</t>
        </is>
      </c>
    </row>
    <row r="46">
      <c r="A46" s="2" t="inlineStr">
        <is>
          <t>1. Данные получены через Google Drive API. Годовые итоги взяты из сводных таблиц листов; помесячные строки в выгрузке неполные.</t>
        </is>
      </c>
    </row>
    <row r="47">
      <c r="A47" s="2" t="inlineStr">
        <is>
          <t>2. Устранено задвоение строк между листами-копиями («2023 (копия)», параллельные вкладки 2025).</t>
        </is>
      </c>
    </row>
    <row r="48">
      <c r="A48" s="2" t="inlineStr">
        <is>
          <t>3. Столбец «Лет» — число календарных лет, в которых были выплаты. «Период выплат» — первый и последний год с выплатами.</t>
        </is>
      </c>
    </row>
    <row r="49">
      <c r="A49" s="2" t="inlineStr">
        <is>
          <t>4. Левашева и Капустина получают выплаты 2 года (2025–2026) — под критерий «более 2 лет» не подходят, включены по отдельной просьбе.</t>
        </is>
      </c>
    </row>
    <row r="50">
      <c r="A50" s="2" t="inlineStr">
        <is>
          <t>5. Левашева — смена фамилии с 23.09.25 (Домрачева); данные до смены могут учитываться отдельно.</t>
        </is>
      </c>
    </row>
    <row r="51">
      <c r="A51" s="2" t="inlineStr">
        <is>
          <t>6. Ставка НПД 0% — выплаты без налога на профдоход (по данным справочника СЗ).</t>
        </is>
      </c>
    </row>
    <row r="52">
      <c r="A52" s="2" t="inlineStr">
        <is>
          <t>7. Среднемесячная выплата 2026 = «Итого 2026» ÷ B4 (число выплат в 2026 г.). Это фактический месячный run-rate по начислениям декабрь 2025 – июнь 2026.</t>
        </is>
      </c>
    </row>
    <row r="53">
      <c r="A53" s="2" t="inlineStr">
        <is>
          <t>8. Ограничение выгрузки: по фамилиям после ~«Л» ранние годы (2022–2024) могли не попасть в сводные — стаж и суммы у них могут быть занижены.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2026-07-29T09:47:29Z</dcterms:created>
  <dcterms:modified xsi:type="dcterms:W3CDTF">2026-07-29T09:47:29Z</dcterms:modified>
</cp:coreProperties>
</file>