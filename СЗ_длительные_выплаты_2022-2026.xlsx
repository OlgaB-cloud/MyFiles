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З 2022-2026" sheetId="1" state="visible" r:id="rId1"/>
  </sheets>
  <definedNames>
    <definedName name="_xlnm._FilterDatabase" localSheetId="0" hidden="1">'СЗ 2022-2026'!$A$10:$S$30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sz val="11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2F7FB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65" fontId="9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5" fontId="4" fillId="4" borderId="1" pivotButton="0" quotePrefix="0" xfId="0"/>
    <xf numFmtId="165" fontId="7" fillId="4" borderId="1" pivotButton="0" quotePrefix="0" xfId="0"/>
    <xf numFmtId="165" fontId="8" fillId="4" borderId="1" pivotButton="0" quotePrefix="0" xfId="0"/>
    <xf numFmtId="165" fontId="9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165" fontId="10" fillId="5" borderId="1" pivotButton="0" quotePrefix="0" xfId="0"/>
    <xf numFmtId="0" fontId="10" fillId="0" borderId="0" pivotButton="0" quotePrefix="0" xfId="0"/>
    <xf numFmtId="0" fontId="3" fillId="6" borderId="1" pivotButton="0" quotePrefix="0" xfId="0"/>
    <xf numFmtId="0" fontId="0" fillId="6" borderId="1" pivotButton="0" quotePrefix="0" xfId="0"/>
    <xf numFmtId="165" fontId="3" fillId="6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7" customWidth="1" min="4" max="4"/>
    <col width="11" customWidth="1" min="5" max="5"/>
    <col width="11" customWidth="1" min="6" max="6"/>
    <col width="15" customWidth="1" min="7" max="7"/>
    <col width="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7" customWidth="1" min="14" max="14"/>
    <col width="19" customWidth="1" min="15" max="15"/>
    <col width="15" customWidth="1" min="16" max="16"/>
    <col width="20" customWidth="1" min="17" max="17"/>
    <col width="15" customWidth="1" min="18" max="18"/>
    <col width="20" customWidth="1" min="19" max="19"/>
  </cols>
  <sheetData>
    <row r="1">
      <c r="A1" s="1" t="inlineStr">
        <is>
          <t>Самозанятые: длительные и крупные выплаты (2022–2026)</t>
        </is>
      </c>
    </row>
    <row r="2">
      <c r="A2" s="2" t="inlineStr">
        <is>
          <t>Источник: Google Sheets «СЗ ТФ/ ДДЛ/ БВ и т.д.», ID 1CTm8rGtwIEp43AnDihsIF-fu0rYvk0PpZsbhgwqx9yw. Суммы — «Итого к выплате» (на руки + НПД), ₽.</t>
        </is>
      </c>
    </row>
    <row r="3">
      <c r="A3" s="2" t="inlineStr">
        <is>
          <t>Отбор: статус «активен», выплаты продолжаются в 2026. Сортировка: по стажу (лет выплат) по убыванию, внутри — по общей сумме по убыванию.</t>
        </is>
      </c>
    </row>
    <row r="4">
      <c r="A4" s="3" t="inlineStr">
        <is>
          <t>ДОПУЩЕНИЯ (синие ячейки — можно менять, всё пересчитается):</t>
        </is>
      </c>
    </row>
    <row r="5">
      <c r="B5" s="4" t="inlineStr">
        <is>
          <t>Выплат в 2026 (мес.)</t>
        </is>
      </c>
      <c r="C5" s="5" t="n">
        <v>7</v>
      </c>
      <c r="D5" s="2" t="inlineStr">
        <is>
          <t>← 16.01, 13.02, 13.03, 15.04, 15.05, 15.06, 15.07</t>
        </is>
      </c>
    </row>
    <row r="6">
      <c r="B6" s="4" t="inlineStr">
        <is>
          <t>Комиссия платформы 4dev</t>
        </is>
      </c>
      <c r="C6" s="6" t="n">
        <v>0.03</v>
      </c>
      <c r="D6" s="2" t="inlineStr">
        <is>
          <t>← начисляется сверху на среднемесячную</t>
        </is>
      </c>
    </row>
    <row r="7">
      <c r="B7" s="4" t="inlineStr">
        <is>
          <t>Сбор ЮЛ Сингапура</t>
        </is>
      </c>
      <c r="C7" s="6" t="n">
        <v>0.025</v>
      </c>
      <c r="D7" s="2" t="inlineStr">
        <is>
          <t>← среднемесячная делится на (1 − ставка) = 0,975</t>
        </is>
      </c>
    </row>
    <row r="8">
      <c r="B8" s="4" t="inlineStr">
        <is>
          <t>Ставка НПД</t>
        </is>
      </c>
      <c r="C8" s="6" t="n">
        <v>0.06</v>
      </c>
      <c r="D8" s="2" t="inlineStr">
        <is>
          <t>← начисляется сверху на среднемесячную</t>
        </is>
      </c>
    </row>
    <row r="10" ht="42" customHeight="1">
      <c r="A10" s="7" t="inlineStr">
        <is>
          <t>№</t>
        </is>
      </c>
      <c r="B10" s="7" t="inlineStr">
        <is>
          <t>ФИО</t>
        </is>
      </c>
      <c r="C10" s="7" t="inlineStr">
        <is>
          <t>Проект</t>
        </is>
      </c>
      <c r="D10" s="7" t="inlineStr">
        <is>
          <t>ЮЛ</t>
        </is>
      </c>
      <c r="E10" s="7" t="inlineStr">
        <is>
          <t>Ставка НПД</t>
        </is>
      </c>
      <c r="F10" s="7" t="inlineStr">
        <is>
          <t>Статус</t>
        </is>
      </c>
      <c r="G10" s="7" t="inlineStr">
        <is>
          <t>Период выплат</t>
        </is>
      </c>
      <c r="H10" s="7" t="inlineStr">
        <is>
          <t>Лет</t>
        </is>
      </c>
      <c r="I10" s="7" t="inlineStr">
        <is>
          <t>2022</t>
        </is>
      </c>
      <c r="J10" s="7" t="inlineStr">
        <is>
          <t>2023</t>
        </is>
      </c>
      <c r="K10" s="7" t="inlineStr">
        <is>
          <t>2024</t>
        </is>
      </c>
      <c r="L10" s="7" t="inlineStr">
        <is>
          <t>2025</t>
        </is>
      </c>
      <c r="M10" s="7" t="inlineStr">
        <is>
          <t>2026</t>
        </is>
      </c>
      <c r="N10" s="7" t="inlineStr">
        <is>
          <t>Итого 2022–2026</t>
        </is>
      </c>
      <c r="O10" s="7" t="inlineStr">
        <is>
          <t>Среднемес. выплата 2026</t>
        </is>
      </c>
      <c r="P10" s="7" t="inlineStr">
        <is>
          <t>Комиссия 4dev 3%</t>
        </is>
      </c>
      <c r="Q10" s="7" t="inlineStr">
        <is>
          <t>Сбор ЮЛ Сингапура 2,5%</t>
        </is>
      </c>
      <c r="R10" s="7" t="inlineStr">
        <is>
          <t>НПД 6%</t>
        </is>
      </c>
      <c r="S10" s="7" t="inlineStr">
        <is>
          <t>ИТОГО к оплате в месяц</t>
        </is>
      </c>
    </row>
    <row r="11">
      <c r="A11" s="8" t="n">
        <v>1</v>
      </c>
      <c r="B11" s="9" t="inlineStr">
        <is>
          <t>Глубокая Яна Ярославовна</t>
        </is>
      </c>
      <c r="C11" s="9" t="inlineStr">
        <is>
          <t>ТФМ (ПО)</t>
        </is>
      </c>
      <c r="D11" s="8" t="inlineStr">
        <is>
          <t>БВ</t>
        </is>
      </c>
      <c r="E11" s="8" t="inlineStr">
        <is>
          <t>6%</t>
        </is>
      </c>
      <c r="F11" s="8" t="inlineStr">
        <is>
          <t>активен</t>
        </is>
      </c>
      <c r="G11" s="8" t="inlineStr">
        <is>
          <t>2022–2026</t>
        </is>
      </c>
      <c r="H11" s="8" t="n">
        <v>5</v>
      </c>
      <c r="I11" s="10" t="n">
        <v>74734</v>
      </c>
      <c r="J11" s="10" t="n">
        <v>1277373</v>
      </c>
      <c r="K11" s="10" t="n">
        <v>2001199</v>
      </c>
      <c r="L11" s="10" t="n">
        <v>2541224</v>
      </c>
      <c r="M11" s="10" t="n">
        <v>1468449.18</v>
      </c>
      <c r="N11" s="11">
        <f>SUM(I11:M11)</f>
        <v/>
      </c>
      <c r="O11" s="11">
        <f>M11/$C$5</f>
        <v/>
      </c>
      <c r="P11" s="12">
        <f>O11*$C$6</f>
        <v/>
      </c>
      <c r="Q11" s="12">
        <f>O11/(1-$C$7)-O11</f>
        <v/>
      </c>
      <c r="R11" s="12">
        <f>O11*$C$8</f>
        <v/>
      </c>
      <c r="S11" s="13">
        <f>O11+P11+Q11+R11</f>
        <v/>
      </c>
    </row>
    <row r="12">
      <c r="A12" s="14" t="n">
        <v>2</v>
      </c>
      <c r="B12" s="15" t="inlineStr">
        <is>
          <t>Высочинский Даниил Сергеевич</t>
        </is>
      </c>
      <c r="C12" s="15" t="inlineStr">
        <is>
          <t>ТФМ (ОСП)</t>
        </is>
      </c>
      <c r="D12" s="14" t="inlineStr">
        <is>
          <t>БВ</t>
        </is>
      </c>
      <c r="E12" s="14" t="inlineStr">
        <is>
          <t>6%</t>
        </is>
      </c>
      <c r="F12" s="14" t="inlineStr">
        <is>
          <t>активен</t>
        </is>
      </c>
      <c r="G12" s="14" t="inlineStr">
        <is>
          <t>2022–2026</t>
        </is>
      </c>
      <c r="H12" s="14" t="n">
        <v>5</v>
      </c>
      <c r="I12" s="16" t="n">
        <v>43489</v>
      </c>
      <c r="J12" s="16" t="n">
        <v>715306.13</v>
      </c>
      <c r="K12" s="16" t="n">
        <v>1582317</v>
      </c>
      <c r="L12" s="16" t="n">
        <v>1778297</v>
      </c>
      <c r="M12" s="16" t="n">
        <v>1146293</v>
      </c>
      <c r="N12" s="17">
        <f>SUM(I12:M12)</f>
        <v/>
      </c>
      <c r="O12" s="17">
        <f>M12/$C$5</f>
        <v/>
      </c>
      <c r="P12" s="18">
        <f>O12*$C$6</f>
        <v/>
      </c>
      <c r="Q12" s="18">
        <f>O12/(1-$C$7)-O12</f>
        <v/>
      </c>
      <c r="R12" s="18">
        <f>O12*$C$8</f>
        <v/>
      </c>
      <c r="S12" s="19">
        <f>O12+P12+Q12+R12</f>
        <v/>
      </c>
    </row>
    <row r="13">
      <c r="A13" s="8" t="n">
        <v>3</v>
      </c>
      <c r="B13" s="9" t="inlineStr">
        <is>
          <t>Дроздова Мария Глебовна</t>
        </is>
      </c>
      <c r="C13" s="9" t="inlineStr">
        <is>
          <t>ТФМ (ОСП)</t>
        </is>
      </c>
      <c r="D13" s="8" t="inlineStr">
        <is>
          <t>БВ</t>
        </is>
      </c>
      <c r="E13" s="8" t="inlineStr">
        <is>
          <t>6%</t>
        </is>
      </c>
      <c r="F13" s="8" t="inlineStr">
        <is>
          <t>активен</t>
        </is>
      </c>
      <c r="G13" s="8" t="inlineStr">
        <is>
          <t>2022–2026</t>
        </is>
      </c>
      <c r="H13" s="8" t="n">
        <v>5</v>
      </c>
      <c r="I13" s="10" t="n">
        <v>41064</v>
      </c>
      <c r="J13" s="10" t="n">
        <v>637553</v>
      </c>
      <c r="K13" s="10" t="n">
        <v>1442457</v>
      </c>
      <c r="L13" s="10" t="n">
        <v>1784722</v>
      </c>
      <c r="M13" s="10" t="n">
        <v>1222167</v>
      </c>
      <c r="N13" s="11">
        <f>SUM(I13:M13)</f>
        <v/>
      </c>
      <c r="O13" s="11">
        <f>M13/$C$5</f>
        <v/>
      </c>
      <c r="P13" s="12">
        <f>O13*$C$6</f>
        <v/>
      </c>
      <c r="Q13" s="12">
        <f>O13/(1-$C$7)-O13</f>
        <v/>
      </c>
      <c r="R13" s="12">
        <f>O13*$C$8</f>
        <v/>
      </c>
      <c r="S13" s="13">
        <f>O13+P13+Q13+R13</f>
        <v/>
      </c>
    </row>
    <row r="14">
      <c r="A14" s="14" t="n">
        <v>4</v>
      </c>
      <c r="B14" s="15" t="inlineStr">
        <is>
          <t>Грудинин Алексей Сергеевич</t>
        </is>
      </c>
      <c r="C14" s="15" t="inlineStr">
        <is>
          <t>ТФМ (ПО)</t>
        </is>
      </c>
      <c r="D14" s="14" t="inlineStr">
        <is>
          <t>АС</t>
        </is>
      </c>
      <c r="E14" s="14" t="inlineStr">
        <is>
          <t>6%</t>
        </is>
      </c>
      <c r="F14" s="14" t="inlineStr">
        <is>
          <t>активен</t>
        </is>
      </c>
      <c r="G14" s="14" t="inlineStr">
        <is>
          <t>2022–2026</t>
        </is>
      </c>
      <c r="H14" s="14" t="n">
        <v>5</v>
      </c>
      <c r="I14" s="16" t="n">
        <v>267577.88</v>
      </c>
      <c r="J14" s="16" t="n">
        <v>960405.97</v>
      </c>
      <c r="K14" s="16" t="n">
        <v>1372957.36</v>
      </c>
      <c r="L14" s="16" t="n">
        <v>1558585.08</v>
      </c>
      <c r="M14" s="16" t="n">
        <v>938053.12</v>
      </c>
      <c r="N14" s="17">
        <f>SUM(I14:M14)</f>
        <v/>
      </c>
      <c r="O14" s="17">
        <f>M14/$C$5</f>
        <v/>
      </c>
      <c r="P14" s="18">
        <f>O14*$C$6</f>
        <v/>
      </c>
      <c r="Q14" s="18">
        <f>O14/(1-$C$7)-O14</f>
        <v/>
      </c>
      <c r="R14" s="18">
        <f>O14*$C$8</f>
        <v/>
      </c>
      <c r="S14" s="19">
        <f>O14+P14+Q14+R14</f>
        <v/>
      </c>
    </row>
    <row r="15">
      <c r="A15" s="8" t="n">
        <v>5</v>
      </c>
      <c r="B15" s="9" t="inlineStr">
        <is>
          <t>Кузьмина Елена Игоревна</t>
        </is>
      </c>
      <c r="C15" s="9" t="inlineStr">
        <is>
          <t>ТФМ (ОСП)</t>
        </is>
      </c>
      <c r="D15" s="8" t="inlineStr">
        <is>
          <t>БВ</t>
        </is>
      </c>
      <c r="E15" s="8" t="inlineStr">
        <is>
          <t>6%</t>
        </is>
      </c>
      <c r="F15" s="8" t="inlineStr">
        <is>
          <t>активен</t>
        </is>
      </c>
      <c r="G15" s="8" t="inlineStr">
        <is>
          <t>2022–2026</t>
        </is>
      </c>
      <c r="H15" s="8" t="n">
        <v>5</v>
      </c>
      <c r="I15" s="10" t="n">
        <v>59574</v>
      </c>
      <c r="J15" s="10" t="n">
        <v>100638</v>
      </c>
      <c r="K15" s="10" t="n">
        <v>1253297</v>
      </c>
      <c r="L15" s="10" t="n">
        <v>115745</v>
      </c>
      <c r="M15" s="10" t="n">
        <v>1062722</v>
      </c>
      <c r="N15" s="11">
        <f>SUM(I15:M15)</f>
        <v/>
      </c>
      <c r="O15" s="11">
        <f>M15/$C$5</f>
        <v/>
      </c>
      <c r="P15" s="12">
        <f>O15*$C$6</f>
        <v/>
      </c>
      <c r="Q15" s="12">
        <f>O15/(1-$C$7)-O15</f>
        <v/>
      </c>
      <c r="R15" s="12">
        <f>O15*$C$8</f>
        <v/>
      </c>
      <c r="S15" s="13">
        <f>O15+P15+Q15+R15</f>
        <v/>
      </c>
    </row>
    <row r="16">
      <c r="A16" s="14" t="n">
        <v>6</v>
      </c>
      <c r="B16" s="15" t="inlineStr">
        <is>
          <t>Репетенко Инна Эдуардовна</t>
        </is>
      </c>
      <c r="C16" s="15" t="inlineStr">
        <is>
          <t>ТФМ (ОРБ)</t>
        </is>
      </c>
      <c r="D16" s="14" t="inlineStr">
        <is>
          <t>АС</t>
        </is>
      </c>
      <c r="E16" s="14" t="inlineStr">
        <is>
          <t>6%</t>
        </is>
      </c>
      <c r="F16" s="14" t="inlineStr">
        <is>
          <t>активен</t>
        </is>
      </c>
      <c r="G16" s="14" t="inlineStr">
        <is>
          <t>2022–2026</t>
        </is>
      </c>
      <c r="H16" s="14" t="n">
        <v>5</v>
      </c>
      <c r="I16" s="16" t="n">
        <v>112190</v>
      </c>
      <c r="J16" s="16" t="n">
        <v>246600</v>
      </c>
      <c r="K16" s="16" t="n">
        <v>415655.93</v>
      </c>
      <c r="L16" s="16" t="n">
        <v>142973.52</v>
      </c>
      <c r="M16" s="16" t="n">
        <v>905821.35</v>
      </c>
      <c r="N16" s="17">
        <f>SUM(I16:M16)</f>
        <v/>
      </c>
      <c r="O16" s="17">
        <f>M16/$C$5</f>
        <v/>
      </c>
      <c r="P16" s="18">
        <f>O16*$C$6</f>
        <v/>
      </c>
      <c r="Q16" s="18">
        <f>O16/(1-$C$7)-O16</f>
        <v/>
      </c>
      <c r="R16" s="18">
        <f>O16*$C$8</f>
        <v/>
      </c>
      <c r="S16" s="19">
        <f>O16+P16+Q16+R16</f>
        <v/>
      </c>
    </row>
    <row r="17">
      <c r="A17" s="8" t="n">
        <v>7</v>
      </c>
      <c r="B17" s="9" t="inlineStr">
        <is>
          <t>Злобин Николай Алексеевич</t>
        </is>
      </c>
      <c r="C17" s="9" t="inlineStr">
        <is>
          <t>Fansy</t>
        </is>
      </c>
      <c r="D17" s="8" t="inlineStr">
        <is>
          <t>ИП МТ</t>
        </is>
      </c>
      <c r="E17" s="8" t="inlineStr">
        <is>
          <t>6%</t>
        </is>
      </c>
      <c r="F17" s="8" t="inlineStr">
        <is>
          <t>активен</t>
        </is>
      </c>
      <c r="G17" s="8" t="inlineStr">
        <is>
          <t>2023–2026</t>
        </is>
      </c>
      <c r="H17" s="8" t="n">
        <v>4</v>
      </c>
      <c r="I17" s="10" t="n">
        <v>0</v>
      </c>
      <c r="J17" s="10" t="n">
        <v>231383</v>
      </c>
      <c r="K17" s="10" t="n">
        <v>2343163.34</v>
      </c>
      <c r="L17" s="10" t="n">
        <v>2601170</v>
      </c>
      <c r="M17" s="10" t="n">
        <v>1832861.81</v>
      </c>
      <c r="N17" s="11">
        <f>SUM(I17:M17)</f>
        <v/>
      </c>
      <c r="O17" s="11">
        <f>M17/$C$5</f>
        <v/>
      </c>
      <c r="P17" s="12">
        <f>O17*$C$6</f>
        <v/>
      </c>
      <c r="Q17" s="12">
        <f>O17/(1-$C$7)-O17</f>
        <v/>
      </c>
      <c r="R17" s="12">
        <f>O17*$C$8</f>
        <v/>
      </c>
      <c r="S17" s="13">
        <f>O17+P17+Q17+R17</f>
        <v/>
      </c>
    </row>
    <row r="18">
      <c r="A18" s="14" t="n">
        <v>8</v>
      </c>
      <c r="B18" s="15" t="inlineStr">
        <is>
          <t>Жиркова Валентина Александровна</t>
        </is>
      </c>
      <c r="C18" s="15" t="inlineStr">
        <is>
          <t>ТФМ (ПО)</t>
        </is>
      </c>
      <c r="D18" s="14" t="inlineStr">
        <is>
          <t>АС</t>
        </is>
      </c>
      <c r="E18" s="14" t="inlineStr">
        <is>
          <t>6%</t>
        </is>
      </c>
      <c r="F18" s="14" t="inlineStr">
        <is>
          <t>активен</t>
        </is>
      </c>
      <c r="G18" s="14" t="inlineStr">
        <is>
          <t>2023–2026</t>
        </is>
      </c>
      <c r="H18" s="14" t="n">
        <v>4</v>
      </c>
      <c r="I18" s="16" t="n">
        <v>0</v>
      </c>
      <c r="J18" s="16" t="n">
        <v>257222.24</v>
      </c>
      <c r="K18" s="16" t="n">
        <v>1497661</v>
      </c>
      <c r="L18" s="16" t="n">
        <v>2201639.5</v>
      </c>
      <c r="M18" s="16" t="n">
        <v>1656517.19</v>
      </c>
      <c r="N18" s="17">
        <f>SUM(I18:M18)</f>
        <v/>
      </c>
      <c r="O18" s="17">
        <f>M18/$C$5</f>
        <v/>
      </c>
      <c r="P18" s="18">
        <f>O18*$C$6</f>
        <v/>
      </c>
      <c r="Q18" s="18">
        <f>O18/(1-$C$7)-O18</f>
        <v/>
      </c>
      <c r="R18" s="18">
        <f>O18*$C$8</f>
        <v/>
      </c>
      <c r="S18" s="19">
        <f>O18+P18+Q18+R18</f>
        <v/>
      </c>
    </row>
    <row r="19">
      <c r="A19" s="8" t="n">
        <v>9</v>
      </c>
      <c r="B19" s="9" t="inlineStr">
        <is>
          <t>Гатиатуллина Марина Эдуардовна</t>
        </is>
      </c>
      <c r="C19" s="9" t="inlineStr">
        <is>
          <t>Fansy</t>
        </is>
      </c>
      <c r="D19" s="8" t="inlineStr">
        <is>
          <t>БВ</t>
        </is>
      </c>
      <c r="E19" s="8" t="inlineStr">
        <is>
          <t>6%</t>
        </is>
      </c>
      <c r="F19" s="8" t="inlineStr">
        <is>
          <t>активен</t>
        </is>
      </c>
      <c r="G19" s="8" t="inlineStr">
        <is>
          <t>2023–2026</t>
        </is>
      </c>
      <c r="H19" s="8" t="n">
        <v>4</v>
      </c>
      <c r="I19" s="10" t="n">
        <v>0</v>
      </c>
      <c r="J19" s="10" t="n">
        <v>269105.17</v>
      </c>
      <c r="K19" s="10" t="n">
        <v>1743298</v>
      </c>
      <c r="L19" s="10" t="n">
        <v>1991245.01</v>
      </c>
      <c r="M19" s="10" t="n">
        <v>1192011.1</v>
      </c>
      <c r="N19" s="11">
        <f>SUM(I19:M19)</f>
        <v/>
      </c>
      <c r="O19" s="11">
        <f>M19/$C$5</f>
        <v/>
      </c>
      <c r="P19" s="12">
        <f>O19*$C$6</f>
        <v/>
      </c>
      <c r="Q19" s="12">
        <f>O19/(1-$C$7)-O19</f>
        <v/>
      </c>
      <c r="R19" s="12">
        <f>O19*$C$8</f>
        <v/>
      </c>
      <c r="S19" s="13">
        <f>O19+P19+Q19+R19</f>
        <v/>
      </c>
    </row>
    <row r="20">
      <c r="A20" s="14" t="n">
        <v>10</v>
      </c>
      <c r="B20" s="15" t="inlineStr">
        <is>
          <t>Оглезнева Полина Сергеевна</t>
        </is>
      </c>
      <c r="C20" s="15" t="inlineStr">
        <is>
          <t>ТФМ (ОСП)</t>
        </is>
      </c>
      <c r="D20" s="14" t="inlineStr">
        <is>
          <t>БВ</t>
        </is>
      </c>
      <c r="E20" s="14" t="inlineStr">
        <is>
          <t>6%</t>
        </is>
      </c>
      <c r="F20" s="14" t="inlineStr">
        <is>
          <t>активен</t>
        </is>
      </c>
      <c r="G20" s="14" t="inlineStr">
        <is>
          <t>2023–2026</t>
        </is>
      </c>
      <c r="H20" s="14" t="n">
        <v>4</v>
      </c>
      <c r="I20" s="16" t="n">
        <v>0</v>
      </c>
      <c r="J20" s="16" t="n">
        <v>140852</v>
      </c>
      <c r="K20" s="16" t="n">
        <v>205851</v>
      </c>
      <c r="L20" s="16" t="n">
        <v>2326991</v>
      </c>
      <c r="M20" s="16" t="n">
        <v>1574518</v>
      </c>
      <c r="N20" s="17">
        <f>SUM(I20:M20)</f>
        <v/>
      </c>
      <c r="O20" s="17">
        <f>M20/$C$5</f>
        <v/>
      </c>
      <c r="P20" s="18">
        <f>O20*$C$6</f>
        <v/>
      </c>
      <c r="Q20" s="18">
        <f>O20/(1-$C$7)-O20</f>
        <v/>
      </c>
      <c r="R20" s="18">
        <f>O20*$C$8</f>
        <v/>
      </c>
      <c r="S20" s="19">
        <f>O20+P20+Q20+R20</f>
        <v/>
      </c>
    </row>
    <row r="21">
      <c r="A21" s="8" t="n">
        <v>11</v>
      </c>
      <c r="B21" s="9" t="inlineStr">
        <is>
          <t>Бобрышева Татьяна Сергеевна</t>
        </is>
      </c>
      <c r="C21" s="9" t="inlineStr">
        <is>
          <t>ТФМ (ПО)</t>
        </is>
      </c>
      <c r="D21" s="8" t="inlineStr">
        <is>
          <t>БВ</t>
        </is>
      </c>
      <c r="E21" s="8" t="inlineStr">
        <is>
          <t>6%</t>
        </is>
      </c>
      <c r="F21" s="8" t="inlineStr">
        <is>
          <t>активен</t>
        </is>
      </c>
      <c r="G21" s="8" t="inlineStr">
        <is>
          <t>2023–2026</t>
        </is>
      </c>
      <c r="H21" s="8" t="n">
        <v>4</v>
      </c>
      <c r="I21" s="10" t="n">
        <v>0</v>
      </c>
      <c r="J21" s="10" t="n">
        <v>554372.52</v>
      </c>
      <c r="K21" s="10" t="n">
        <v>1016796.76</v>
      </c>
      <c r="L21" s="10" t="n">
        <v>1505710.52</v>
      </c>
      <c r="M21" s="10" t="n">
        <v>1082430.98</v>
      </c>
      <c r="N21" s="11">
        <f>SUM(I21:M21)</f>
        <v/>
      </c>
      <c r="O21" s="11">
        <f>M21/$C$5</f>
        <v/>
      </c>
      <c r="P21" s="12">
        <f>O21*$C$6</f>
        <v/>
      </c>
      <c r="Q21" s="12">
        <f>O21/(1-$C$7)-O21</f>
        <v/>
      </c>
      <c r="R21" s="12">
        <f>O21*$C$8</f>
        <v/>
      </c>
      <c r="S21" s="13">
        <f>O21+P21+Q21+R21</f>
        <v/>
      </c>
    </row>
    <row r="22">
      <c r="A22" s="14" t="n">
        <v>12</v>
      </c>
      <c r="B22" s="15" t="inlineStr">
        <is>
          <t>Абдуллина Аделина Линаровна</t>
        </is>
      </c>
      <c r="C22" s="15" t="inlineStr">
        <is>
          <t>Fansy</t>
        </is>
      </c>
      <c r="D22" s="14" t="inlineStr">
        <is>
          <t>БВ</t>
        </is>
      </c>
      <c r="E22" s="14" t="inlineStr">
        <is>
          <t>0%</t>
        </is>
      </c>
      <c r="F22" s="14" t="inlineStr">
        <is>
          <t>активен</t>
        </is>
      </c>
      <c r="G22" s="14" t="inlineStr">
        <is>
          <t>2023–2026</t>
        </is>
      </c>
      <c r="H22" s="14" t="n">
        <v>4</v>
      </c>
      <c r="I22" s="16" t="n">
        <v>0</v>
      </c>
      <c r="J22" s="16" t="n">
        <v>129104.22</v>
      </c>
      <c r="K22" s="16" t="n">
        <v>690632</v>
      </c>
      <c r="L22" s="16" t="n">
        <v>1072320</v>
      </c>
      <c r="M22" s="16" t="n">
        <v>755000</v>
      </c>
      <c r="N22" s="17">
        <f>SUM(I22:M22)</f>
        <v/>
      </c>
      <c r="O22" s="17">
        <f>M22/$C$5</f>
        <v/>
      </c>
      <c r="P22" s="18">
        <f>O22*$C$6</f>
        <v/>
      </c>
      <c r="Q22" s="18">
        <f>O22/(1-$C$7)-O22</f>
        <v/>
      </c>
      <c r="R22" s="18">
        <f>O22*$C$8</f>
        <v/>
      </c>
      <c r="S22" s="19">
        <f>O22+P22+Q22+R22</f>
        <v/>
      </c>
    </row>
    <row r="23">
      <c r="A23" s="8" t="n">
        <v>13</v>
      </c>
      <c r="B23" s="9" t="inlineStr">
        <is>
          <t>Демакова Дарья</t>
        </is>
      </c>
      <c r="C23" s="9" t="inlineStr">
        <is>
          <t>ТХ</t>
        </is>
      </c>
      <c r="D23" s="8" t="inlineStr">
        <is>
          <t>БВ</t>
        </is>
      </c>
      <c r="E23" s="8" t="inlineStr">
        <is>
          <t>6%</t>
        </is>
      </c>
      <c r="F23" s="8" t="inlineStr">
        <is>
          <t>активен</t>
        </is>
      </c>
      <c r="G23" s="8" t="inlineStr">
        <is>
          <t>2024–2026</t>
        </is>
      </c>
      <c r="H23" s="8" t="n">
        <v>3</v>
      </c>
      <c r="I23" s="10" t="n">
        <v>0</v>
      </c>
      <c r="J23" s="10" t="n">
        <v>0</v>
      </c>
      <c r="K23" s="10" t="n">
        <v>582823.1800000001</v>
      </c>
      <c r="L23" s="10" t="n">
        <v>1530724</v>
      </c>
      <c r="M23" s="10" t="n">
        <v>1167329</v>
      </c>
      <c r="N23" s="11">
        <f>SUM(I23:M23)</f>
        <v/>
      </c>
      <c r="O23" s="11">
        <f>M23/$C$5</f>
        <v/>
      </c>
      <c r="P23" s="12">
        <f>O23*$C$6</f>
        <v/>
      </c>
      <c r="Q23" s="12">
        <f>O23/(1-$C$7)-O23</f>
        <v/>
      </c>
      <c r="R23" s="12">
        <f>O23*$C$8</f>
        <v/>
      </c>
      <c r="S23" s="13">
        <f>O23+P23+Q23+R23</f>
        <v/>
      </c>
    </row>
    <row r="24">
      <c r="A24" s="14" t="n">
        <v>14</v>
      </c>
      <c r="B24" s="15" t="inlineStr">
        <is>
          <t>Возмищева Ксения Дмитриевна</t>
        </is>
      </c>
      <c r="C24" s="15" t="inlineStr">
        <is>
          <t>ТФМ (ОРБ)</t>
        </is>
      </c>
      <c r="D24" s="14" t="inlineStr">
        <is>
          <t>АС</t>
        </is>
      </c>
      <c r="E24" s="14" t="inlineStr">
        <is>
          <t>6%</t>
        </is>
      </c>
      <c r="F24" s="14" t="inlineStr">
        <is>
          <t>активен</t>
        </is>
      </c>
      <c r="G24" s="14" t="inlineStr">
        <is>
          <t>2024–2026</t>
        </is>
      </c>
      <c r="H24" s="14" t="n">
        <v>3</v>
      </c>
      <c r="I24" s="16" t="n">
        <v>0</v>
      </c>
      <c r="J24" s="16" t="n">
        <v>0</v>
      </c>
      <c r="K24" s="16" t="n">
        <v>333311.66</v>
      </c>
      <c r="L24" s="16" t="n">
        <v>1347175.74</v>
      </c>
      <c r="M24" s="16" t="n">
        <v>1267879.25</v>
      </c>
      <c r="N24" s="17">
        <f>SUM(I24:M24)</f>
        <v/>
      </c>
      <c r="O24" s="17">
        <f>M24/$C$5</f>
        <v/>
      </c>
      <c r="P24" s="18">
        <f>O24*$C$6</f>
        <v/>
      </c>
      <c r="Q24" s="18">
        <f>O24/(1-$C$7)-O24</f>
        <v/>
      </c>
      <c r="R24" s="18">
        <f>O24*$C$8</f>
        <v/>
      </c>
      <c r="S24" s="19">
        <f>O24+P24+Q24+R24</f>
        <v/>
      </c>
    </row>
    <row r="25">
      <c r="A25" s="8" t="n">
        <v>15</v>
      </c>
      <c r="B25" s="9" t="inlineStr">
        <is>
          <t>Кузнецова Светлана Дмитриевна</t>
        </is>
      </c>
      <c r="C25" s="9" t="inlineStr">
        <is>
          <t>ТФМ (ПО)</t>
        </is>
      </c>
      <c r="D25" s="8" t="inlineStr">
        <is>
          <t>БВ</t>
        </is>
      </c>
      <c r="E25" s="8" t="inlineStr">
        <is>
          <t>6%</t>
        </is>
      </c>
      <c r="F25" s="8" t="inlineStr">
        <is>
          <t>активен</t>
        </is>
      </c>
      <c r="G25" s="8" t="inlineStr">
        <is>
          <t>2024–2026</t>
        </is>
      </c>
      <c r="H25" s="8" t="n">
        <v>3</v>
      </c>
      <c r="I25" s="10" t="n">
        <v>0</v>
      </c>
      <c r="J25" s="10" t="n">
        <v>0</v>
      </c>
      <c r="K25" s="10" t="n">
        <v>1425506.19</v>
      </c>
      <c r="L25" s="10" t="n">
        <v>109043</v>
      </c>
      <c r="M25" s="10" t="n">
        <v>1145357.79</v>
      </c>
      <c r="N25" s="11">
        <f>SUM(I25:M25)</f>
        <v/>
      </c>
      <c r="O25" s="11">
        <f>M25/$C$5</f>
        <v/>
      </c>
      <c r="P25" s="12">
        <f>O25*$C$6</f>
        <v/>
      </c>
      <c r="Q25" s="12">
        <f>O25/(1-$C$7)-O25</f>
        <v/>
      </c>
      <c r="R25" s="12">
        <f>O25*$C$8</f>
        <v/>
      </c>
      <c r="S25" s="13">
        <f>O25+P25+Q25+R25</f>
        <v/>
      </c>
    </row>
    <row r="26">
      <c r="A26" s="14" t="n">
        <v>16</v>
      </c>
      <c r="B26" s="15" t="inlineStr">
        <is>
          <t>Нуруллина Анжелика Альбертовна</t>
        </is>
      </c>
      <c r="C26" s="15" t="inlineStr">
        <is>
          <t>Fansy</t>
        </is>
      </c>
      <c r="D26" s="14" t="inlineStr">
        <is>
          <t>БВ</t>
        </is>
      </c>
      <c r="E26" s="14" t="inlineStr">
        <is>
          <t>6%</t>
        </is>
      </c>
      <c r="F26" s="14" t="inlineStr">
        <is>
          <t>активен</t>
        </is>
      </c>
      <c r="G26" s="14" t="inlineStr">
        <is>
          <t>2024–2026</t>
        </is>
      </c>
      <c r="H26" s="14" t="n">
        <v>3</v>
      </c>
      <c r="I26" s="16" t="n">
        <v>0</v>
      </c>
      <c r="J26" s="16" t="n">
        <v>0</v>
      </c>
      <c r="K26" s="16" t="n">
        <v>338830</v>
      </c>
      <c r="L26" s="16" t="n">
        <v>1331065</v>
      </c>
      <c r="M26" s="16" t="n">
        <v>741701</v>
      </c>
      <c r="N26" s="17">
        <f>SUM(I26:M26)</f>
        <v/>
      </c>
      <c r="O26" s="17">
        <f>M26/$C$5</f>
        <v/>
      </c>
      <c r="P26" s="18">
        <f>O26*$C$6</f>
        <v/>
      </c>
      <c r="Q26" s="18">
        <f>O26/(1-$C$7)-O26</f>
        <v/>
      </c>
      <c r="R26" s="18">
        <f>O26*$C$8</f>
        <v/>
      </c>
      <c r="S26" s="19">
        <f>O26+P26+Q26+R26</f>
        <v/>
      </c>
    </row>
    <row r="27">
      <c r="A27" s="8" t="n">
        <v>17</v>
      </c>
      <c r="B27" s="9" t="inlineStr">
        <is>
          <t>Тупико Олег Николаевич</t>
        </is>
      </c>
      <c r="C27" s="9" t="inlineStr">
        <is>
          <t>ГК (общие)</t>
        </is>
      </c>
      <c r="D27" s="8" t="inlineStr">
        <is>
          <t>БВ</t>
        </is>
      </c>
      <c r="E27" s="8" t="inlineStr">
        <is>
          <t>6%</t>
        </is>
      </c>
      <c r="F27" s="8" t="inlineStr">
        <is>
          <t>активен</t>
        </is>
      </c>
      <c r="G27" s="8" t="inlineStr">
        <is>
          <t>2024–2026</t>
        </is>
      </c>
      <c r="H27" s="8" t="n">
        <v>3</v>
      </c>
      <c r="I27" s="10" t="n">
        <v>0</v>
      </c>
      <c r="J27" s="10" t="n">
        <v>0</v>
      </c>
      <c r="K27" s="10" t="n">
        <v>259907</v>
      </c>
      <c r="L27" s="10" t="n">
        <v>337036</v>
      </c>
      <c r="M27" s="10" t="n">
        <v>1219304</v>
      </c>
      <c r="N27" s="11">
        <f>SUM(I27:M27)</f>
        <v/>
      </c>
      <c r="O27" s="11">
        <f>M27/$C$5</f>
        <v/>
      </c>
      <c r="P27" s="12">
        <f>O27*$C$6</f>
        <v/>
      </c>
      <c r="Q27" s="12">
        <f>O27/(1-$C$7)-O27</f>
        <v/>
      </c>
      <c r="R27" s="12">
        <f>O27*$C$8</f>
        <v/>
      </c>
      <c r="S27" s="13">
        <f>O27+P27+Q27+R27</f>
        <v/>
      </c>
    </row>
    <row r="28">
      <c r="A28" s="14" t="n">
        <v>18</v>
      </c>
      <c r="B28" s="15" t="inlineStr">
        <is>
          <t>Лукьянова Вера Константиновна</t>
        </is>
      </c>
      <c r="C28" s="15" t="inlineStr">
        <is>
          <t>ТФМ (ПО)</t>
        </is>
      </c>
      <c r="D28" s="14" t="inlineStr">
        <is>
          <t>БВ</t>
        </is>
      </c>
      <c r="E28" s="14" t="inlineStr">
        <is>
          <t>6%</t>
        </is>
      </c>
      <c r="F28" s="14" t="inlineStr">
        <is>
          <t>активен</t>
        </is>
      </c>
      <c r="G28" s="14" t="inlineStr">
        <is>
          <t>2024–2026</t>
        </is>
      </c>
      <c r="H28" s="14" t="n">
        <v>3</v>
      </c>
      <c r="I28" s="16" t="n">
        <v>0</v>
      </c>
      <c r="J28" s="16" t="n">
        <v>0</v>
      </c>
      <c r="K28" s="16" t="n">
        <v>141702</v>
      </c>
      <c r="L28" s="16" t="n">
        <v>73617</v>
      </c>
      <c r="M28" s="16" t="n">
        <v>973404</v>
      </c>
      <c r="N28" s="17">
        <f>SUM(I28:M28)</f>
        <v/>
      </c>
      <c r="O28" s="17">
        <f>M28/$C$5</f>
        <v/>
      </c>
      <c r="P28" s="18">
        <f>O28*$C$6</f>
        <v/>
      </c>
      <c r="Q28" s="18">
        <f>O28/(1-$C$7)-O28</f>
        <v/>
      </c>
      <c r="R28" s="18">
        <f>O28*$C$8</f>
        <v/>
      </c>
      <c r="S28" s="19">
        <f>O28+P28+Q28+R28</f>
        <v/>
      </c>
    </row>
    <row r="29">
      <c r="A29" s="8" t="n">
        <v>19</v>
      </c>
      <c r="B29" s="9" t="inlineStr">
        <is>
          <t>Левашева Анна Алексеевна</t>
        </is>
      </c>
      <c r="C29" s="9" t="inlineStr">
        <is>
          <t>ТФМ (ПО)</t>
        </is>
      </c>
      <c r="D29" s="8" t="inlineStr">
        <is>
          <t>БВ</t>
        </is>
      </c>
      <c r="E29" s="8" t="inlineStr">
        <is>
          <t>6%</t>
        </is>
      </c>
      <c r="F29" s="8" t="inlineStr">
        <is>
          <t>активен</t>
        </is>
      </c>
      <c r="G29" s="8" t="inlineStr">
        <is>
          <t>2025–2026</t>
        </is>
      </c>
      <c r="H29" s="8" t="n">
        <v>2</v>
      </c>
      <c r="I29" s="10" t="n">
        <v>0</v>
      </c>
      <c r="J29" s="10" t="n">
        <v>0</v>
      </c>
      <c r="K29" s="10" t="n">
        <v>0</v>
      </c>
      <c r="L29" s="10" t="n">
        <v>798831.01</v>
      </c>
      <c r="M29" s="10" t="n">
        <v>1362100.09</v>
      </c>
      <c r="N29" s="11">
        <f>SUM(I29:M29)</f>
        <v/>
      </c>
      <c r="O29" s="11">
        <f>M29/$C$5</f>
        <v/>
      </c>
      <c r="P29" s="12">
        <f>O29*$C$6</f>
        <v/>
      </c>
      <c r="Q29" s="12">
        <f>O29/(1-$C$7)-O29</f>
        <v/>
      </c>
      <c r="R29" s="12">
        <f>O29*$C$8</f>
        <v/>
      </c>
      <c r="S29" s="13">
        <f>O29+P29+Q29+R29</f>
        <v/>
      </c>
    </row>
    <row r="30">
      <c r="A30" s="14" t="n">
        <v>20</v>
      </c>
      <c r="B30" s="15" t="inlineStr">
        <is>
          <t>Капустина Вероника Сергеевна</t>
        </is>
      </c>
      <c r="C30" s="15" t="inlineStr">
        <is>
          <t>ТФМ (ОСК)</t>
        </is>
      </c>
      <c r="D30" s="14" t="inlineStr">
        <is>
          <t>БВ</t>
        </is>
      </c>
      <c r="E30" s="14" t="inlineStr">
        <is>
          <t>6%</t>
        </is>
      </c>
      <c r="F30" s="14" t="inlineStr">
        <is>
          <t>активен</t>
        </is>
      </c>
      <c r="G30" s="14" t="inlineStr">
        <is>
          <t>2025–2026</t>
        </is>
      </c>
      <c r="H30" s="14" t="n">
        <v>2</v>
      </c>
      <c r="I30" s="16" t="n">
        <v>0</v>
      </c>
      <c r="J30" s="16" t="n">
        <v>0</v>
      </c>
      <c r="K30" s="16" t="n">
        <v>0</v>
      </c>
      <c r="L30" s="16" t="n">
        <v>214440.3</v>
      </c>
      <c r="M30" s="16" t="n">
        <v>1228052.73</v>
      </c>
      <c r="N30" s="17">
        <f>SUM(I30:M30)</f>
        <v/>
      </c>
      <c r="O30" s="17">
        <f>M30/$C$5</f>
        <v/>
      </c>
      <c r="P30" s="18">
        <f>O30*$C$6</f>
        <v/>
      </c>
      <c r="Q30" s="18">
        <f>O30/(1-$C$7)-O30</f>
        <v/>
      </c>
      <c r="R30" s="18">
        <f>O30*$C$8</f>
        <v/>
      </c>
      <c r="S30" s="19">
        <f>O30+P30+Q30+R30</f>
        <v/>
      </c>
    </row>
    <row r="31">
      <c r="A31" s="20" t="n"/>
      <c r="B31" s="21" t="inlineStr">
        <is>
          <t>ИТОГО (20 чел.)</t>
        </is>
      </c>
      <c r="C31" s="20" t="n"/>
      <c r="D31" s="20" t="n"/>
      <c r="E31" s="20" t="n"/>
      <c r="F31" s="20" t="n"/>
      <c r="G31" s="20" t="n"/>
      <c r="H31" s="20" t="n"/>
      <c r="I31" s="22">
        <f>SUM(I11:I30)</f>
        <v/>
      </c>
      <c r="J31" s="22">
        <f>SUM(J11:J30)</f>
        <v/>
      </c>
      <c r="K31" s="22">
        <f>SUM(K11:K30)</f>
        <v/>
      </c>
      <c r="L31" s="22">
        <f>SUM(L11:L30)</f>
        <v/>
      </c>
      <c r="M31" s="22">
        <f>SUM(M11:M30)</f>
        <v/>
      </c>
      <c r="N31" s="22">
        <f>SUM(N11:N30)</f>
        <v/>
      </c>
      <c r="O31" s="22">
        <f>SUM(O11:O30)</f>
        <v/>
      </c>
      <c r="P31" s="22">
        <f>SUM(P11:P30)</f>
        <v/>
      </c>
      <c r="Q31" s="22">
        <f>SUM(Q11:Q30)</f>
        <v/>
      </c>
      <c r="R31" s="22">
        <f>SUM(R11:R30)</f>
        <v/>
      </c>
      <c r="S31" s="22">
        <f>SUM(S11:S30)</f>
        <v/>
      </c>
    </row>
    <row r="33">
      <c r="A33" s="23" t="inlineStr">
        <is>
          <t>ПЛАНИРОВАНИЕ</t>
        </is>
      </c>
    </row>
    <row r="34">
      <c r="A34" s="24" t="inlineStr">
        <is>
          <t>Месячный фонд (итого к оплате)</t>
        </is>
      </c>
      <c r="B34" s="25" t="inlineStr"/>
      <c r="C34" s="26">
        <f>S31*1</f>
        <v/>
      </c>
    </row>
    <row r="35">
      <c r="A35" s="24" t="inlineStr">
        <is>
          <t>На 6 месяцев</t>
        </is>
      </c>
      <c r="B35" s="25" t="inlineStr"/>
      <c r="C35" s="26">
        <f>S31*6</f>
        <v/>
      </c>
    </row>
    <row r="36">
      <c r="A36" s="24" t="inlineStr">
        <is>
          <t>На 12 месяцев</t>
        </is>
      </c>
      <c r="B36" s="25" t="inlineStr"/>
      <c r="C36" s="26">
        <f>S31*12</f>
        <v/>
      </c>
    </row>
    <row r="38">
      <c r="A38" s="27" t="inlineStr">
        <is>
          <t>Примечания</t>
        </is>
      </c>
    </row>
    <row r="39">
      <c r="A39" s="2" t="inlineStr">
        <is>
          <t>1. Данные получены через Google Drive API. Годовые итоги взяты из сводных таблиц листов; помесячные строки в выгрузке неполные.</t>
        </is>
      </c>
    </row>
    <row r="40">
      <c r="A40" s="2" t="inlineStr">
        <is>
          <t>2. Устранено задвоение строк между листами-копиями («2023 (копия)», параллельные вкладки 2025).</t>
        </is>
      </c>
    </row>
    <row r="41">
      <c r="A41" s="2" t="inlineStr">
        <is>
          <t>3. «Лет» — число календарных лет с выплатами. «Период выплат» — первый и последний год с выплатами.</t>
        </is>
      </c>
    </row>
    <row r="42">
      <c r="A42" s="2" t="inlineStr">
        <is>
          <t>4. Среднемесячная выплата 2026 = «Итого 2026» ÷ C5. Это фактический месячный run-rate по начислениям декабрь 2025 – июнь 2026.</t>
        </is>
      </c>
    </row>
    <row r="43">
      <c r="A43" s="2" t="inlineStr">
        <is>
          <t>5. ВАЖНО: базовая сумма — «Итого к выплате», она УЖЕ включает НПД. Столбец «С НПД +6%» начисляет налог поверх этой суммы. Если нужен НПД на сумму «на руки», базу надо заменить.</t>
        </is>
      </c>
    </row>
    <row r="44">
      <c r="A44" s="2" t="inlineStr">
        <is>
          <t>6. Все три надбавки считаются от среднемесячной выплаты: комиссия 4dev = ×3%; сбор ЮЛ Сингапура = ÷0,975 − среднемесячная (2,5% сверху); НПД = ×6%.</t>
        </is>
      </c>
    </row>
    <row r="45">
      <c r="A45" s="2" t="inlineStr">
        <is>
          <t>7. «ИТОГО к оплате в месяц» = среднемесячная + комиссия + сбор + НПД (надбавки не каскадируются). Если применять их последовательно (÷0,975 × 1,06 × 1,03), итог по группе будет 3 830 014 ₽ вместо 3 815 806 ₽.</t>
        </is>
      </c>
    </row>
    <row r="46">
      <c r="A46" s="2" t="inlineStr">
        <is>
          <t>8. Левашева и Капустина получают выплаты 2 года (2025–2026) — под критерий «более 2 лет» не подходят, включены по отдельной просьбе.</t>
        </is>
      </c>
    </row>
    <row r="47">
      <c r="A47" s="2" t="inlineStr">
        <is>
          <t>9. Левашева — смена фамилии с 23.09.25 (Домрачева). Ставка НПД 0% в справочнике — выплаты без налога на профдоход.</t>
        </is>
      </c>
    </row>
    <row r="48">
      <c r="A48" s="2" t="inlineStr">
        <is>
          <t>10. Ограничение выгрузки: по фамилиям после ~«Л» ранние годы (2022–2024) могли не попасть в сводные — стаж и суммы у них могут быть занижены.</t>
        </is>
      </c>
    </row>
  </sheetData>
  <autoFilter ref="A10:S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2026-07-29T12:58:41Z</dcterms:created>
  <dcterms:modified xsi:type="dcterms:W3CDTF">2026-07-29T12:58:42Z</dcterms:modified>
</cp:coreProperties>
</file>