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" sheetId="1" state="visible" r:id="rId3"/>
    <sheet name="Полная сверка" sheetId="2" state="visible" r:id="rId4"/>
    <sheet name="Расхождения" sheetId="3" state="visible" r:id="rId5"/>
  </sheets>
  <definedNames>
    <definedName function="false" hidden="true" localSheetId="1" name="_xlnm._FilterDatabase" vbProcedure="false">'Полная сверка'!$A$1:$O$119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<sst xmlns="http://schemas.openxmlformats.org/spreadsheetml/2006/main" count="1255" uniqueCount="382">
  <si>
    <t xml:space="preserve">Сверка таблиц поступлений (01.07–30.09.2026)</t>
  </si>
  <si>
    <t xml:space="preserve">A = файл 44970f48 (журнал поступлений, 13 колонок); B = файл 512c9963 (журнал с колонкой «Счет-фактура», 16 колонок). Сопоставление по полю «Номер».</t>
  </si>
  <si>
    <t xml:space="preserve">Строк в A</t>
  </si>
  <si>
    <t xml:space="preserve">Строк в B</t>
  </si>
  <si>
    <t xml:space="preserve">Сумма A, ₽</t>
  </si>
  <si>
    <t xml:space="preserve">Сумма B, ₽</t>
  </si>
  <si>
    <t xml:space="preserve">Разница A − B, ₽</t>
  </si>
  <si>
    <t xml:space="preserve">Документов нет в B</t>
  </si>
  <si>
    <t xml:space="preserve">  на сумму, ₽</t>
  </si>
  <si>
    <t xml:space="preserve">Документов с разной суммой</t>
  </si>
  <si>
    <t xml:space="preserve">  разница сумм, ₽</t>
  </si>
  <si>
    <t xml:space="preserve">Проверка: объяснённая разница − общая разница (должно быть 0)</t>
  </si>
  <si>
    <t xml:space="preserve">Документов с разной датой</t>
  </si>
  <si>
    <t xml:space="preserve">Документов с разным складом</t>
  </si>
  <si>
    <t xml:space="preserve">Документов с разным комментарием</t>
  </si>
  <si>
    <t xml:space="preserve">Полностью совпадают</t>
  </si>
  <si>
    <t xml:space="preserve">Примечания:</t>
  </si>
  <si>
    <t xml:space="preserve">• Суммы в B по 5 документам ровно в 1,22 раза меньше, чем в A — вероятно, в B указаны без НДС 22%.</t>
  </si>
  <si>
    <t xml:space="preserve">• 00НФ-000211 и 00НФ-000260 отсутствуют в B, в A помечены как «дубль».</t>
  </si>
  <si>
    <t xml:space="preserve">• 00НФ-000212 и 00НФ-000282 в A помечены «дубль», но в B присутствуют — проверить.</t>
  </si>
  <si>
    <t xml:space="preserve">• В B: у 00НФ-000196 «Счет-фактура» = «Отсутствует», у 00НФ-000225 — пусто.</t>
  </si>
  <si>
    <t xml:space="preserve">• Цвета: красный — расхождение по сумме / отсутствие документа; жёлтый — прочие расхождения.</t>
  </si>
  <si>
    <t xml:space="preserve">Номер</t>
  </si>
  <si>
    <t xml:space="preserve">Дата (A)</t>
  </si>
  <si>
    <t xml:space="preserve">Дата (B)</t>
  </si>
  <si>
    <t xml:space="preserve">Контрагент (A)</t>
  </si>
  <si>
    <t xml:space="preserve">Контрагент (B)</t>
  </si>
  <si>
    <t xml:space="preserve">Сумма (A)</t>
  </si>
  <si>
    <t xml:space="preserve">Сумма (B)</t>
  </si>
  <si>
    <t xml:space="preserve">Разница A−B</t>
  </si>
  <si>
    <t xml:space="preserve">№ вх. (A)</t>
  </si>
  <si>
    <t xml:space="preserve">№ вх. (B)</t>
  </si>
  <si>
    <t xml:space="preserve">Склад (A)</t>
  </si>
  <si>
    <t xml:space="preserve">Склад (B)</t>
  </si>
  <si>
    <t xml:space="preserve">Комментарий (A)</t>
  </si>
  <si>
    <t xml:space="preserve">Комментарий (B)</t>
  </si>
  <si>
    <t xml:space="preserve">Статус</t>
  </si>
  <si>
    <t xml:space="preserve">00НФ-000311</t>
  </si>
  <si>
    <t xml:space="preserve">01.07.2026</t>
  </si>
  <si>
    <t xml:space="preserve">ЯКОВ ООО</t>
  </si>
  <si>
    <t xml:space="preserve">247</t>
  </si>
  <si>
    <t xml:space="preserve">Основной склад Зеллеон</t>
  </si>
  <si>
    <t xml:space="preserve">Совпадает</t>
  </si>
  <si>
    <t xml:space="preserve">00НФ-000316</t>
  </si>
  <si>
    <t xml:space="preserve">390</t>
  </si>
  <si>
    <t xml:space="preserve">00НФ-000317</t>
  </si>
  <si>
    <t xml:space="preserve">308</t>
  </si>
  <si>
    <t xml:space="preserve">00НФ-000190</t>
  </si>
  <si>
    <t xml:space="preserve">02.07.2026</t>
  </si>
  <si>
    <t xml:space="preserve">БРЕНД ТРЕЙД ООО</t>
  </si>
  <si>
    <t xml:space="preserve">256</t>
  </si>
  <si>
    <t xml:space="preserve">Склад Z ОС</t>
  </si>
  <si>
    <t xml:space="preserve">комплектуха ЧЛ</t>
  </si>
  <si>
    <t xml:space="preserve">Расхождение: склад</t>
  </si>
  <si>
    <t xml:space="preserve">00НФ-000191</t>
  </si>
  <si>
    <t xml:space="preserve">03.07.2026</t>
  </si>
  <si>
    <t xml:space="preserve">Деловые Линии ООО</t>
  </si>
  <si>
    <t xml:space="preserve">1369361/0001</t>
  </si>
  <si>
    <t xml:space="preserve">00НФ-000193</t>
  </si>
  <si>
    <t xml:space="preserve">07.07.2026</t>
  </si>
  <si>
    <t xml:space="preserve">БЕРКС ООО</t>
  </si>
  <si>
    <t xml:space="preserve">2607070615</t>
  </si>
  <si>
    <t xml:space="preserve">00НФ-000216</t>
  </si>
  <si>
    <t xml:space="preserve">08.07.2026</t>
  </si>
  <si>
    <t xml:space="preserve">АКСОФТ АО</t>
  </si>
  <si>
    <t xml:space="preserve">Ax000040535</t>
  </si>
  <si>
    <t xml:space="preserve">00НФ-000208</t>
  </si>
  <si>
    <t xml:space="preserve">09.07.2026</t>
  </si>
  <si>
    <t xml:space="preserve">ЭЛЕВЕЛ ИНЖЕНЕР АО</t>
  </si>
  <si>
    <t xml:space="preserve">ЭИ00-0054586</t>
  </si>
  <si>
    <t xml:space="preserve">00НФ-000209</t>
  </si>
  <si>
    <t xml:space="preserve">1349568/0001</t>
  </si>
  <si>
    <t xml:space="preserve">00НФ-000196</t>
  </si>
  <si>
    <t xml:space="preserve">Киселева Валентина Матвеевна</t>
  </si>
  <si>
    <t xml:space="preserve">285</t>
  </si>
  <si>
    <t xml:space="preserve">00НФ-000199</t>
  </si>
  <si>
    <t xml:space="preserve">ИП Кожевников Сергей Юрьевич</t>
  </si>
  <si>
    <t xml:space="preserve">1242</t>
  </si>
  <si>
    <t xml:space="preserve">00НФ-000203</t>
  </si>
  <si>
    <t xml:space="preserve">10.07.2026</t>
  </si>
  <si>
    <t xml:space="preserve">ГЕТСИ ЛОГИСТИК ООО (МСК)</t>
  </si>
  <si>
    <t xml:space="preserve">ГЛ26004447</t>
  </si>
  <si>
    <t xml:space="preserve">00НФ-000207</t>
  </si>
  <si>
    <t xml:space="preserve">1376705/0001</t>
  </si>
  <si>
    <t xml:space="preserve">00НФ-000200</t>
  </si>
  <si>
    <t xml:space="preserve">РЭБИС ООО</t>
  </si>
  <si>
    <t xml:space="preserve">18</t>
  </si>
  <si>
    <t xml:space="preserve">00НФ-000205</t>
  </si>
  <si>
    <t xml:space="preserve">11.07.2026</t>
  </si>
  <si>
    <t xml:space="preserve">2607110080</t>
  </si>
  <si>
    <t xml:space="preserve">00НФ-000206</t>
  </si>
  <si>
    <t xml:space="preserve">1369360/0001</t>
  </si>
  <si>
    <t xml:space="preserve">00НФ-000218</t>
  </si>
  <si>
    <t xml:space="preserve">13.07.2026</t>
  </si>
  <si>
    <t xml:space="preserve">НОВЫЙ АЙ ТИ ПРОЕКТ ООО</t>
  </si>
  <si>
    <t xml:space="preserve">51295Л26</t>
  </si>
  <si>
    <t xml:space="preserve">00НФ-000204</t>
  </si>
  <si>
    <t xml:space="preserve">ДНС РИТЕЙЛ ООО (ЛО)</t>
  </si>
  <si>
    <t xml:space="preserve">Г-00368210/11094</t>
  </si>
  <si>
    <t xml:space="preserve">00НФ-000215</t>
  </si>
  <si>
    <t xml:space="preserve">14.07.2026</t>
  </si>
  <si>
    <t xml:space="preserve">ЛАНДИС ООО</t>
  </si>
  <si>
    <t xml:space="preserve">14-07-0153</t>
  </si>
  <si>
    <t xml:space="preserve">00НФ-000226</t>
  </si>
  <si>
    <t xml:space="preserve">15.07.2026</t>
  </si>
  <si>
    <t xml:space="preserve">ГЛ26004549</t>
  </si>
  <si>
    <t xml:space="preserve">00НФ-000232</t>
  </si>
  <si>
    <t xml:space="preserve">Обособленное подразделение  "ДНС Ритейл ООО</t>
  </si>
  <si>
    <t xml:space="preserve">Г-00412103/11134</t>
  </si>
  <si>
    <t xml:space="preserve">00НФ-000233</t>
  </si>
  <si>
    <t xml:space="preserve">Г-00401504/11134</t>
  </si>
  <si>
    <t xml:space="preserve">00НФ-000234</t>
  </si>
  <si>
    <t xml:space="preserve">Г-00401807/11134</t>
  </si>
  <si>
    <t xml:space="preserve">00НФ-000235</t>
  </si>
  <si>
    <t xml:space="preserve">Г-00368225/11134</t>
  </si>
  <si>
    <t xml:space="preserve">00НФ-000211</t>
  </si>
  <si>
    <t xml:space="preserve">КАРИН ООО</t>
  </si>
  <si>
    <t xml:space="preserve">КР04–30/81</t>
  </si>
  <si>
    <t xml:space="preserve">дублдь</t>
  </si>
  <si>
    <t xml:space="preserve">Расхождение: Нет в B</t>
  </si>
  <si>
    <t xml:space="preserve">00НФ-000212</t>
  </si>
  <si>
    <t xml:space="preserve">проверит</t>
  </si>
  <si>
    <t xml:space="preserve">дубль</t>
  </si>
  <si>
    <t xml:space="preserve">Расхождение: комментарий</t>
  </si>
  <si>
    <t xml:space="preserve">00НФ-000213</t>
  </si>
  <si>
    <t xml:space="preserve">ГРИНПЛЕЙС ООО</t>
  </si>
  <si>
    <t xml:space="preserve">2607150032</t>
  </si>
  <si>
    <t xml:space="preserve">00НФ-000214</t>
  </si>
  <si>
    <t xml:space="preserve">2607150549</t>
  </si>
  <si>
    <t xml:space="preserve">00НФ-000217</t>
  </si>
  <si>
    <t xml:space="preserve">2607090427</t>
  </si>
  <si>
    <t xml:space="preserve">00НФ-000219</t>
  </si>
  <si>
    <t xml:space="preserve">ГЛ26004516</t>
  </si>
  <si>
    <t xml:space="preserve">00НФ-000220</t>
  </si>
  <si>
    <t xml:space="preserve">2607150550</t>
  </si>
  <si>
    <t xml:space="preserve">00НФ-000256</t>
  </si>
  <si>
    <t xml:space="preserve">ПРОФ РУ КОМ ООО</t>
  </si>
  <si>
    <t xml:space="preserve">475</t>
  </si>
  <si>
    <t xml:space="preserve">00НФ-000225</t>
  </si>
  <si>
    <t xml:space="preserve">17.07.2026</t>
  </si>
  <si>
    <t xml:space="preserve">2607170599</t>
  </si>
  <si>
    <t xml:space="preserve">00НФ-000230</t>
  </si>
  <si>
    <t xml:space="preserve">20.07.2026</t>
  </si>
  <si>
    <t xml:space="preserve">1404141/0001</t>
  </si>
  <si>
    <t xml:space="preserve">00НФ-000229</t>
  </si>
  <si>
    <t xml:space="preserve">22.07.2026</t>
  </si>
  <si>
    <t xml:space="preserve">Обособленное подразделение  "ДНС Ритейл ООО (Пятигорск)</t>
  </si>
  <si>
    <t xml:space="preserve">Е-00276002/5209</t>
  </si>
  <si>
    <t xml:space="preserve">00НФ-000224</t>
  </si>
  <si>
    <t xml:space="preserve">23.07.2026</t>
  </si>
  <si>
    <t xml:space="preserve">23-07-0252</t>
  </si>
  <si>
    <t xml:space="preserve">00НФ-000227</t>
  </si>
  <si>
    <t xml:space="preserve">23-07-0251</t>
  </si>
  <si>
    <t xml:space="preserve">00НФ-000228</t>
  </si>
  <si>
    <t xml:space="preserve">23-07-0253</t>
  </si>
  <si>
    <t xml:space="preserve">00НФ-000231</t>
  </si>
  <si>
    <t xml:space="preserve">ПЭК ООО</t>
  </si>
  <si>
    <t xml:space="preserve">СПП0720000065/78</t>
  </si>
  <si>
    <t xml:space="preserve">00НФ-000255</t>
  </si>
  <si>
    <t xml:space="preserve">505</t>
  </si>
  <si>
    <t xml:space="preserve">00НФ-000237</t>
  </si>
  <si>
    <t xml:space="preserve">24.07.2026</t>
  </si>
  <si>
    <t xml:space="preserve">2607240487</t>
  </si>
  <si>
    <t xml:space="preserve">00НФ-000240</t>
  </si>
  <si>
    <t xml:space="preserve">27.07.2026</t>
  </si>
  <si>
    <t xml:space="preserve">55085Л26</t>
  </si>
  <si>
    <t xml:space="preserve">00НФ-000241</t>
  </si>
  <si>
    <t xml:space="preserve">55090Л26</t>
  </si>
  <si>
    <t xml:space="preserve">00НФ-000243</t>
  </si>
  <si>
    <t xml:space="preserve">55087Л26</t>
  </si>
  <si>
    <t xml:space="preserve">00НФ-000236</t>
  </si>
  <si>
    <t xml:space="preserve">2607270052</t>
  </si>
  <si>
    <t xml:space="preserve">00НФ-000238</t>
  </si>
  <si>
    <t xml:space="preserve">2607270560</t>
  </si>
  <si>
    <t xml:space="preserve">00НФ-000247</t>
  </si>
  <si>
    <t xml:space="preserve">28.07.2026</t>
  </si>
  <si>
    <t xml:space="preserve">ОНЛАЙН ТРЕЙДИНГ ООО</t>
  </si>
  <si>
    <t xml:space="preserve">6099</t>
  </si>
  <si>
    <t xml:space="preserve">00НФ-000239</t>
  </si>
  <si>
    <t xml:space="preserve">5155058/1257</t>
  </si>
  <si>
    <t xml:space="preserve">00НФ-000244</t>
  </si>
  <si>
    <t xml:space="preserve">29.07.2026</t>
  </si>
  <si>
    <t xml:space="preserve">29-07-0225</t>
  </si>
  <si>
    <t xml:space="preserve">00НФ-000242</t>
  </si>
  <si>
    <t xml:space="preserve">1691358/1257</t>
  </si>
  <si>
    <t xml:space="preserve">00НФ-000288</t>
  </si>
  <si>
    <t xml:space="preserve">31.07.2026</t>
  </si>
  <si>
    <t xml:space="preserve">Силанов Дмитрий Алексеевич ИП</t>
  </si>
  <si>
    <t xml:space="preserve">М2С-0003684</t>
  </si>
  <si>
    <t xml:space="preserve">00НФ-000249</t>
  </si>
  <si>
    <t xml:space="preserve">1701060/1257</t>
  </si>
  <si>
    <t xml:space="preserve">00НФ-000252</t>
  </si>
  <si>
    <t xml:space="preserve">ЛИКАРД ООО</t>
  </si>
  <si>
    <t xml:space="preserve">212625007098</t>
  </si>
  <si>
    <t xml:space="preserve">00НФ-000253</t>
  </si>
  <si>
    <t xml:space="preserve">212625007101</t>
  </si>
  <si>
    <t xml:space="preserve">00НФ-000312</t>
  </si>
  <si>
    <t xml:space="preserve">441</t>
  </si>
  <si>
    <t xml:space="preserve">00НФ-000315</t>
  </si>
  <si>
    <t xml:space="preserve">450</t>
  </si>
  <si>
    <t xml:space="preserve">00НФ-000245</t>
  </si>
  <si>
    <t xml:space="preserve">01.08.2026</t>
  </si>
  <si>
    <t xml:space="preserve">1-08-0072</t>
  </si>
  <si>
    <t xml:space="preserve">00НФ-000246</t>
  </si>
  <si>
    <t xml:space="preserve">03.08.2026</t>
  </si>
  <si>
    <t xml:space="preserve">30.07.2026</t>
  </si>
  <si>
    <t xml:space="preserve">2608030455</t>
  </si>
  <si>
    <t xml:space="preserve">коррекция до 1 102 888,39</t>
  </si>
  <si>
    <t xml:space="preserve">коррекция до 1 102 888,39-дата изменена на 30.07,для списания</t>
  </si>
  <si>
    <t xml:space="preserve">Расхождение: дата, комментарий</t>
  </si>
  <si>
    <t xml:space="preserve">00НФ-000261</t>
  </si>
  <si>
    <t xml:space="preserve">07.08.2026</t>
  </si>
  <si>
    <t xml:space="preserve">ПТП0807000017/72</t>
  </si>
  <si>
    <t xml:space="preserve">00НФ-000248</t>
  </si>
  <si>
    <t xml:space="preserve">НОВОФОН-ОС ООО</t>
  </si>
  <si>
    <t xml:space="preserve">NFOS0056717</t>
  </si>
  <si>
    <t xml:space="preserve">00НФ-000250</t>
  </si>
  <si>
    <t xml:space="preserve">5157943/1257</t>
  </si>
  <si>
    <t xml:space="preserve">00НФ-000251</t>
  </si>
  <si>
    <t xml:space="preserve">1435457/0001</t>
  </si>
  <si>
    <t xml:space="preserve">00НФ-000254</t>
  </si>
  <si>
    <t xml:space="preserve">10.08.2026</t>
  </si>
  <si>
    <t xml:space="preserve">564</t>
  </si>
  <si>
    <t xml:space="preserve">00НФ-000262</t>
  </si>
  <si>
    <t xml:space="preserve">12.08.2026</t>
  </si>
  <si>
    <t xml:space="preserve">5167828/1257</t>
  </si>
  <si>
    <t xml:space="preserve">00НФ-000263</t>
  </si>
  <si>
    <t xml:space="preserve">1745930/1257</t>
  </si>
  <si>
    <t xml:space="preserve">00НФ-000306</t>
  </si>
  <si>
    <t xml:space="preserve">13.08.2026</t>
  </si>
  <si>
    <t xml:space="preserve">322</t>
  </si>
  <si>
    <t xml:space="preserve">00НФ-000257</t>
  </si>
  <si>
    <t xml:space="preserve">14.08.2026</t>
  </si>
  <si>
    <t xml:space="preserve">22</t>
  </si>
  <si>
    <t xml:space="preserve">00НФ-000259</t>
  </si>
  <si>
    <t xml:space="preserve">2608140600</t>
  </si>
  <si>
    <t xml:space="preserve">00НФ-000264</t>
  </si>
  <si>
    <t xml:space="preserve">17.08.2026</t>
  </si>
  <si>
    <t xml:space="preserve">Г-00477536/11134</t>
  </si>
  <si>
    <t xml:space="preserve">00НФ-000265</t>
  </si>
  <si>
    <t xml:space="preserve">18.08.2026</t>
  </si>
  <si>
    <t xml:space="preserve">1462561/0001</t>
  </si>
  <si>
    <t xml:space="preserve">00НФ-000266</t>
  </si>
  <si>
    <t xml:space="preserve">20.08.2026</t>
  </si>
  <si>
    <t xml:space="preserve">6732</t>
  </si>
  <si>
    <t xml:space="preserve">00НФ-000258</t>
  </si>
  <si>
    <t xml:space="preserve">2608180060</t>
  </si>
  <si>
    <t xml:space="preserve">Расхождение: дата</t>
  </si>
  <si>
    <t xml:space="preserve">00НФ-000267</t>
  </si>
  <si>
    <t xml:space="preserve">21.08.2026</t>
  </si>
  <si>
    <t xml:space="preserve">21-08-0165</t>
  </si>
  <si>
    <t xml:space="preserve">00НФ-000268</t>
  </si>
  <si>
    <t xml:space="preserve">21-08-0049</t>
  </si>
  <si>
    <t xml:space="preserve">00НФ-000275</t>
  </si>
  <si>
    <t xml:space="preserve">21-08-0164</t>
  </si>
  <si>
    <t xml:space="preserve">00НФ-000270</t>
  </si>
  <si>
    <t xml:space="preserve">24.08.2026</t>
  </si>
  <si>
    <t xml:space="preserve">2608240637</t>
  </si>
  <si>
    <t xml:space="preserve">00НФ-000271</t>
  </si>
  <si>
    <t xml:space="preserve">25.08.2026</t>
  </si>
  <si>
    <t xml:space="preserve">2608250663</t>
  </si>
  <si>
    <t xml:space="preserve">00НФ-000272</t>
  </si>
  <si>
    <t xml:space="preserve">2608250664</t>
  </si>
  <si>
    <t xml:space="preserve">00НФ-000273</t>
  </si>
  <si>
    <t xml:space="preserve">2608250063</t>
  </si>
  <si>
    <t xml:space="preserve">00НФ-000269</t>
  </si>
  <si>
    <t xml:space="preserve">28.08.2026</t>
  </si>
  <si>
    <t xml:space="preserve">1408365/0001</t>
  </si>
  <si>
    <t xml:space="preserve">00НФ-000274</t>
  </si>
  <si>
    <t xml:space="preserve">АБСОЛЮТ ТРЕЙД ООО</t>
  </si>
  <si>
    <t xml:space="preserve">8280272</t>
  </si>
  <si>
    <t xml:space="preserve">00НФ-000276</t>
  </si>
  <si>
    <t xml:space="preserve">СЕЛЕКТИС ООО</t>
  </si>
  <si>
    <t xml:space="preserve">117</t>
  </si>
  <si>
    <t xml:space="preserve">Расхождение: сумма (A/B = 1.22)</t>
  </si>
  <si>
    <t xml:space="preserve">00НФ-000260</t>
  </si>
  <si>
    <t xml:space="preserve">31.08.2026</t>
  </si>
  <si>
    <t xml:space="preserve">00НФ-000283</t>
  </si>
  <si>
    <t xml:space="preserve">М2С-0004378</t>
  </si>
  <si>
    <t xml:space="preserve">00НФ-000291</t>
  </si>
  <si>
    <t xml:space="preserve">NFOS0065844</t>
  </si>
  <si>
    <t xml:space="preserve">00НФ-000277</t>
  </si>
  <si>
    <t xml:space="preserve">118</t>
  </si>
  <si>
    <t xml:space="preserve">00НФ-000296</t>
  </si>
  <si>
    <t xml:space="preserve">243625002126</t>
  </si>
  <si>
    <t xml:space="preserve">00НФ-000297</t>
  </si>
  <si>
    <t xml:space="preserve">243625002121</t>
  </si>
  <si>
    <t xml:space="preserve">00НФ-000313</t>
  </si>
  <si>
    <t xml:space="preserve">00НФ-000294</t>
  </si>
  <si>
    <t xml:space="preserve">08.09.2026</t>
  </si>
  <si>
    <t xml:space="preserve">Г-00546243/11134</t>
  </si>
  <si>
    <t xml:space="preserve">00НФ-000282</t>
  </si>
  <si>
    <t xml:space="preserve">14.09.2026</t>
  </si>
  <si>
    <t xml:space="preserve">ЭЛТЕКС СПБ ООО</t>
  </si>
  <si>
    <t xml:space="preserve">579</t>
  </si>
  <si>
    <t xml:space="preserve">00НФ-000284</t>
  </si>
  <si>
    <t xml:space="preserve">14-09-0179</t>
  </si>
  <si>
    <t xml:space="preserve">00НФ-000289</t>
  </si>
  <si>
    <t xml:space="preserve">7381</t>
  </si>
  <si>
    <t xml:space="preserve">00НФ-000295</t>
  </si>
  <si>
    <t xml:space="preserve">2609140636</t>
  </si>
  <si>
    <t xml:space="preserve">00НФ-000278</t>
  </si>
  <si>
    <t xml:space="preserve">00НФ-000279</t>
  </si>
  <si>
    <t xml:space="preserve">15.09.2026</t>
  </si>
  <si>
    <t xml:space="preserve">Г-00490162/11094</t>
  </si>
  <si>
    <t xml:space="preserve">00НФ-000280</t>
  </si>
  <si>
    <t xml:space="preserve">ДНС РИТЕЙЛ ООО</t>
  </si>
  <si>
    <t xml:space="preserve">Г-00551975/11094</t>
  </si>
  <si>
    <t xml:space="preserve">00НФ-000281</t>
  </si>
  <si>
    <t xml:space="preserve">Г-00548574/11094</t>
  </si>
  <si>
    <t xml:space="preserve">Основной склад ИП</t>
  </si>
  <si>
    <t xml:space="preserve">Расхождение: сумма (A/B = 1.22), склад</t>
  </si>
  <si>
    <t xml:space="preserve">00НФ-000285</t>
  </si>
  <si>
    <t xml:space="preserve">16.09.2026</t>
  </si>
  <si>
    <t xml:space="preserve">9160294</t>
  </si>
  <si>
    <t xml:space="preserve">00НФ-000286</t>
  </si>
  <si>
    <t xml:space="preserve">9160289</t>
  </si>
  <si>
    <t xml:space="preserve">00НФ-000292</t>
  </si>
  <si>
    <t xml:space="preserve">17.09.2026</t>
  </si>
  <si>
    <t xml:space="preserve">КОМПОНЕНТ АО</t>
  </si>
  <si>
    <t xml:space="preserve">10947</t>
  </si>
  <si>
    <t xml:space="preserve">00НФ-000293</t>
  </si>
  <si>
    <t xml:space="preserve">КР09–17/07</t>
  </si>
  <si>
    <t xml:space="preserve">00НФ-000287</t>
  </si>
  <si>
    <t xml:space="preserve">18.09.2026</t>
  </si>
  <si>
    <t xml:space="preserve">17-09-0001</t>
  </si>
  <si>
    <t xml:space="preserve">00НФ-000290</t>
  </si>
  <si>
    <t xml:space="preserve">ГЕТСИ ЛОГИСТИК ООО (ЛО)</t>
  </si>
  <si>
    <t xml:space="preserve">ГЛ26006112</t>
  </si>
  <si>
    <t xml:space="preserve">00НФ-000307</t>
  </si>
  <si>
    <t xml:space="preserve">2609180604</t>
  </si>
  <si>
    <t xml:space="preserve">00НФ-000298</t>
  </si>
  <si>
    <t xml:space="preserve">21.09.2026</t>
  </si>
  <si>
    <t xml:space="preserve">О-СИ-ЭС-ЦЕНТР ООО (МСК)</t>
  </si>
  <si>
    <t xml:space="preserve">БЦ260218508/4725</t>
  </si>
  <si>
    <t xml:space="preserve">00НФ-000299</t>
  </si>
  <si>
    <t xml:space="preserve">БЦ260218509/4725</t>
  </si>
  <si>
    <t xml:space="preserve">00НФ-000308</t>
  </si>
  <si>
    <t xml:space="preserve">28.09.2026</t>
  </si>
  <si>
    <t xml:space="preserve">ГЛ26006322</t>
  </si>
  <si>
    <t xml:space="preserve">00НФ-000300</t>
  </si>
  <si>
    <t xml:space="preserve">29.09.2026</t>
  </si>
  <si>
    <t xml:space="preserve">2609290738</t>
  </si>
  <si>
    <t xml:space="preserve">00НФ-000301</t>
  </si>
  <si>
    <t xml:space="preserve">2609290736</t>
  </si>
  <si>
    <t xml:space="preserve">00НФ-000302</t>
  </si>
  <si>
    <t xml:space="preserve">30.09.2026</t>
  </si>
  <si>
    <t xml:space="preserve">ЦС ИМПЭКС ООО</t>
  </si>
  <si>
    <t xml:space="preserve">6409</t>
  </si>
  <si>
    <t xml:space="preserve">00НФ-000303</t>
  </si>
  <si>
    <t xml:space="preserve">6408</t>
  </si>
  <si>
    <t xml:space="preserve">00НФ-000304</t>
  </si>
  <si>
    <t xml:space="preserve">М2С-0004750</t>
  </si>
  <si>
    <t xml:space="preserve">00НФ-000318</t>
  </si>
  <si>
    <t xml:space="preserve">273625009355</t>
  </si>
  <si>
    <t xml:space="preserve">00НФ-000319</t>
  </si>
  <si>
    <t xml:space="preserve">273625009359</t>
  </si>
  <si>
    <t xml:space="preserve">00НФ-000309</t>
  </si>
  <si>
    <t xml:space="preserve">30-09-0459</t>
  </si>
  <si>
    <t xml:space="preserve">00НФ-000310</t>
  </si>
  <si>
    <t xml:space="preserve">30-09-0458</t>
  </si>
  <si>
    <t xml:space="preserve">00НФ-000314</t>
  </si>
  <si>
    <t xml:space="preserve">554</t>
  </si>
  <si>
    <t xml:space="preserve">ИТОГО</t>
  </si>
  <si>
    <t xml:space="preserve">№</t>
  </si>
  <si>
    <t xml:space="preserve">Тип расхождения</t>
  </si>
  <si>
    <t xml:space="preserve">Контрагент</t>
  </si>
  <si>
    <t xml:space="preserve">Значение в A</t>
  </si>
  <si>
    <t xml:space="preserve">Значение в B</t>
  </si>
  <si>
    <t xml:space="preserve">Разница A−B, ₽</t>
  </si>
  <si>
    <t xml:space="preserve">Пояснение</t>
  </si>
  <si>
    <t xml:space="preserve">Нет в таблице B</t>
  </si>
  <si>
    <t xml:space="preserve">Комментарий в A: дублдь; склад: Основной склад Зеллеон</t>
  </si>
  <si>
    <t xml:space="preserve">Комментарий в A: дубль; склад: Основной склад Зеллеон</t>
  </si>
  <si>
    <t xml:space="preserve">Комментарий в A: —; склад: Основной склад ИП</t>
  </si>
  <si>
    <t xml:space="preserve">Сумма</t>
  </si>
  <si>
    <t xml:space="preserve">A/B = 1.22 — в B сумма без НДС 22%</t>
  </si>
  <si>
    <t xml:space="preserve">Дата</t>
  </si>
  <si>
    <t xml:space="preserve">Склад</t>
  </si>
  <si>
    <t xml:space="preserve">Комментарий</t>
  </si>
  <si>
    <t xml:space="preserve">(пусто)</t>
  </si>
  <si>
    <t xml:space="preserve">В A помечен как дубль, в B присутствует без пометки — проверить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</si>
</sst>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;\-#,##0.0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COUNTA('Полная сверка'!F2:F119)</f>
        <v>118</v>
      </c>
    </row>
    <row r="5" customFormat="false" ht="15" hidden="false" customHeight="false" outlineLevel="0" collapsed="false">
      <c r="A5" s="3" t="s">
        <v>3</v>
      </c>
      <c r="B5" s="4" t="n">
        <f aca="false">COUNTA('Полная сверка'!G2:G119)</f>
        <v>114</v>
      </c>
    </row>
    <row r="6" customFormat="false" ht="15" hidden="false" customHeight="false" outlineLevel="0" collapsed="false">
      <c r="A6" s="3" t="s">
        <v>4</v>
      </c>
      <c r="B6" s="5" t="n">
        <f aca="false">'Полная сверка'!F120</f>
        <v>54006071.24</v>
      </c>
    </row>
    <row r="7" customFormat="false" ht="15" hidden="false" customHeight="false" outlineLevel="0" collapsed="false">
      <c r="A7" s="3" t="s">
        <v>5</v>
      </c>
      <c r="B7" s="5" t="n">
        <f aca="false">'Полная сверка'!G120</f>
        <v>51709044.85</v>
      </c>
    </row>
    <row r="8" customFormat="false" ht="15" hidden="false" customHeight="false" outlineLevel="0" collapsed="false">
      <c r="A8" s="3" t="s">
        <v>6</v>
      </c>
      <c r="B8" s="5" t="n">
        <f aca="false">B6-B7</f>
        <v>2297026.39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7</v>
      </c>
      <c r="B10" s="4" t="n">
        <f aca="false">COUNTIF('Полная сверка'!O2:O119,"*Нет в B*")</f>
        <v>4</v>
      </c>
    </row>
    <row r="11" customFormat="false" ht="15" hidden="false" customHeight="false" outlineLevel="0" collapsed="false">
      <c r="A11" s="3" t="s">
        <v>8</v>
      </c>
      <c r="B11" s="5" t="n">
        <f aca="false">SUMIF('Полная сверка'!O2:O119,"*Нет в B*",'Полная сверка'!F2:F119)</f>
        <v>2158737.53</v>
      </c>
    </row>
    <row r="12" customFormat="false" ht="15" hidden="false" customHeight="false" outlineLevel="0" collapsed="false">
      <c r="A12" s="3" t="s">
        <v>9</v>
      </c>
      <c r="B12" s="4" t="n">
        <f aca="false">COUNTIF('Полная сверка'!O2:O119,"*сумма*")</f>
        <v>5</v>
      </c>
    </row>
    <row r="13" customFormat="false" ht="15" hidden="false" customHeight="false" outlineLevel="0" collapsed="false">
      <c r="A13" s="3" t="s">
        <v>10</v>
      </c>
      <c r="B13" s="5" t="n">
        <f aca="false">SUMIF('Полная сверка'!O2:O119,"*сумма*",'Полная сверка'!H2:H119)</f>
        <v>138288.86</v>
      </c>
    </row>
    <row r="14" customFormat="false" ht="15" hidden="false" customHeight="false" outlineLevel="0" collapsed="false">
      <c r="A14" s="3" t="s">
        <v>11</v>
      </c>
      <c r="B14" s="5" t="n">
        <f aca="false">B11+B13-B8</f>
        <v>0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12</v>
      </c>
      <c r="B16" s="4" t="n">
        <f aca="false">COUNTIF('Полная сверка'!O2:O119,"*дата*")</f>
        <v>2</v>
      </c>
    </row>
    <row r="17" customFormat="false" ht="15" hidden="false" customHeight="false" outlineLevel="0" collapsed="false">
      <c r="A17" s="3" t="s">
        <v>13</v>
      </c>
      <c r="B17" s="4" t="n">
        <f aca="false">COUNTIF('Полная сверка'!O2:O119,"*склад*")</f>
        <v>2</v>
      </c>
    </row>
    <row r="18" customFormat="false" ht="15" hidden="false" customHeight="false" outlineLevel="0" collapsed="false">
      <c r="A18" s="3" t="s">
        <v>14</v>
      </c>
      <c r="B18" s="4" t="n">
        <f aca="false">COUNTIF('Полная сверка'!O2:O119,"*комментарий*")</f>
        <v>3</v>
      </c>
    </row>
    <row r="19" customFormat="false" ht="15" hidden="false" customHeight="false" outlineLevel="0" collapsed="false">
      <c r="A19" s="3" t="s">
        <v>15</v>
      </c>
      <c r="B19" s="4" t="n">
        <f aca="false">COUNTIF('Полная сверка'!O2:O119,"Совпадает")</f>
        <v>104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5" min="4" style="0" width="32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10" min="9" style="0" width="18"/>
    <col collapsed="false" customWidth="true" hidden="false" outlineLevel="0" max="12" min="11" style="0" width="22"/>
    <col collapsed="false" customWidth="true" hidden="false" outlineLevel="0" max="14" min="13" style="0" width="30"/>
    <col collapsed="false" customWidth="true" hidden="false" outlineLevel="0" max="15" min="15" style="0" width="40"/>
  </cols>
  <sheetData>
    <row r="1" customFormat="false" ht="23.85" hidden="false" customHeight="fals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</row>
    <row r="2" customFormat="false" ht="15" hidden="false" customHeight="false" outlineLevel="0" collapsed="false">
      <c r="A2" s="8" t="s">
        <v>37</v>
      </c>
      <c r="B2" s="8" t="s">
        <v>38</v>
      </c>
      <c r="C2" s="8" t="s">
        <v>38</v>
      </c>
      <c r="D2" s="8" t="s">
        <v>39</v>
      </c>
      <c r="E2" s="8" t="s">
        <v>39</v>
      </c>
      <c r="F2" s="9" t="n">
        <v>7658</v>
      </c>
      <c r="G2" s="9" t="n">
        <v>7658</v>
      </c>
      <c r="H2" s="9" t="n">
        <f aca="false">N(F2)-N(G2)</f>
        <v>0</v>
      </c>
      <c r="I2" s="8" t="s">
        <v>40</v>
      </c>
      <c r="J2" s="8" t="s">
        <v>40</v>
      </c>
      <c r="K2" s="8" t="s">
        <v>41</v>
      </c>
      <c r="L2" s="8"/>
      <c r="M2" s="8"/>
      <c r="N2" s="8"/>
      <c r="O2" s="8" t="s">
        <v>42</v>
      </c>
    </row>
    <row r="3" customFormat="false" ht="15" hidden="false" customHeight="false" outlineLevel="0" collapsed="false">
      <c r="A3" s="8" t="s">
        <v>43</v>
      </c>
      <c r="B3" s="8" t="s">
        <v>38</v>
      </c>
      <c r="C3" s="8" t="s">
        <v>38</v>
      </c>
      <c r="D3" s="8" t="s">
        <v>39</v>
      </c>
      <c r="E3" s="8" t="s">
        <v>39</v>
      </c>
      <c r="F3" s="9" t="n">
        <v>7527.1</v>
      </c>
      <c r="G3" s="9" t="n">
        <v>7527.1</v>
      </c>
      <c r="H3" s="9" t="n">
        <f aca="false">N(F3)-N(G3)</f>
        <v>0</v>
      </c>
      <c r="I3" s="8" t="s">
        <v>44</v>
      </c>
      <c r="J3" s="8" t="s">
        <v>44</v>
      </c>
      <c r="K3" s="8" t="s">
        <v>41</v>
      </c>
      <c r="L3" s="8"/>
      <c r="M3" s="8"/>
      <c r="N3" s="8"/>
      <c r="O3" s="8" t="s">
        <v>42</v>
      </c>
    </row>
    <row r="4" customFormat="false" ht="15" hidden="false" customHeight="false" outlineLevel="0" collapsed="false">
      <c r="A4" s="8" t="s">
        <v>45</v>
      </c>
      <c r="B4" s="8" t="s">
        <v>38</v>
      </c>
      <c r="C4" s="8" t="s">
        <v>38</v>
      </c>
      <c r="D4" s="8" t="s">
        <v>39</v>
      </c>
      <c r="E4" s="8" t="s">
        <v>39</v>
      </c>
      <c r="F4" s="9" t="n">
        <v>6139.49</v>
      </c>
      <c r="G4" s="9" t="n">
        <v>6139.49</v>
      </c>
      <c r="H4" s="9" t="n">
        <f aca="false">N(F4)-N(G4)</f>
        <v>0</v>
      </c>
      <c r="I4" s="8" t="s">
        <v>46</v>
      </c>
      <c r="J4" s="8" t="s">
        <v>46</v>
      </c>
      <c r="K4" s="8" t="s">
        <v>41</v>
      </c>
      <c r="L4" s="8"/>
      <c r="M4" s="8"/>
      <c r="N4" s="8"/>
      <c r="O4" s="8" t="s">
        <v>42</v>
      </c>
    </row>
    <row r="5" customFormat="false" ht="15" hidden="false" customHeight="false" outlineLevel="0" collapsed="false">
      <c r="A5" s="10" t="s">
        <v>47</v>
      </c>
      <c r="B5" s="10" t="s">
        <v>48</v>
      </c>
      <c r="C5" s="10" t="s">
        <v>48</v>
      </c>
      <c r="D5" s="10" t="s">
        <v>49</v>
      </c>
      <c r="E5" s="10" t="s">
        <v>49</v>
      </c>
      <c r="F5" s="11" t="n">
        <v>1588100</v>
      </c>
      <c r="G5" s="11" t="n">
        <v>1588100</v>
      </c>
      <c r="H5" s="11" t="n">
        <f aca="false">N(F5)-N(G5)</f>
        <v>0</v>
      </c>
      <c r="I5" s="10" t="s">
        <v>50</v>
      </c>
      <c r="J5" s="10" t="s">
        <v>50</v>
      </c>
      <c r="K5" s="10" t="s">
        <v>51</v>
      </c>
      <c r="L5" s="10" t="s">
        <v>41</v>
      </c>
      <c r="M5" s="10" t="s">
        <v>52</v>
      </c>
      <c r="N5" s="10" t="s">
        <v>52</v>
      </c>
      <c r="O5" s="10" t="s">
        <v>53</v>
      </c>
    </row>
    <row r="6" customFormat="false" ht="15" hidden="false" customHeight="false" outlineLevel="0" collapsed="false">
      <c r="A6" s="8" t="s">
        <v>54</v>
      </c>
      <c r="B6" s="8" t="s">
        <v>55</v>
      </c>
      <c r="C6" s="8" t="s">
        <v>55</v>
      </c>
      <c r="D6" s="8" t="s">
        <v>56</v>
      </c>
      <c r="E6" s="8" t="s">
        <v>56</v>
      </c>
      <c r="F6" s="9" t="n">
        <v>2234</v>
      </c>
      <c r="G6" s="9" t="n">
        <v>2234</v>
      </c>
      <c r="H6" s="9" t="n">
        <f aca="false">N(F6)-N(G6)</f>
        <v>0</v>
      </c>
      <c r="I6" s="8" t="s">
        <v>57</v>
      </c>
      <c r="J6" s="8" t="s">
        <v>57</v>
      </c>
      <c r="K6" s="8" t="s">
        <v>41</v>
      </c>
      <c r="L6" s="8"/>
      <c r="M6" s="8"/>
      <c r="N6" s="8"/>
      <c r="O6" s="8" t="s">
        <v>42</v>
      </c>
    </row>
    <row r="7" customFormat="false" ht="15" hidden="false" customHeight="false" outlineLevel="0" collapsed="false">
      <c r="A7" s="8" t="s">
        <v>58</v>
      </c>
      <c r="B7" s="8" t="s">
        <v>59</v>
      </c>
      <c r="C7" s="8" t="s">
        <v>59</v>
      </c>
      <c r="D7" s="8" t="s">
        <v>60</v>
      </c>
      <c r="E7" s="8" t="s">
        <v>60</v>
      </c>
      <c r="F7" s="9" t="n">
        <v>24890</v>
      </c>
      <c r="G7" s="9" t="n">
        <v>24890</v>
      </c>
      <c r="H7" s="9" t="n">
        <f aca="false">N(F7)-N(G7)</f>
        <v>0</v>
      </c>
      <c r="I7" s="8" t="s">
        <v>61</v>
      </c>
      <c r="J7" s="8" t="s">
        <v>61</v>
      </c>
      <c r="K7" s="8" t="s">
        <v>41</v>
      </c>
      <c r="L7" s="8" t="s">
        <v>41</v>
      </c>
      <c r="M7" s="8"/>
      <c r="N7" s="8"/>
      <c r="O7" s="8" t="s">
        <v>42</v>
      </c>
    </row>
    <row r="8" customFormat="false" ht="15" hidden="false" customHeight="false" outlineLevel="0" collapsed="false">
      <c r="A8" s="8" t="s">
        <v>62</v>
      </c>
      <c r="B8" s="8" t="s">
        <v>63</v>
      </c>
      <c r="C8" s="8" t="s">
        <v>63</v>
      </c>
      <c r="D8" s="8" t="s">
        <v>64</v>
      </c>
      <c r="E8" s="8" t="s">
        <v>64</v>
      </c>
      <c r="F8" s="9" t="n">
        <v>836.01</v>
      </c>
      <c r="G8" s="9" t="n">
        <v>836.01</v>
      </c>
      <c r="H8" s="9" t="n">
        <f aca="false">N(F8)-N(G8)</f>
        <v>0</v>
      </c>
      <c r="I8" s="8" t="s">
        <v>65</v>
      </c>
      <c r="J8" s="8" t="s">
        <v>65</v>
      </c>
      <c r="K8" s="8" t="s">
        <v>41</v>
      </c>
      <c r="L8" s="8" t="s">
        <v>41</v>
      </c>
      <c r="M8" s="8"/>
      <c r="N8" s="8"/>
      <c r="O8" s="8" t="s">
        <v>42</v>
      </c>
    </row>
    <row r="9" customFormat="false" ht="15" hidden="false" customHeight="false" outlineLevel="0" collapsed="false">
      <c r="A9" s="8" t="s">
        <v>66</v>
      </c>
      <c r="B9" s="8" t="s">
        <v>67</v>
      </c>
      <c r="C9" s="8" t="s">
        <v>67</v>
      </c>
      <c r="D9" s="8" t="s">
        <v>68</v>
      </c>
      <c r="E9" s="8" t="s">
        <v>68</v>
      </c>
      <c r="F9" s="9" t="n">
        <v>85498.9</v>
      </c>
      <c r="G9" s="9" t="n">
        <v>85498.9</v>
      </c>
      <c r="H9" s="9" t="n">
        <f aca="false">N(F9)-N(G9)</f>
        <v>0</v>
      </c>
      <c r="I9" s="8" t="s">
        <v>69</v>
      </c>
      <c r="J9" s="8" t="s">
        <v>69</v>
      </c>
      <c r="K9" s="8" t="s">
        <v>41</v>
      </c>
      <c r="L9" s="8" t="s">
        <v>41</v>
      </c>
      <c r="M9" s="8"/>
      <c r="N9" s="8"/>
      <c r="O9" s="8" t="s">
        <v>42</v>
      </c>
    </row>
    <row r="10" customFormat="false" ht="15" hidden="false" customHeight="false" outlineLevel="0" collapsed="false">
      <c r="A10" s="8" t="s">
        <v>70</v>
      </c>
      <c r="B10" s="8" t="s">
        <v>67</v>
      </c>
      <c r="C10" s="8" t="s">
        <v>67</v>
      </c>
      <c r="D10" s="8" t="s">
        <v>56</v>
      </c>
      <c r="E10" s="8" t="s">
        <v>56</v>
      </c>
      <c r="F10" s="9" t="n">
        <v>8795</v>
      </c>
      <c r="G10" s="9" t="n">
        <v>8795</v>
      </c>
      <c r="H10" s="9" t="n">
        <f aca="false">N(F10)-N(G10)</f>
        <v>0</v>
      </c>
      <c r="I10" s="8" t="s">
        <v>71</v>
      </c>
      <c r="J10" s="8" t="s">
        <v>71</v>
      </c>
      <c r="K10" s="8" t="s">
        <v>41</v>
      </c>
      <c r="L10" s="8"/>
      <c r="M10" s="8"/>
      <c r="N10" s="8"/>
      <c r="O10" s="8" t="s">
        <v>42</v>
      </c>
    </row>
    <row r="11" customFormat="false" ht="15" hidden="false" customHeight="false" outlineLevel="0" collapsed="false">
      <c r="A11" s="8" t="s">
        <v>72</v>
      </c>
      <c r="B11" s="8" t="s">
        <v>67</v>
      </c>
      <c r="C11" s="8" t="s">
        <v>67</v>
      </c>
      <c r="D11" s="8" t="s">
        <v>73</v>
      </c>
      <c r="E11" s="8" t="s">
        <v>73</v>
      </c>
      <c r="F11" s="9" t="n">
        <v>27252</v>
      </c>
      <c r="G11" s="9" t="n">
        <v>27252</v>
      </c>
      <c r="H11" s="9" t="n">
        <f aca="false">N(F11)-N(G11)</f>
        <v>0</v>
      </c>
      <c r="I11" s="8" t="s">
        <v>74</v>
      </c>
      <c r="J11" s="8" t="s">
        <v>74</v>
      </c>
      <c r="K11" s="8" t="s">
        <v>41</v>
      </c>
      <c r="L11" s="8" t="s">
        <v>41</v>
      </c>
      <c r="M11" s="8"/>
      <c r="N11" s="8"/>
      <c r="O11" s="8" t="s">
        <v>42</v>
      </c>
    </row>
    <row r="12" customFormat="false" ht="15" hidden="false" customHeight="false" outlineLevel="0" collapsed="false">
      <c r="A12" s="8" t="s">
        <v>75</v>
      </c>
      <c r="B12" s="8" t="s">
        <v>67</v>
      </c>
      <c r="C12" s="8" t="s">
        <v>67</v>
      </c>
      <c r="D12" s="8" t="s">
        <v>76</v>
      </c>
      <c r="E12" s="8" t="s">
        <v>76</v>
      </c>
      <c r="F12" s="9" t="n">
        <v>22900</v>
      </c>
      <c r="G12" s="9" t="n">
        <v>22900</v>
      </c>
      <c r="H12" s="9" t="n">
        <f aca="false">N(F12)-N(G12)</f>
        <v>0</v>
      </c>
      <c r="I12" s="8" t="s">
        <v>77</v>
      </c>
      <c r="J12" s="8" t="s">
        <v>77</v>
      </c>
      <c r="K12" s="8" t="s">
        <v>41</v>
      </c>
      <c r="L12" s="8" t="s">
        <v>41</v>
      </c>
      <c r="M12" s="8"/>
      <c r="N12" s="8"/>
      <c r="O12" s="8" t="s">
        <v>42</v>
      </c>
    </row>
    <row r="13" customFormat="false" ht="15" hidden="false" customHeight="false" outlineLevel="0" collapsed="false">
      <c r="A13" s="8" t="s">
        <v>78</v>
      </c>
      <c r="B13" s="8" t="s">
        <v>79</v>
      </c>
      <c r="C13" s="8" t="s">
        <v>79</v>
      </c>
      <c r="D13" s="8" t="s">
        <v>80</v>
      </c>
      <c r="E13" s="8" t="s">
        <v>80</v>
      </c>
      <c r="F13" s="9" t="n">
        <v>15110.07</v>
      </c>
      <c r="G13" s="9" t="n">
        <v>15110.07</v>
      </c>
      <c r="H13" s="9" t="n">
        <f aca="false">N(F13)-N(G13)</f>
        <v>0</v>
      </c>
      <c r="I13" s="8" t="s">
        <v>81</v>
      </c>
      <c r="J13" s="8" t="s">
        <v>81</v>
      </c>
      <c r="K13" s="8" t="s">
        <v>41</v>
      </c>
      <c r="L13" s="8" t="s">
        <v>41</v>
      </c>
      <c r="M13" s="8"/>
      <c r="N13" s="8"/>
      <c r="O13" s="8" t="s">
        <v>42</v>
      </c>
    </row>
    <row r="14" customFormat="false" ht="15" hidden="false" customHeight="false" outlineLevel="0" collapsed="false">
      <c r="A14" s="8" t="s">
        <v>82</v>
      </c>
      <c r="B14" s="8" t="s">
        <v>79</v>
      </c>
      <c r="C14" s="8" t="s">
        <v>79</v>
      </c>
      <c r="D14" s="8" t="s">
        <v>56</v>
      </c>
      <c r="E14" s="8" t="s">
        <v>56</v>
      </c>
      <c r="F14" s="9" t="n">
        <v>104329</v>
      </c>
      <c r="G14" s="9" t="n">
        <v>104329</v>
      </c>
      <c r="H14" s="9" t="n">
        <f aca="false">N(F14)-N(G14)</f>
        <v>0</v>
      </c>
      <c r="I14" s="8" t="s">
        <v>83</v>
      </c>
      <c r="J14" s="8" t="s">
        <v>83</v>
      </c>
      <c r="K14" s="8" t="s">
        <v>41</v>
      </c>
      <c r="L14" s="8"/>
      <c r="M14" s="8"/>
      <c r="N14" s="8"/>
      <c r="O14" s="8" t="s">
        <v>42</v>
      </c>
    </row>
    <row r="15" customFormat="false" ht="15" hidden="false" customHeight="false" outlineLevel="0" collapsed="false">
      <c r="A15" s="8" t="s">
        <v>84</v>
      </c>
      <c r="B15" s="8" t="s">
        <v>79</v>
      </c>
      <c r="C15" s="8" t="s">
        <v>79</v>
      </c>
      <c r="D15" s="8" t="s">
        <v>85</v>
      </c>
      <c r="E15" s="8" t="s">
        <v>85</v>
      </c>
      <c r="F15" s="9" t="n">
        <v>39500</v>
      </c>
      <c r="G15" s="9" t="n">
        <v>39500</v>
      </c>
      <c r="H15" s="9" t="n">
        <f aca="false">N(F15)-N(G15)</f>
        <v>0</v>
      </c>
      <c r="I15" s="8" t="s">
        <v>86</v>
      </c>
      <c r="J15" s="8" t="s">
        <v>86</v>
      </c>
      <c r="K15" s="8" t="s">
        <v>41</v>
      </c>
      <c r="L15" s="8"/>
      <c r="M15" s="8"/>
      <c r="N15" s="8"/>
      <c r="O15" s="8" t="s">
        <v>42</v>
      </c>
    </row>
    <row r="16" customFormat="false" ht="15" hidden="false" customHeight="false" outlineLevel="0" collapsed="false">
      <c r="A16" s="8" t="s">
        <v>87</v>
      </c>
      <c r="B16" s="8" t="s">
        <v>88</v>
      </c>
      <c r="C16" s="8" t="s">
        <v>88</v>
      </c>
      <c r="D16" s="8" t="s">
        <v>60</v>
      </c>
      <c r="E16" s="8" t="s">
        <v>60</v>
      </c>
      <c r="F16" s="9" t="n">
        <v>2092208.77</v>
      </c>
      <c r="G16" s="9" t="n">
        <v>2092208.77</v>
      </c>
      <c r="H16" s="9" t="n">
        <f aca="false">N(F16)-N(G16)</f>
        <v>0</v>
      </c>
      <c r="I16" s="8" t="s">
        <v>89</v>
      </c>
      <c r="J16" s="8" t="s">
        <v>89</v>
      </c>
      <c r="K16" s="8" t="s">
        <v>41</v>
      </c>
      <c r="L16" s="8" t="s">
        <v>41</v>
      </c>
      <c r="M16" s="8"/>
      <c r="N16" s="8"/>
      <c r="O16" s="8" t="s">
        <v>42</v>
      </c>
    </row>
    <row r="17" customFormat="false" ht="15" hidden="false" customHeight="false" outlineLevel="0" collapsed="false">
      <c r="A17" s="8" t="s">
        <v>90</v>
      </c>
      <c r="B17" s="8" t="s">
        <v>88</v>
      </c>
      <c r="C17" s="8" t="s">
        <v>88</v>
      </c>
      <c r="D17" s="8" t="s">
        <v>56</v>
      </c>
      <c r="E17" s="8" t="s">
        <v>56</v>
      </c>
      <c r="F17" s="9" t="n">
        <v>6218</v>
      </c>
      <c r="G17" s="9" t="n">
        <v>6218</v>
      </c>
      <c r="H17" s="9" t="n">
        <f aca="false">N(F17)-N(G17)</f>
        <v>0</v>
      </c>
      <c r="I17" s="8" t="s">
        <v>91</v>
      </c>
      <c r="J17" s="8" t="s">
        <v>91</v>
      </c>
      <c r="K17" s="8" t="s">
        <v>41</v>
      </c>
      <c r="L17" s="8"/>
      <c r="M17" s="8"/>
      <c r="N17" s="8"/>
      <c r="O17" s="8" t="s">
        <v>42</v>
      </c>
    </row>
    <row r="18" customFormat="false" ht="15" hidden="false" customHeight="false" outlineLevel="0" collapsed="false">
      <c r="A18" s="8" t="s">
        <v>92</v>
      </c>
      <c r="B18" s="8" t="s">
        <v>93</v>
      </c>
      <c r="C18" s="8" t="s">
        <v>93</v>
      </c>
      <c r="D18" s="8" t="s">
        <v>94</v>
      </c>
      <c r="E18" s="8" t="s">
        <v>94</v>
      </c>
      <c r="F18" s="9" t="n">
        <v>18697.76</v>
      </c>
      <c r="G18" s="9" t="n">
        <v>18697.76</v>
      </c>
      <c r="H18" s="9" t="n">
        <f aca="false">N(F18)-N(G18)</f>
        <v>0</v>
      </c>
      <c r="I18" s="8" t="s">
        <v>95</v>
      </c>
      <c r="J18" s="8" t="s">
        <v>95</v>
      </c>
      <c r="K18" s="8" t="s">
        <v>41</v>
      </c>
      <c r="L18" s="8" t="s">
        <v>41</v>
      </c>
      <c r="M18" s="8"/>
      <c r="N18" s="8"/>
      <c r="O18" s="8" t="s">
        <v>42</v>
      </c>
    </row>
    <row r="19" customFormat="false" ht="15" hidden="false" customHeight="false" outlineLevel="0" collapsed="false">
      <c r="A19" s="8" t="s">
        <v>96</v>
      </c>
      <c r="B19" s="8" t="s">
        <v>93</v>
      </c>
      <c r="C19" s="8" t="s">
        <v>93</v>
      </c>
      <c r="D19" s="8" t="s">
        <v>97</v>
      </c>
      <c r="E19" s="8" t="s">
        <v>97</v>
      </c>
      <c r="F19" s="9" t="n">
        <v>478794</v>
      </c>
      <c r="G19" s="9" t="n">
        <v>478794</v>
      </c>
      <c r="H19" s="9" t="n">
        <f aca="false">N(F19)-N(G19)</f>
        <v>0</v>
      </c>
      <c r="I19" s="8" t="s">
        <v>98</v>
      </c>
      <c r="J19" s="8" t="s">
        <v>98</v>
      </c>
      <c r="K19" s="8" t="s">
        <v>41</v>
      </c>
      <c r="L19" s="8" t="s">
        <v>41</v>
      </c>
      <c r="M19" s="8"/>
      <c r="N19" s="8"/>
      <c r="O19" s="8" t="s">
        <v>42</v>
      </c>
    </row>
    <row r="20" customFormat="false" ht="15" hidden="false" customHeight="false" outlineLevel="0" collapsed="false">
      <c r="A20" s="8" t="s">
        <v>99</v>
      </c>
      <c r="B20" s="8" t="s">
        <v>100</v>
      </c>
      <c r="C20" s="8" t="s">
        <v>100</v>
      </c>
      <c r="D20" s="8" t="s">
        <v>101</v>
      </c>
      <c r="E20" s="8" t="s">
        <v>101</v>
      </c>
      <c r="F20" s="9" t="n">
        <v>110376.05</v>
      </c>
      <c r="G20" s="9" t="n">
        <v>110376.05</v>
      </c>
      <c r="H20" s="9" t="n">
        <f aca="false">N(F20)-N(G20)</f>
        <v>0</v>
      </c>
      <c r="I20" s="8" t="s">
        <v>102</v>
      </c>
      <c r="J20" s="8" t="s">
        <v>102</v>
      </c>
      <c r="K20" s="8" t="s">
        <v>41</v>
      </c>
      <c r="L20" s="8" t="s">
        <v>41</v>
      </c>
      <c r="M20" s="8"/>
      <c r="N20" s="8"/>
      <c r="O20" s="8" t="s">
        <v>42</v>
      </c>
    </row>
    <row r="21" customFormat="false" ht="15" hidden="false" customHeight="false" outlineLevel="0" collapsed="false">
      <c r="A21" s="8" t="s">
        <v>103</v>
      </c>
      <c r="B21" s="8" t="s">
        <v>104</v>
      </c>
      <c r="C21" s="8" t="s">
        <v>104</v>
      </c>
      <c r="D21" s="8" t="s">
        <v>80</v>
      </c>
      <c r="E21" s="8" t="s">
        <v>80</v>
      </c>
      <c r="F21" s="9" t="n">
        <v>10053.29</v>
      </c>
      <c r="G21" s="9" t="n">
        <v>10053.29</v>
      </c>
      <c r="H21" s="9" t="n">
        <f aca="false">N(F21)-N(G21)</f>
        <v>0</v>
      </c>
      <c r="I21" s="8" t="s">
        <v>105</v>
      </c>
      <c r="J21" s="8" t="s">
        <v>105</v>
      </c>
      <c r="K21" s="8" t="s">
        <v>41</v>
      </c>
      <c r="L21" s="8" t="s">
        <v>41</v>
      </c>
      <c r="M21" s="8"/>
      <c r="N21" s="8"/>
      <c r="O21" s="8" t="s">
        <v>42</v>
      </c>
    </row>
    <row r="22" customFormat="false" ht="15" hidden="false" customHeight="false" outlineLevel="0" collapsed="false">
      <c r="A22" s="8" t="s">
        <v>106</v>
      </c>
      <c r="B22" s="8" t="s">
        <v>104</v>
      </c>
      <c r="C22" s="8" t="s">
        <v>104</v>
      </c>
      <c r="D22" s="8" t="s">
        <v>107</v>
      </c>
      <c r="E22" s="8" t="s">
        <v>107</v>
      </c>
      <c r="F22" s="9" t="n">
        <v>66897</v>
      </c>
      <c r="G22" s="9" t="n">
        <v>66897</v>
      </c>
      <c r="H22" s="9" t="n">
        <f aca="false">N(F22)-N(G22)</f>
        <v>0</v>
      </c>
      <c r="I22" s="8" t="s">
        <v>108</v>
      </c>
      <c r="J22" s="8" t="s">
        <v>108</v>
      </c>
      <c r="K22" s="8" t="s">
        <v>41</v>
      </c>
      <c r="L22" s="8" t="s">
        <v>41</v>
      </c>
      <c r="M22" s="8"/>
      <c r="N22" s="8"/>
      <c r="O22" s="8" t="s">
        <v>42</v>
      </c>
    </row>
    <row r="23" customFormat="false" ht="15" hidden="false" customHeight="false" outlineLevel="0" collapsed="false">
      <c r="A23" s="8" t="s">
        <v>109</v>
      </c>
      <c r="B23" s="8" t="s">
        <v>104</v>
      </c>
      <c r="C23" s="8" t="s">
        <v>104</v>
      </c>
      <c r="D23" s="8" t="s">
        <v>107</v>
      </c>
      <c r="E23" s="8" t="s">
        <v>107</v>
      </c>
      <c r="F23" s="9" t="n">
        <v>478794</v>
      </c>
      <c r="G23" s="9" t="n">
        <v>478794</v>
      </c>
      <c r="H23" s="9" t="n">
        <f aca="false">N(F23)-N(G23)</f>
        <v>0</v>
      </c>
      <c r="I23" s="8" t="s">
        <v>110</v>
      </c>
      <c r="J23" s="8" t="s">
        <v>110</v>
      </c>
      <c r="K23" s="8" t="s">
        <v>41</v>
      </c>
      <c r="L23" s="8" t="s">
        <v>41</v>
      </c>
      <c r="M23" s="8"/>
      <c r="N23" s="8"/>
      <c r="O23" s="8" t="s">
        <v>42</v>
      </c>
    </row>
    <row r="24" customFormat="false" ht="15" hidden="false" customHeight="false" outlineLevel="0" collapsed="false">
      <c r="A24" s="8" t="s">
        <v>111</v>
      </c>
      <c r="B24" s="8" t="s">
        <v>104</v>
      </c>
      <c r="C24" s="8" t="s">
        <v>104</v>
      </c>
      <c r="D24" s="8" t="s">
        <v>107</v>
      </c>
      <c r="E24" s="8" t="s">
        <v>107</v>
      </c>
      <c r="F24" s="9" t="n">
        <v>159598</v>
      </c>
      <c r="G24" s="9" t="n">
        <v>159598</v>
      </c>
      <c r="H24" s="9" t="n">
        <f aca="false">N(F24)-N(G24)</f>
        <v>0</v>
      </c>
      <c r="I24" s="8" t="s">
        <v>112</v>
      </c>
      <c r="J24" s="8" t="s">
        <v>112</v>
      </c>
      <c r="K24" s="8" t="s">
        <v>41</v>
      </c>
      <c r="L24" s="8" t="s">
        <v>41</v>
      </c>
      <c r="M24" s="8"/>
      <c r="N24" s="8"/>
      <c r="O24" s="8" t="s">
        <v>42</v>
      </c>
    </row>
    <row r="25" customFormat="false" ht="15" hidden="false" customHeight="false" outlineLevel="0" collapsed="false">
      <c r="A25" s="8" t="s">
        <v>113</v>
      </c>
      <c r="B25" s="8" t="s">
        <v>104</v>
      </c>
      <c r="C25" s="8" t="s">
        <v>104</v>
      </c>
      <c r="D25" s="8" t="s">
        <v>107</v>
      </c>
      <c r="E25" s="8" t="s">
        <v>107</v>
      </c>
      <c r="F25" s="9" t="n">
        <v>70499</v>
      </c>
      <c r="G25" s="9" t="n">
        <v>70499</v>
      </c>
      <c r="H25" s="9" t="n">
        <f aca="false">N(F25)-N(G25)</f>
        <v>0</v>
      </c>
      <c r="I25" s="8" t="s">
        <v>114</v>
      </c>
      <c r="J25" s="8" t="s">
        <v>114</v>
      </c>
      <c r="K25" s="8" t="s">
        <v>41</v>
      </c>
      <c r="L25" s="8" t="s">
        <v>41</v>
      </c>
      <c r="M25" s="8"/>
      <c r="N25" s="8"/>
      <c r="O25" s="8" t="s">
        <v>42</v>
      </c>
    </row>
    <row r="26" customFormat="false" ht="15" hidden="false" customHeight="false" outlineLevel="0" collapsed="false">
      <c r="A26" s="12" t="s">
        <v>115</v>
      </c>
      <c r="B26" s="12" t="s">
        <v>104</v>
      </c>
      <c r="C26" s="12"/>
      <c r="D26" s="12" t="s">
        <v>116</v>
      </c>
      <c r="E26" s="12"/>
      <c r="F26" s="13" t="n">
        <v>17995.23</v>
      </c>
      <c r="G26" s="12"/>
      <c r="H26" s="13" t="n">
        <f aca="false">N(F26)-N(G26)</f>
        <v>17995.23</v>
      </c>
      <c r="I26" s="12" t="s">
        <v>117</v>
      </c>
      <c r="J26" s="12"/>
      <c r="K26" s="12" t="s">
        <v>41</v>
      </c>
      <c r="L26" s="12"/>
      <c r="M26" s="12" t="s">
        <v>118</v>
      </c>
      <c r="N26" s="12"/>
      <c r="O26" s="12" t="s">
        <v>119</v>
      </c>
    </row>
    <row r="27" customFormat="false" ht="15" hidden="false" customHeight="false" outlineLevel="0" collapsed="false">
      <c r="A27" s="10" t="s">
        <v>120</v>
      </c>
      <c r="B27" s="10" t="s">
        <v>104</v>
      </c>
      <c r="C27" s="10" t="s">
        <v>104</v>
      </c>
      <c r="D27" s="10" t="s">
        <v>107</v>
      </c>
      <c r="E27" s="10" t="s">
        <v>107</v>
      </c>
      <c r="F27" s="11" t="n">
        <v>159598</v>
      </c>
      <c r="G27" s="11" t="n">
        <v>159598</v>
      </c>
      <c r="H27" s="11" t="n">
        <f aca="false">N(F27)-N(G27)</f>
        <v>0</v>
      </c>
      <c r="I27" s="10" t="s">
        <v>121</v>
      </c>
      <c r="J27" s="10" t="s">
        <v>121</v>
      </c>
      <c r="K27" s="10" t="s">
        <v>41</v>
      </c>
      <c r="L27" s="10" t="s">
        <v>41</v>
      </c>
      <c r="M27" s="10" t="s">
        <v>122</v>
      </c>
      <c r="N27" s="10"/>
      <c r="O27" s="10" t="s">
        <v>123</v>
      </c>
    </row>
    <row r="28" customFormat="false" ht="15" hidden="false" customHeight="false" outlineLevel="0" collapsed="false">
      <c r="A28" s="8" t="s">
        <v>124</v>
      </c>
      <c r="B28" s="8" t="s">
        <v>104</v>
      </c>
      <c r="C28" s="8" t="s">
        <v>104</v>
      </c>
      <c r="D28" s="8" t="s">
        <v>125</v>
      </c>
      <c r="E28" s="8" t="s">
        <v>125</v>
      </c>
      <c r="F28" s="9" t="n">
        <v>70914.85</v>
      </c>
      <c r="G28" s="9" t="n">
        <v>70914.85</v>
      </c>
      <c r="H28" s="9" t="n">
        <f aca="false">N(F28)-N(G28)</f>
        <v>0</v>
      </c>
      <c r="I28" s="8" t="s">
        <v>126</v>
      </c>
      <c r="J28" s="8" t="s">
        <v>126</v>
      </c>
      <c r="K28" s="8" t="s">
        <v>41</v>
      </c>
      <c r="L28" s="8" t="s">
        <v>41</v>
      </c>
      <c r="M28" s="8"/>
      <c r="N28" s="8"/>
      <c r="O28" s="8" t="s">
        <v>42</v>
      </c>
    </row>
    <row r="29" customFormat="false" ht="15" hidden="false" customHeight="false" outlineLevel="0" collapsed="false">
      <c r="A29" s="8" t="s">
        <v>127</v>
      </c>
      <c r="B29" s="8" t="s">
        <v>104</v>
      </c>
      <c r="C29" s="8" t="s">
        <v>104</v>
      </c>
      <c r="D29" s="8" t="s">
        <v>60</v>
      </c>
      <c r="E29" s="8" t="s">
        <v>60</v>
      </c>
      <c r="F29" s="9" t="n">
        <v>152682.69</v>
      </c>
      <c r="G29" s="9" t="n">
        <v>152682.69</v>
      </c>
      <c r="H29" s="9" t="n">
        <f aca="false">N(F29)-N(G29)</f>
        <v>0</v>
      </c>
      <c r="I29" s="8" t="s">
        <v>128</v>
      </c>
      <c r="J29" s="8" t="s">
        <v>128</v>
      </c>
      <c r="K29" s="8" t="s">
        <v>41</v>
      </c>
      <c r="L29" s="8" t="s">
        <v>41</v>
      </c>
      <c r="M29" s="8"/>
      <c r="N29" s="8"/>
      <c r="O29" s="8" t="s">
        <v>42</v>
      </c>
    </row>
    <row r="30" customFormat="false" ht="15" hidden="false" customHeight="false" outlineLevel="0" collapsed="false">
      <c r="A30" s="8" t="s">
        <v>129</v>
      </c>
      <c r="B30" s="8" t="s">
        <v>104</v>
      </c>
      <c r="C30" s="8" t="s">
        <v>104</v>
      </c>
      <c r="D30" s="8" t="s">
        <v>60</v>
      </c>
      <c r="E30" s="8" t="s">
        <v>60</v>
      </c>
      <c r="F30" s="9" t="n">
        <v>93451</v>
      </c>
      <c r="G30" s="9" t="n">
        <v>93451</v>
      </c>
      <c r="H30" s="9" t="n">
        <f aca="false">N(F30)-N(G30)</f>
        <v>0</v>
      </c>
      <c r="I30" s="8" t="s">
        <v>130</v>
      </c>
      <c r="J30" s="8" t="s">
        <v>130</v>
      </c>
      <c r="K30" s="8" t="s">
        <v>41</v>
      </c>
      <c r="L30" s="8" t="s">
        <v>41</v>
      </c>
      <c r="M30" s="8"/>
      <c r="N30" s="8"/>
      <c r="O30" s="8" t="s">
        <v>42</v>
      </c>
    </row>
    <row r="31" customFormat="false" ht="15" hidden="false" customHeight="false" outlineLevel="0" collapsed="false">
      <c r="A31" s="8" t="s">
        <v>131</v>
      </c>
      <c r="B31" s="8" t="s">
        <v>104</v>
      </c>
      <c r="C31" s="8" t="s">
        <v>104</v>
      </c>
      <c r="D31" s="8" t="s">
        <v>80</v>
      </c>
      <c r="E31" s="8" t="s">
        <v>80</v>
      </c>
      <c r="F31" s="9" t="n">
        <v>48424.64</v>
      </c>
      <c r="G31" s="9" t="n">
        <v>48424.64</v>
      </c>
      <c r="H31" s="9" t="n">
        <f aca="false">N(F31)-N(G31)</f>
        <v>0</v>
      </c>
      <c r="I31" s="8" t="s">
        <v>132</v>
      </c>
      <c r="J31" s="8" t="s">
        <v>132</v>
      </c>
      <c r="K31" s="8" t="s">
        <v>41</v>
      </c>
      <c r="L31" s="8" t="s">
        <v>41</v>
      </c>
      <c r="M31" s="8"/>
      <c r="N31" s="8"/>
      <c r="O31" s="8" t="s">
        <v>42</v>
      </c>
    </row>
    <row r="32" customFormat="false" ht="15" hidden="false" customHeight="false" outlineLevel="0" collapsed="false">
      <c r="A32" s="8" t="s">
        <v>133</v>
      </c>
      <c r="B32" s="8" t="s">
        <v>104</v>
      </c>
      <c r="C32" s="8" t="s">
        <v>104</v>
      </c>
      <c r="D32" s="8" t="s">
        <v>60</v>
      </c>
      <c r="E32" s="8" t="s">
        <v>60</v>
      </c>
      <c r="F32" s="9" t="n">
        <v>131344.47</v>
      </c>
      <c r="G32" s="9" t="n">
        <v>131344.47</v>
      </c>
      <c r="H32" s="9" t="n">
        <f aca="false">N(F32)-N(G32)</f>
        <v>0</v>
      </c>
      <c r="I32" s="8" t="s">
        <v>134</v>
      </c>
      <c r="J32" s="8" t="s">
        <v>134</v>
      </c>
      <c r="K32" s="8" t="s">
        <v>41</v>
      </c>
      <c r="L32" s="8" t="s">
        <v>41</v>
      </c>
      <c r="M32" s="8"/>
      <c r="N32" s="8"/>
      <c r="O32" s="8" t="s">
        <v>42</v>
      </c>
    </row>
    <row r="33" customFormat="false" ht="15" hidden="false" customHeight="false" outlineLevel="0" collapsed="false">
      <c r="A33" s="8" t="s">
        <v>135</v>
      </c>
      <c r="B33" s="8" t="s">
        <v>104</v>
      </c>
      <c r="C33" s="8" t="s">
        <v>104</v>
      </c>
      <c r="D33" s="8" t="s">
        <v>136</v>
      </c>
      <c r="E33" s="8" t="s">
        <v>136</v>
      </c>
      <c r="F33" s="9" t="n">
        <v>19002.08</v>
      </c>
      <c r="G33" s="9" t="n">
        <v>19002.08</v>
      </c>
      <c r="H33" s="9" t="n">
        <f aca="false">N(F33)-N(G33)</f>
        <v>0</v>
      </c>
      <c r="I33" s="8" t="s">
        <v>137</v>
      </c>
      <c r="J33" s="8" t="s">
        <v>137</v>
      </c>
      <c r="K33" s="8" t="s">
        <v>41</v>
      </c>
      <c r="L33" s="8" t="s">
        <v>41</v>
      </c>
      <c r="M33" s="8"/>
      <c r="N33" s="8"/>
      <c r="O33" s="8" t="s">
        <v>42</v>
      </c>
    </row>
    <row r="34" customFormat="false" ht="15" hidden="false" customHeight="false" outlineLevel="0" collapsed="false">
      <c r="A34" s="8" t="s">
        <v>138</v>
      </c>
      <c r="B34" s="8" t="s">
        <v>139</v>
      </c>
      <c r="C34" s="8" t="s">
        <v>139</v>
      </c>
      <c r="D34" s="8" t="s">
        <v>60</v>
      </c>
      <c r="E34" s="8" t="s">
        <v>60</v>
      </c>
      <c r="F34" s="9" t="n">
        <v>32944.47</v>
      </c>
      <c r="G34" s="9" t="n">
        <v>32944.47</v>
      </c>
      <c r="H34" s="9" t="n">
        <f aca="false">N(F34)-N(G34)</f>
        <v>0</v>
      </c>
      <c r="I34" s="8" t="s">
        <v>140</v>
      </c>
      <c r="J34" s="8" t="s">
        <v>140</v>
      </c>
      <c r="K34" s="8" t="s">
        <v>41</v>
      </c>
      <c r="L34" s="8" t="s">
        <v>41</v>
      </c>
      <c r="M34" s="8"/>
      <c r="N34" s="8"/>
      <c r="O34" s="8" t="s">
        <v>42</v>
      </c>
    </row>
    <row r="35" customFormat="false" ht="15" hidden="false" customHeight="false" outlineLevel="0" collapsed="false">
      <c r="A35" s="8" t="s">
        <v>141</v>
      </c>
      <c r="B35" s="8" t="s">
        <v>142</v>
      </c>
      <c r="C35" s="8" t="s">
        <v>142</v>
      </c>
      <c r="D35" s="8" t="s">
        <v>56</v>
      </c>
      <c r="E35" s="8" t="s">
        <v>56</v>
      </c>
      <c r="F35" s="9" t="n">
        <v>3992</v>
      </c>
      <c r="G35" s="9" t="n">
        <v>3992</v>
      </c>
      <c r="H35" s="9" t="n">
        <f aca="false">N(F35)-N(G35)</f>
        <v>0</v>
      </c>
      <c r="I35" s="8" t="s">
        <v>143</v>
      </c>
      <c r="J35" s="8" t="s">
        <v>143</v>
      </c>
      <c r="K35" s="8" t="s">
        <v>41</v>
      </c>
      <c r="L35" s="8"/>
      <c r="M35" s="8"/>
      <c r="N35" s="8"/>
      <c r="O35" s="8" t="s">
        <v>42</v>
      </c>
    </row>
    <row r="36" customFormat="false" ht="15" hidden="false" customHeight="false" outlineLevel="0" collapsed="false">
      <c r="A36" s="8" t="s">
        <v>144</v>
      </c>
      <c r="B36" s="8" t="s">
        <v>145</v>
      </c>
      <c r="C36" s="8" t="s">
        <v>145</v>
      </c>
      <c r="D36" s="8" t="s">
        <v>146</v>
      </c>
      <c r="E36" s="8" t="s">
        <v>146</v>
      </c>
      <c r="F36" s="9" t="n">
        <v>309364</v>
      </c>
      <c r="G36" s="9" t="n">
        <v>309364</v>
      </c>
      <c r="H36" s="9" t="n">
        <f aca="false">N(F36)-N(G36)</f>
        <v>0</v>
      </c>
      <c r="I36" s="8" t="s">
        <v>147</v>
      </c>
      <c r="J36" s="8" t="s">
        <v>147</v>
      </c>
      <c r="K36" s="8" t="s">
        <v>41</v>
      </c>
      <c r="L36" s="8" t="s">
        <v>41</v>
      </c>
      <c r="M36" s="8"/>
      <c r="N36" s="8"/>
      <c r="O36" s="8" t="s">
        <v>42</v>
      </c>
    </row>
    <row r="37" customFormat="false" ht="15" hidden="false" customHeight="false" outlineLevel="0" collapsed="false">
      <c r="A37" s="8" t="s">
        <v>148</v>
      </c>
      <c r="B37" s="8" t="s">
        <v>149</v>
      </c>
      <c r="C37" s="8" t="s">
        <v>149</v>
      </c>
      <c r="D37" s="8" t="s">
        <v>101</v>
      </c>
      <c r="E37" s="8" t="s">
        <v>101</v>
      </c>
      <c r="F37" s="9" t="n">
        <v>68662.23</v>
      </c>
      <c r="G37" s="9" t="n">
        <v>68662.23</v>
      </c>
      <c r="H37" s="9" t="n">
        <f aca="false">N(F37)-N(G37)</f>
        <v>0</v>
      </c>
      <c r="I37" s="8" t="s">
        <v>150</v>
      </c>
      <c r="J37" s="8" t="s">
        <v>150</v>
      </c>
      <c r="K37" s="8" t="s">
        <v>41</v>
      </c>
      <c r="L37" s="8" t="s">
        <v>41</v>
      </c>
      <c r="M37" s="8"/>
      <c r="N37" s="8"/>
      <c r="O37" s="8" t="s">
        <v>42</v>
      </c>
    </row>
    <row r="38" customFormat="false" ht="15" hidden="false" customHeight="false" outlineLevel="0" collapsed="false">
      <c r="A38" s="8" t="s">
        <v>151</v>
      </c>
      <c r="B38" s="8" t="s">
        <v>149</v>
      </c>
      <c r="C38" s="8" t="s">
        <v>149</v>
      </c>
      <c r="D38" s="8" t="s">
        <v>101</v>
      </c>
      <c r="E38" s="8" t="s">
        <v>101</v>
      </c>
      <c r="F38" s="9" t="n">
        <v>441560.23</v>
      </c>
      <c r="G38" s="9" t="n">
        <v>441560.23</v>
      </c>
      <c r="H38" s="9" t="n">
        <f aca="false">N(F38)-N(G38)</f>
        <v>0</v>
      </c>
      <c r="I38" s="8" t="s">
        <v>152</v>
      </c>
      <c r="J38" s="8" t="s">
        <v>152</v>
      </c>
      <c r="K38" s="8" t="s">
        <v>41</v>
      </c>
      <c r="L38" s="8" t="s">
        <v>41</v>
      </c>
      <c r="M38" s="8"/>
      <c r="N38" s="8"/>
      <c r="O38" s="8" t="s">
        <v>42</v>
      </c>
    </row>
    <row r="39" customFormat="false" ht="15" hidden="false" customHeight="false" outlineLevel="0" collapsed="false">
      <c r="A39" s="8" t="s">
        <v>153</v>
      </c>
      <c r="B39" s="8" t="s">
        <v>149</v>
      </c>
      <c r="C39" s="8" t="s">
        <v>149</v>
      </c>
      <c r="D39" s="8" t="s">
        <v>101</v>
      </c>
      <c r="E39" s="8" t="s">
        <v>101</v>
      </c>
      <c r="F39" s="9" t="n">
        <v>230376.9</v>
      </c>
      <c r="G39" s="9" t="n">
        <v>230376.9</v>
      </c>
      <c r="H39" s="9" t="n">
        <f aca="false">N(F39)-N(G39)</f>
        <v>0</v>
      </c>
      <c r="I39" s="8" t="s">
        <v>154</v>
      </c>
      <c r="J39" s="8" t="s">
        <v>154</v>
      </c>
      <c r="K39" s="8" t="s">
        <v>41</v>
      </c>
      <c r="L39" s="8" t="s">
        <v>41</v>
      </c>
      <c r="M39" s="8"/>
      <c r="N39" s="8"/>
      <c r="O39" s="8" t="s">
        <v>42</v>
      </c>
    </row>
    <row r="40" customFormat="false" ht="15" hidden="false" customHeight="false" outlineLevel="0" collapsed="false">
      <c r="A40" s="8" t="s">
        <v>155</v>
      </c>
      <c r="B40" s="8" t="s">
        <v>149</v>
      </c>
      <c r="C40" s="8" t="s">
        <v>149</v>
      </c>
      <c r="D40" s="8" t="s">
        <v>156</v>
      </c>
      <c r="E40" s="8" t="s">
        <v>156</v>
      </c>
      <c r="F40" s="9" t="n">
        <v>1687.1</v>
      </c>
      <c r="G40" s="9" t="n">
        <v>1687.1</v>
      </c>
      <c r="H40" s="9" t="n">
        <f aca="false">N(F40)-N(G40)</f>
        <v>0</v>
      </c>
      <c r="I40" s="8" t="s">
        <v>157</v>
      </c>
      <c r="J40" s="8" t="s">
        <v>157</v>
      </c>
      <c r="K40" s="8" t="s">
        <v>41</v>
      </c>
      <c r="L40" s="8"/>
      <c r="M40" s="8"/>
      <c r="N40" s="8"/>
      <c r="O40" s="8" t="s">
        <v>42</v>
      </c>
    </row>
    <row r="41" customFormat="false" ht="15" hidden="false" customHeight="false" outlineLevel="0" collapsed="false">
      <c r="A41" s="8" t="s">
        <v>158</v>
      </c>
      <c r="B41" s="8" t="s">
        <v>149</v>
      </c>
      <c r="C41" s="8" t="s">
        <v>149</v>
      </c>
      <c r="D41" s="8" t="s">
        <v>136</v>
      </c>
      <c r="E41" s="8" t="s">
        <v>136</v>
      </c>
      <c r="F41" s="9" t="n">
        <v>217395.29</v>
      </c>
      <c r="G41" s="9" t="n">
        <v>217395.29</v>
      </c>
      <c r="H41" s="9" t="n">
        <f aca="false">N(F41)-N(G41)</f>
        <v>0</v>
      </c>
      <c r="I41" s="8" t="s">
        <v>159</v>
      </c>
      <c r="J41" s="8" t="s">
        <v>159</v>
      </c>
      <c r="K41" s="8" t="s">
        <v>41</v>
      </c>
      <c r="L41" s="8" t="s">
        <v>41</v>
      </c>
      <c r="M41" s="8"/>
      <c r="N41" s="8"/>
      <c r="O41" s="8" t="s">
        <v>42</v>
      </c>
    </row>
    <row r="42" customFormat="false" ht="15" hidden="false" customHeight="false" outlineLevel="0" collapsed="false">
      <c r="A42" s="8" t="s">
        <v>160</v>
      </c>
      <c r="B42" s="8" t="s">
        <v>161</v>
      </c>
      <c r="C42" s="8" t="s">
        <v>161</v>
      </c>
      <c r="D42" s="8" t="s">
        <v>60</v>
      </c>
      <c r="E42" s="8" t="s">
        <v>60</v>
      </c>
      <c r="F42" s="9" t="n">
        <v>179447.52</v>
      </c>
      <c r="G42" s="9" t="n">
        <v>179447.52</v>
      </c>
      <c r="H42" s="9" t="n">
        <f aca="false">N(F42)-N(G42)</f>
        <v>0</v>
      </c>
      <c r="I42" s="8" t="s">
        <v>162</v>
      </c>
      <c r="J42" s="8" t="s">
        <v>162</v>
      </c>
      <c r="K42" s="8" t="s">
        <v>41</v>
      </c>
      <c r="L42" s="8" t="s">
        <v>41</v>
      </c>
      <c r="M42" s="8"/>
      <c r="N42" s="8"/>
      <c r="O42" s="8" t="s">
        <v>42</v>
      </c>
    </row>
    <row r="43" customFormat="false" ht="15" hidden="false" customHeight="false" outlineLevel="0" collapsed="false">
      <c r="A43" s="8" t="s">
        <v>163</v>
      </c>
      <c r="B43" s="8" t="s">
        <v>164</v>
      </c>
      <c r="C43" s="8" t="s">
        <v>164</v>
      </c>
      <c r="D43" s="8" t="s">
        <v>94</v>
      </c>
      <c r="E43" s="8" t="s">
        <v>94</v>
      </c>
      <c r="F43" s="9" t="n">
        <v>59590.73</v>
      </c>
      <c r="G43" s="9" t="n">
        <v>59590.73</v>
      </c>
      <c r="H43" s="9" t="n">
        <f aca="false">N(F43)-N(G43)</f>
        <v>0</v>
      </c>
      <c r="I43" s="8" t="s">
        <v>165</v>
      </c>
      <c r="J43" s="8" t="s">
        <v>165</v>
      </c>
      <c r="K43" s="8" t="s">
        <v>41</v>
      </c>
      <c r="L43" s="8" t="s">
        <v>41</v>
      </c>
      <c r="M43" s="8"/>
      <c r="N43" s="8"/>
      <c r="O43" s="8" t="s">
        <v>42</v>
      </c>
    </row>
    <row r="44" customFormat="false" ht="15" hidden="false" customHeight="false" outlineLevel="0" collapsed="false">
      <c r="A44" s="8" t="s">
        <v>166</v>
      </c>
      <c r="B44" s="8" t="s">
        <v>164</v>
      </c>
      <c r="C44" s="8" t="s">
        <v>164</v>
      </c>
      <c r="D44" s="8" t="s">
        <v>94</v>
      </c>
      <c r="E44" s="8" t="s">
        <v>94</v>
      </c>
      <c r="F44" s="9" t="n">
        <v>36228.21</v>
      </c>
      <c r="G44" s="9" t="n">
        <v>36228.21</v>
      </c>
      <c r="H44" s="9" t="n">
        <f aca="false">N(F44)-N(G44)</f>
        <v>0</v>
      </c>
      <c r="I44" s="8" t="s">
        <v>167</v>
      </c>
      <c r="J44" s="8" t="s">
        <v>167</v>
      </c>
      <c r="K44" s="8" t="s">
        <v>41</v>
      </c>
      <c r="L44" s="8" t="s">
        <v>41</v>
      </c>
      <c r="M44" s="8"/>
      <c r="N44" s="8"/>
      <c r="O44" s="8" t="s">
        <v>42</v>
      </c>
    </row>
    <row r="45" customFormat="false" ht="15" hidden="false" customHeight="false" outlineLevel="0" collapsed="false">
      <c r="A45" s="8" t="s">
        <v>168</v>
      </c>
      <c r="B45" s="8" t="s">
        <v>164</v>
      </c>
      <c r="C45" s="8" t="s">
        <v>164</v>
      </c>
      <c r="D45" s="8" t="s">
        <v>94</v>
      </c>
      <c r="E45" s="8" t="s">
        <v>94</v>
      </c>
      <c r="F45" s="9" t="n">
        <v>208199.42</v>
      </c>
      <c r="G45" s="9" t="n">
        <v>208199.42</v>
      </c>
      <c r="H45" s="9" t="n">
        <f aca="false">N(F45)-N(G45)</f>
        <v>0</v>
      </c>
      <c r="I45" s="8" t="s">
        <v>169</v>
      </c>
      <c r="J45" s="8" t="s">
        <v>169</v>
      </c>
      <c r="K45" s="8" t="s">
        <v>41</v>
      </c>
      <c r="L45" s="8" t="s">
        <v>41</v>
      </c>
      <c r="M45" s="8"/>
      <c r="N45" s="8"/>
      <c r="O45" s="8" t="s">
        <v>42</v>
      </c>
    </row>
    <row r="46" customFormat="false" ht="15" hidden="false" customHeight="false" outlineLevel="0" collapsed="false">
      <c r="A46" s="8" t="s">
        <v>170</v>
      </c>
      <c r="B46" s="8" t="s">
        <v>164</v>
      </c>
      <c r="C46" s="8" t="s">
        <v>164</v>
      </c>
      <c r="D46" s="8" t="s">
        <v>125</v>
      </c>
      <c r="E46" s="8" t="s">
        <v>125</v>
      </c>
      <c r="F46" s="9" t="n">
        <v>87657.23</v>
      </c>
      <c r="G46" s="9" t="n">
        <v>87657.23</v>
      </c>
      <c r="H46" s="9" t="n">
        <f aca="false">N(F46)-N(G46)</f>
        <v>0</v>
      </c>
      <c r="I46" s="8" t="s">
        <v>171</v>
      </c>
      <c r="J46" s="8" t="s">
        <v>171</v>
      </c>
      <c r="K46" s="8" t="s">
        <v>41</v>
      </c>
      <c r="L46" s="8" t="s">
        <v>41</v>
      </c>
      <c r="M46" s="8"/>
      <c r="N46" s="8"/>
      <c r="O46" s="8" t="s">
        <v>42</v>
      </c>
    </row>
    <row r="47" customFormat="false" ht="15" hidden="false" customHeight="false" outlineLevel="0" collapsed="false">
      <c r="A47" s="8" t="s">
        <v>172</v>
      </c>
      <c r="B47" s="8" t="s">
        <v>164</v>
      </c>
      <c r="C47" s="8" t="s">
        <v>164</v>
      </c>
      <c r="D47" s="8" t="s">
        <v>60</v>
      </c>
      <c r="E47" s="8" t="s">
        <v>60</v>
      </c>
      <c r="F47" s="9" t="n">
        <v>256534.02</v>
      </c>
      <c r="G47" s="9" t="n">
        <v>256534.02</v>
      </c>
      <c r="H47" s="9" t="n">
        <f aca="false">N(F47)-N(G47)</f>
        <v>0</v>
      </c>
      <c r="I47" s="8" t="s">
        <v>173</v>
      </c>
      <c r="J47" s="8" t="s">
        <v>173</v>
      </c>
      <c r="K47" s="8" t="s">
        <v>41</v>
      </c>
      <c r="L47" s="8" t="s">
        <v>41</v>
      </c>
      <c r="M47" s="8"/>
      <c r="N47" s="8"/>
      <c r="O47" s="8" t="s">
        <v>42</v>
      </c>
    </row>
    <row r="48" customFormat="false" ht="15" hidden="false" customHeight="false" outlineLevel="0" collapsed="false">
      <c r="A48" s="8" t="s">
        <v>174</v>
      </c>
      <c r="B48" s="8" t="s">
        <v>175</v>
      </c>
      <c r="C48" s="8" t="s">
        <v>175</v>
      </c>
      <c r="D48" s="8" t="s">
        <v>176</v>
      </c>
      <c r="E48" s="8" t="s">
        <v>176</v>
      </c>
      <c r="F48" s="9" t="n">
        <v>3492705</v>
      </c>
      <c r="G48" s="9" t="n">
        <v>3492705</v>
      </c>
      <c r="H48" s="9" t="n">
        <f aca="false">N(F48)-N(G48)</f>
        <v>0</v>
      </c>
      <c r="I48" s="8" t="s">
        <v>177</v>
      </c>
      <c r="J48" s="8" t="s">
        <v>177</v>
      </c>
      <c r="K48" s="8" t="s">
        <v>41</v>
      </c>
      <c r="L48" s="8" t="s">
        <v>41</v>
      </c>
      <c r="M48" s="8"/>
      <c r="N48" s="8"/>
      <c r="O48" s="8" t="s">
        <v>42</v>
      </c>
    </row>
    <row r="49" customFormat="false" ht="15" hidden="false" customHeight="false" outlineLevel="0" collapsed="false">
      <c r="A49" s="8" t="s">
        <v>178</v>
      </c>
      <c r="B49" s="8" t="s">
        <v>175</v>
      </c>
      <c r="C49" s="8" t="s">
        <v>175</v>
      </c>
      <c r="D49" s="8" t="s">
        <v>56</v>
      </c>
      <c r="E49" s="8" t="s">
        <v>56</v>
      </c>
      <c r="F49" s="9" t="n">
        <v>285</v>
      </c>
      <c r="G49" s="9" t="n">
        <v>285</v>
      </c>
      <c r="H49" s="9" t="n">
        <f aca="false">N(F49)-N(G49)</f>
        <v>0</v>
      </c>
      <c r="I49" s="8" t="s">
        <v>179</v>
      </c>
      <c r="J49" s="8" t="s">
        <v>179</v>
      </c>
      <c r="K49" s="8" t="s">
        <v>41</v>
      </c>
      <c r="L49" s="8"/>
      <c r="M49" s="8"/>
      <c r="N49" s="8"/>
      <c r="O49" s="8" t="s">
        <v>42</v>
      </c>
    </row>
    <row r="50" customFormat="false" ht="15" hidden="false" customHeight="false" outlineLevel="0" collapsed="false">
      <c r="A50" s="8" t="s">
        <v>180</v>
      </c>
      <c r="B50" s="8" t="s">
        <v>181</v>
      </c>
      <c r="C50" s="8" t="s">
        <v>181</v>
      </c>
      <c r="D50" s="8" t="s">
        <v>101</v>
      </c>
      <c r="E50" s="8" t="s">
        <v>101</v>
      </c>
      <c r="F50" s="9" t="n">
        <v>29450.37</v>
      </c>
      <c r="G50" s="9" t="n">
        <v>29450.37</v>
      </c>
      <c r="H50" s="9" t="n">
        <f aca="false">N(F50)-N(G50)</f>
        <v>0</v>
      </c>
      <c r="I50" s="8" t="s">
        <v>182</v>
      </c>
      <c r="J50" s="8" t="s">
        <v>182</v>
      </c>
      <c r="K50" s="8" t="s">
        <v>41</v>
      </c>
      <c r="L50" s="8" t="s">
        <v>41</v>
      </c>
      <c r="M50" s="8"/>
      <c r="N50" s="8"/>
      <c r="O50" s="8" t="s">
        <v>42</v>
      </c>
    </row>
    <row r="51" customFormat="false" ht="15" hidden="false" customHeight="false" outlineLevel="0" collapsed="false">
      <c r="A51" s="8" t="s">
        <v>183</v>
      </c>
      <c r="B51" s="8" t="s">
        <v>181</v>
      </c>
      <c r="C51" s="8" t="s">
        <v>181</v>
      </c>
      <c r="D51" s="8" t="s">
        <v>56</v>
      </c>
      <c r="E51" s="8" t="s">
        <v>56</v>
      </c>
      <c r="F51" s="9" t="n">
        <v>11116</v>
      </c>
      <c r="G51" s="9" t="n">
        <v>11116</v>
      </c>
      <c r="H51" s="9" t="n">
        <f aca="false">N(F51)-N(G51)</f>
        <v>0</v>
      </c>
      <c r="I51" s="8" t="s">
        <v>184</v>
      </c>
      <c r="J51" s="8" t="s">
        <v>184</v>
      </c>
      <c r="K51" s="8" t="s">
        <v>41</v>
      </c>
      <c r="L51" s="8"/>
      <c r="M51" s="8"/>
      <c r="N51" s="8"/>
      <c r="O51" s="8" t="s">
        <v>42</v>
      </c>
    </row>
    <row r="52" customFormat="false" ht="15" hidden="false" customHeight="false" outlineLevel="0" collapsed="false">
      <c r="A52" s="8" t="s">
        <v>185</v>
      </c>
      <c r="B52" s="8" t="s">
        <v>186</v>
      </c>
      <c r="C52" s="8" t="s">
        <v>186</v>
      </c>
      <c r="D52" s="8" t="s">
        <v>187</v>
      </c>
      <c r="E52" s="8" t="s">
        <v>187</v>
      </c>
      <c r="F52" s="9" t="n">
        <v>27826.29</v>
      </c>
      <c r="G52" s="9" t="n">
        <v>27826.29</v>
      </c>
      <c r="H52" s="9" t="n">
        <f aca="false">N(F52)-N(G52)</f>
        <v>0</v>
      </c>
      <c r="I52" s="8" t="s">
        <v>188</v>
      </c>
      <c r="J52" s="8" t="s">
        <v>188</v>
      </c>
      <c r="K52" s="8" t="s">
        <v>41</v>
      </c>
      <c r="L52" s="8"/>
      <c r="M52" s="8"/>
      <c r="N52" s="8"/>
      <c r="O52" s="8" t="s">
        <v>42</v>
      </c>
    </row>
    <row r="53" customFormat="false" ht="15" hidden="false" customHeight="false" outlineLevel="0" collapsed="false">
      <c r="A53" s="8" t="s">
        <v>189</v>
      </c>
      <c r="B53" s="8" t="s">
        <v>186</v>
      </c>
      <c r="C53" s="8" t="s">
        <v>186</v>
      </c>
      <c r="D53" s="8" t="s">
        <v>56</v>
      </c>
      <c r="E53" s="8" t="s">
        <v>56</v>
      </c>
      <c r="F53" s="9" t="n">
        <v>1554</v>
      </c>
      <c r="G53" s="9" t="n">
        <v>1554</v>
      </c>
      <c r="H53" s="9" t="n">
        <f aca="false">N(F53)-N(G53)</f>
        <v>0</v>
      </c>
      <c r="I53" s="8" t="s">
        <v>190</v>
      </c>
      <c r="J53" s="8" t="s">
        <v>190</v>
      </c>
      <c r="K53" s="8" t="s">
        <v>41</v>
      </c>
      <c r="L53" s="8"/>
      <c r="M53" s="8"/>
      <c r="N53" s="8"/>
      <c r="O53" s="8" t="s">
        <v>42</v>
      </c>
    </row>
    <row r="54" customFormat="false" ht="15" hidden="false" customHeight="false" outlineLevel="0" collapsed="false">
      <c r="A54" s="8" t="s">
        <v>191</v>
      </c>
      <c r="B54" s="8" t="s">
        <v>186</v>
      </c>
      <c r="C54" s="8" t="s">
        <v>186</v>
      </c>
      <c r="D54" s="8" t="s">
        <v>192</v>
      </c>
      <c r="E54" s="8" t="s">
        <v>192</v>
      </c>
      <c r="F54" s="9" t="n">
        <v>44737.29</v>
      </c>
      <c r="G54" s="9" t="n">
        <v>44737.29</v>
      </c>
      <c r="H54" s="9" t="n">
        <f aca="false">N(F54)-N(G54)</f>
        <v>0</v>
      </c>
      <c r="I54" s="8" t="s">
        <v>193</v>
      </c>
      <c r="J54" s="8" t="s">
        <v>193</v>
      </c>
      <c r="K54" s="8" t="s">
        <v>41</v>
      </c>
      <c r="L54" s="8" t="s">
        <v>41</v>
      </c>
      <c r="M54" s="8"/>
      <c r="N54" s="8"/>
      <c r="O54" s="8" t="s">
        <v>42</v>
      </c>
    </row>
    <row r="55" customFormat="false" ht="15" hidden="false" customHeight="false" outlineLevel="0" collapsed="false">
      <c r="A55" s="8" t="s">
        <v>194</v>
      </c>
      <c r="B55" s="8" t="s">
        <v>186</v>
      </c>
      <c r="C55" s="8" t="s">
        <v>186</v>
      </c>
      <c r="D55" s="8" t="s">
        <v>192</v>
      </c>
      <c r="E55" s="8" t="s">
        <v>192</v>
      </c>
      <c r="F55" s="9" t="n">
        <v>671.06</v>
      </c>
      <c r="G55" s="9" t="n">
        <v>671.06</v>
      </c>
      <c r="H55" s="9" t="n">
        <f aca="false">N(F55)-N(G55)</f>
        <v>0</v>
      </c>
      <c r="I55" s="8" t="s">
        <v>195</v>
      </c>
      <c r="J55" s="8" t="s">
        <v>195</v>
      </c>
      <c r="K55" s="8" t="s">
        <v>41</v>
      </c>
      <c r="L55" s="8"/>
      <c r="M55" s="8"/>
      <c r="N55" s="8"/>
      <c r="O55" s="8" t="s">
        <v>42</v>
      </c>
    </row>
    <row r="56" customFormat="false" ht="15" hidden="false" customHeight="false" outlineLevel="0" collapsed="false">
      <c r="A56" s="8" t="s">
        <v>196</v>
      </c>
      <c r="B56" s="8" t="s">
        <v>186</v>
      </c>
      <c r="C56" s="8" t="s">
        <v>186</v>
      </c>
      <c r="D56" s="8" t="s">
        <v>39</v>
      </c>
      <c r="E56" s="8" t="s">
        <v>39</v>
      </c>
      <c r="F56" s="9" t="n">
        <v>73200</v>
      </c>
      <c r="G56" s="9" t="n">
        <v>73200</v>
      </c>
      <c r="H56" s="9" t="n">
        <f aca="false">N(F56)-N(G56)</f>
        <v>0</v>
      </c>
      <c r="I56" s="8" t="s">
        <v>197</v>
      </c>
      <c r="J56" s="8" t="s">
        <v>197</v>
      </c>
      <c r="K56" s="8" t="s">
        <v>41</v>
      </c>
      <c r="L56" s="8"/>
      <c r="M56" s="8"/>
      <c r="N56" s="8"/>
      <c r="O56" s="8" t="s">
        <v>42</v>
      </c>
    </row>
    <row r="57" customFormat="false" ht="15" hidden="false" customHeight="false" outlineLevel="0" collapsed="false">
      <c r="A57" s="8" t="s">
        <v>198</v>
      </c>
      <c r="B57" s="8" t="s">
        <v>186</v>
      </c>
      <c r="C57" s="8" t="s">
        <v>186</v>
      </c>
      <c r="D57" s="8" t="s">
        <v>39</v>
      </c>
      <c r="E57" s="8" t="s">
        <v>39</v>
      </c>
      <c r="F57" s="9" t="n">
        <v>16901.29</v>
      </c>
      <c r="G57" s="9" t="n">
        <v>16901.29</v>
      </c>
      <c r="H57" s="9" t="n">
        <f aca="false">N(F57)-N(G57)</f>
        <v>0</v>
      </c>
      <c r="I57" s="8" t="s">
        <v>199</v>
      </c>
      <c r="J57" s="8" t="s">
        <v>199</v>
      </c>
      <c r="K57" s="8" t="s">
        <v>41</v>
      </c>
      <c r="L57" s="8"/>
      <c r="M57" s="8"/>
      <c r="N57" s="8"/>
      <c r="O57" s="8" t="s">
        <v>42</v>
      </c>
    </row>
    <row r="58" customFormat="false" ht="15" hidden="false" customHeight="false" outlineLevel="0" collapsed="false">
      <c r="A58" s="8" t="s">
        <v>200</v>
      </c>
      <c r="B58" s="8" t="s">
        <v>201</v>
      </c>
      <c r="C58" s="8" t="s">
        <v>201</v>
      </c>
      <c r="D58" s="8" t="s">
        <v>101</v>
      </c>
      <c r="E58" s="8" t="s">
        <v>101</v>
      </c>
      <c r="F58" s="9" t="n">
        <v>7469.59</v>
      </c>
      <c r="G58" s="9" t="n">
        <v>7469.59</v>
      </c>
      <c r="H58" s="9" t="n">
        <f aca="false">N(F58)-N(G58)</f>
        <v>0</v>
      </c>
      <c r="I58" s="8" t="s">
        <v>202</v>
      </c>
      <c r="J58" s="8" t="s">
        <v>202</v>
      </c>
      <c r="K58" s="8" t="s">
        <v>41</v>
      </c>
      <c r="L58" s="8" t="s">
        <v>41</v>
      </c>
      <c r="M58" s="8"/>
      <c r="N58" s="8"/>
      <c r="O58" s="8" t="s">
        <v>42</v>
      </c>
    </row>
    <row r="59" customFormat="false" ht="15" hidden="false" customHeight="false" outlineLevel="0" collapsed="false">
      <c r="A59" s="10" t="s">
        <v>203</v>
      </c>
      <c r="B59" s="10" t="s">
        <v>204</v>
      </c>
      <c r="C59" s="10" t="s">
        <v>205</v>
      </c>
      <c r="D59" s="10" t="s">
        <v>60</v>
      </c>
      <c r="E59" s="10" t="s">
        <v>60</v>
      </c>
      <c r="F59" s="11" t="n">
        <v>1174912.09</v>
      </c>
      <c r="G59" s="11" t="n">
        <v>1174912.09</v>
      </c>
      <c r="H59" s="11" t="n">
        <f aca="false">N(F59)-N(G59)</f>
        <v>0</v>
      </c>
      <c r="I59" s="10" t="s">
        <v>206</v>
      </c>
      <c r="J59" s="10" t="s">
        <v>206</v>
      </c>
      <c r="K59" s="10" t="s">
        <v>41</v>
      </c>
      <c r="L59" s="10" t="s">
        <v>41</v>
      </c>
      <c r="M59" s="10" t="s">
        <v>207</v>
      </c>
      <c r="N59" s="10" t="s">
        <v>208</v>
      </c>
      <c r="O59" s="10" t="s">
        <v>209</v>
      </c>
    </row>
    <row r="60" customFormat="false" ht="15" hidden="false" customHeight="false" outlineLevel="0" collapsed="false">
      <c r="A60" s="8" t="s">
        <v>210</v>
      </c>
      <c r="B60" s="8" t="s">
        <v>211</v>
      </c>
      <c r="C60" s="8" t="s">
        <v>211</v>
      </c>
      <c r="D60" s="8" t="s">
        <v>156</v>
      </c>
      <c r="E60" s="8" t="s">
        <v>156</v>
      </c>
      <c r="F60" s="9" t="n">
        <v>53807.01</v>
      </c>
      <c r="G60" s="9" t="n">
        <v>53807.01</v>
      </c>
      <c r="H60" s="9" t="n">
        <f aca="false">N(F60)-N(G60)</f>
        <v>0</v>
      </c>
      <c r="I60" s="8" t="s">
        <v>212</v>
      </c>
      <c r="J60" s="8" t="s">
        <v>212</v>
      </c>
      <c r="K60" s="8" t="s">
        <v>41</v>
      </c>
      <c r="L60" s="8"/>
      <c r="M60" s="8"/>
      <c r="N60" s="8"/>
      <c r="O60" s="8" t="s">
        <v>42</v>
      </c>
    </row>
    <row r="61" customFormat="false" ht="15" hidden="false" customHeight="false" outlineLevel="0" collapsed="false">
      <c r="A61" s="8" t="s">
        <v>213</v>
      </c>
      <c r="B61" s="8" t="s">
        <v>211</v>
      </c>
      <c r="C61" s="8" t="s">
        <v>211</v>
      </c>
      <c r="D61" s="8" t="s">
        <v>214</v>
      </c>
      <c r="E61" s="8" t="s">
        <v>214</v>
      </c>
      <c r="F61" s="9" t="n">
        <v>296.45</v>
      </c>
      <c r="G61" s="9" t="n">
        <v>296.45</v>
      </c>
      <c r="H61" s="9" t="n">
        <f aca="false">N(F61)-N(G61)</f>
        <v>0</v>
      </c>
      <c r="I61" s="8" t="s">
        <v>215</v>
      </c>
      <c r="J61" s="8" t="s">
        <v>215</v>
      </c>
      <c r="K61" s="8" t="s">
        <v>41</v>
      </c>
      <c r="L61" s="8"/>
      <c r="M61" s="8"/>
      <c r="N61" s="8"/>
      <c r="O61" s="8" t="s">
        <v>42</v>
      </c>
    </row>
    <row r="62" customFormat="false" ht="15" hidden="false" customHeight="false" outlineLevel="0" collapsed="false">
      <c r="A62" s="8" t="s">
        <v>216</v>
      </c>
      <c r="B62" s="8" t="s">
        <v>211</v>
      </c>
      <c r="C62" s="8" t="s">
        <v>211</v>
      </c>
      <c r="D62" s="8" t="s">
        <v>56</v>
      </c>
      <c r="E62" s="8" t="s">
        <v>56</v>
      </c>
      <c r="F62" s="9" t="n">
        <v>285</v>
      </c>
      <c r="G62" s="9" t="n">
        <v>285</v>
      </c>
      <c r="H62" s="9" t="n">
        <f aca="false">N(F62)-N(G62)</f>
        <v>0</v>
      </c>
      <c r="I62" s="8" t="s">
        <v>217</v>
      </c>
      <c r="J62" s="8" t="s">
        <v>217</v>
      </c>
      <c r="K62" s="8" t="s">
        <v>41</v>
      </c>
      <c r="L62" s="8"/>
      <c r="M62" s="8"/>
      <c r="N62" s="8"/>
      <c r="O62" s="8" t="s">
        <v>42</v>
      </c>
    </row>
    <row r="63" customFormat="false" ht="15" hidden="false" customHeight="false" outlineLevel="0" collapsed="false">
      <c r="A63" s="8" t="s">
        <v>218</v>
      </c>
      <c r="B63" s="8" t="s">
        <v>211</v>
      </c>
      <c r="C63" s="8" t="s">
        <v>211</v>
      </c>
      <c r="D63" s="8" t="s">
        <v>56</v>
      </c>
      <c r="E63" s="8" t="s">
        <v>56</v>
      </c>
      <c r="F63" s="9" t="n">
        <v>65397</v>
      </c>
      <c r="G63" s="9" t="n">
        <v>65397</v>
      </c>
      <c r="H63" s="9" t="n">
        <f aca="false">N(F63)-N(G63)</f>
        <v>0</v>
      </c>
      <c r="I63" s="8" t="s">
        <v>219</v>
      </c>
      <c r="J63" s="8" t="s">
        <v>219</v>
      </c>
      <c r="K63" s="8" t="s">
        <v>41</v>
      </c>
      <c r="L63" s="8"/>
      <c r="M63" s="8"/>
      <c r="N63" s="8"/>
      <c r="O63" s="8" t="s">
        <v>42</v>
      </c>
    </row>
    <row r="64" customFormat="false" ht="15" hidden="false" customHeight="false" outlineLevel="0" collapsed="false">
      <c r="A64" s="8" t="s">
        <v>220</v>
      </c>
      <c r="B64" s="8" t="s">
        <v>221</v>
      </c>
      <c r="C64" s="8" t="s">
        <v>221</v>
      </c>
      <c r="D64" s="8" t="s">
        <v>136</v>
      </c>
      <c r="E64" s="8" t="s">
        <v>136</v>
      </c>
      <c r="F64" s="9" t="n">
        <v>41800</v>
      </c>
      <c r="G64" s="9" t="n">
        <v>41800</v>
      </c>
      <c r="H64" s="9" t="n">
        <f aca="false">N(F64)-N(G64)</f>
        <v>0</v>
      </c>
      <c r="I64" s="8" t="s">
        <v>222</v>
      </c>
      <c r="J64" s="8" t="s">
        <v>222</v>
      </c>
      <c r="K64" s="8" t="s">
        <v>41</v>
      </c>
      <c r="L64" s="8" t="s">
        <v>41</v>
      </c>
      <c r="M64" s="8"/>
      <c r="N64" s="8"/>
      <c r="O64" s="8" t="s">
        <v>42</v>
      </c>
    </row>
    <row r="65" customFormat="false" ht="15" hidden="false" customHeight="false" outlineLevel="0" collapsed="false">
      <c r="A65" s="8" t="s">
        <v>223</v>
      </c>
      <c r="B65" s="8" t="s">
        <v>224</v>
      </c>
      <c r="C65" s="8" t="s">
        <v>224</v>
      </c>
      <c r="D65" s="8" t="s">
        <v>56</v>
      </c>
      <c r="E65" s="8" t="s">
        <v>56</v>
      </c>
      <c r="F65" s="9" t="n">
        <v>295</v>
      </c>
      <c r="G65" s="9" t="n">
        <v>295</v>
      </c>
      <c r="H65" s="9" t="n">
        <f aca="false">N(F65)-N(G65)</f>
        <v>0</v>
      </c>
      <c r="I65" s="8" t="s">
        <v>225</v>
      </c>
      <c r="J65" s="8" t="s">
        <v>225</v>
      </c>
      <c r="K65" s="8" t="s">
        <v>41</v>
      </c>
      <c r="L65" s="8"/>
      <c r="M65" s="8"/>
      <c r="N65" s="8"/>
      <c r="O65" s="8" t="s">
        <v>42</v>
      </c>
    </row>
    <row r="66" customFormat="false" ht="15" hidden="false" customHeight="false" outlineLevel="0" collapsed="false">
      <c r="A66" s="8" t="s">
        <v>226</v>
      </c>
      <c r="B66" s="8" t="s">
        <v>224</v>
      </c>
      <c r="C66" s="8" t="s">
        <v>224</v>
      </c>
      <c r="D66" s="8" t="s">
        <v>56</v>
      </c>
      <c r="E66" s="8" t="s">
        <v>56</v>
      </c>
      <c r="F66" s="9" t="n">
        <v>1463</v>
      </c>
      <c r="G66" s="9" t="n">
        <v>1463</v>
      </c>
      <c r="H66" s="9" t="n">
        <f aca="false">N(F66)-N(G66)</f>
        <v>0</v>
      </c>
      <c r="I66" s="8" t="s">
        <v>227</v>
      </c>
      <c r="J66" s="8" t="s">
        <v>227</v>
      </c>
      <c r="K66" s="8" t="s">
        <v>41</v>
      </c>
      <c r="L66" s="8"/>
      <c r="M66" s="8"/>
      <c r="N66" s="8"/>
      <c r="O66" s="8" t="s">
        <v>42</v>
      </c>
    </row>
    <row r="67" customFormat="false" ht="15" hidden="false" customHeight="false" outlineLevel="0" collapsed="false">
      <c r="A67" s="8" t="s">
        <v>228</v>
      </c>
      <c r="B67" s="8" t="s">
        <v>229</v>
      </c>
      <c r="C67" s="8" t="s">
        <v>229</v>
      </c>
      <c r="D67" s="8" t="s">
        <v>49</v>
      </c>
      <c r="E67" s="8" t="s">
        <v>49</v>
      </c>
      <c r="F67" s="9" t="n">
        <v>1258760</v>
      </c>
      <c r="G67" s="9" t="n">
        <v>1258760</v>
      </c>
      <c r="H67" s="9" t="n">
        <f aca="false">N(F67)-N(G67)</f>
        <v>0</v>
      </c>
      <c r="I67" s="8" t="s">
        <v>230</v>
      </c>
      <c r="J67" s="8" t="s">
        <v>230</v>
      </c>
      <c r="K67" s="8" t="s">
        <v>41</v>
      </c>
      <c r="L67" s="8" t="s">
        <v>41</v>
      </c>
      <c r="M67" s="8"/>
      <c r="N67" s="8"/>
      <c r="O67" s="8" t="s">
        <v>42</v>
      </c>
    </row>
    <row r="68" customFormat="false" ht="15" hidden="false" customHeight="false" outlineLevel="0" collapsed="false">
      <c r="A68" s="8" t="s">
        <v>231</v>
      </c>
      <c r="B68" s="8" t="s">
        <v>232</v>
      </c>
      <c r="C68" s="8" t="s">
        <v>232</v>
      </c>
      <c r="D68" s="8" t="s">
        <v>85</v>
      </c>
      <c r="E68" s="8" t="s">
        <v>85</v>
      </c>
      <c r="F68" s="9" t="n">
        <v>22500</v>
      </c>
      <c r="G68" s="9" t="n">
        <v>22500</v>
      </c>
      <c r="H68" s="9" t="n">
        <f aca="false">N(F68)-N(G68)</f>
        <v>0</v>
      </c>
      <c r="I68" s="8" t="s">
        <v>233</v>
      </c>
      <c r="J68" s="8" t="s">
        <v>233</v>
      </c>
      <c r="K68" s="8" t="s">
        <v>41</v>
      </c>
      <c r="L68" s="8"/>
      <c r="M68" s="8"/>
      <c r="N68" s="8"/>
      <c r="O68" s="8" t="s">
        <v>42</v>
      </c>
    </row>
    <row r="69" customFormat="false" ht="15" hidden="false" customHeight="false" outlineLevel="0" collapsed="false">
      <c r="A69" s="8" t="s">
        <v>234</v>
      </c>
      <c r="B69" s="8" t="s">
        <v>232</v>
      </c>
      <c r="C69" s="8" t="s">
        <v>232</v>
      </c>
      <c r="D69" s="8" t="s">
        <v>60</v>
      </c>
      <c r="E69" s="8" t="s">
        <v>60</v>
      </c>
      <c r="F69" s="9" t="n">
        <v>47769.3</v>
      </c>
      <c r="G69" s="9" t="n">
        <v>47769.3</v>
      </c>
      <c r="H69" s="9" t="n">
        <f aca="false">N(F69)-N(G69)</f>
        <v>0</v>
      </c>
      <c r="I69" s="8" t="s">
        <v>235</v>
      </c>
      <c r="J69" s="8" t="s">
        <v>235</v>
      </c>
      <c r="K69" s="8" t="s">
        <v>41</v>
      </c>
      <c r="L69" s="8" t="s">
        <v>41</v>
      </c>
      <c r="M69" s="8"/>
      <c r="N69" s="8"/>
      <c r="O69" s="8" t="s">
        <v>42</v>
      </c>
    </row>
    <row r="70" customFormat="false" ht="15" hidden="false" customHeight="false" outlineLevel="0" collapsed="false">
      <c r="A70" s="8" t="s">
        <v>236</v>
      </c>
      <c r="B70" s="8" t="s">
        <v>237</v>
      </c>
      <c r="C70" s="8" t="s">
        <v>237</v>
      </c>
      <c r="D70" s="8" t="s">
        <v>107</v>
      </c>
      <c r="E70" s="8" t="s">
        <v>107</v>
      </c>
      <c r="F70" s="9" t="n">
        <v>25399</v>
      </c>
      <c r="G70" s="9" t="n">
        <v>25399</v>
      </c>
      <c r="H70" s="9" t="n">
        <f aca="false">N(F70)-N(G70)</f>
        <v>0</v>
      </c>
      <c r="I70" s="8" t="s">
        <v>238</v>
      </c>
      <c r="J70" s="8" t="s">
        <v>238</v>
      </c>
      <c r="K70" s="8" t="s">
        <v>41</v>
      </c>
      <c r="L70" s="8" t="s">
        <v>41</v>
      </c>
      <c r="M70" s="8"/>
      <c r="N70" s="8"/>
      <c r="O70" s="8" t="s">
        <v>42</v>
      </c>
    </row>
    <row r="71" customFormat="false" ht="15" hidden="false" customHeight="false" outlineLevel="0" collapsed="false">
      <c r="A71" s="8" t="s">
        <v>239</v>
      </c>
      <c r="B71" s="8" t="s">
        <v>240</v>
      </c>
      <c r="C71" s="8" t="s">
        <v>240</v>
      </c>
      <c r="D71" s="8" t="s">
        <v>56</v>
      </c>
      <c r="E71" s="8" t="s">
        <v>56</v>
      </c>
      <c r="F71" s="9" t="n">
        <v>92486</v>
      </c>
      <c r="G71" s="9" t="n">
        <v>92486</v>
      </c>
      <c r="H71" s="9" t="n">
        <f aca="false">N(F71)-N(G71)</f>
        <v>0</v>
      </c>
      <c r="I71" s="8" t="s">
        <v>241</v>
      </c>
      <c r="J71" s="8" t="s">
        <v>241</v>
      </c>
      <c r="K71" s="8" t="s">
        <v>41</v>
      </c>
      <c r="L71" s="8"/>
      <c r="M71" s="8"/>
      <c r="N71" s="8"/>
      <c r="O71" s="8" t="s">
        <v>42</v>
      </c>
    </row>
    <row r="72" customFormat="false" ht="15" hidden="false" customHeight="false" outlineLevel="0" collapsed="false">
      <c r="A72" s="8" t="s">
        <v>242</v>
      </c>
      <c r="B72" s="8" t="s">
        <v>243</v>
      </c>
      <c r="C72" s="8" t="s">
        <v>243</v>
      </c>
      <c r="D72" s="8" t="s">
        <v>176</v>
      </c>
      <c r="E72" s="8" t="s">
        <v>176</v>
      </c>
      <c r="F72" s="9" t="n">
        <v>6025</v>
      </c>
      <c r="G72" s="9" t="n">
        <v>6025</v>
      </c>
      <c r="H72" s="9" t="n">
        <f aca="false">N(F72)-N(G72)</f>
        <v>0</v>
      </c>
      <c r="I72" s="8" t="s">
        <v>244</v>
      </c>
      <c r="J72" s="8" t="s">
        <v>244</v>
      </c>
      <c r="K72" s="8" t="s">
        <v>41</v>
      </c>
      <c r="L72" s="8" t="s">
        <v>41</v>
      </c>
      <c r="M72" s="8"/>
      <c r="N72" s="8"/>
      <c r="O72" s="8" t="s">
        <v>42</v>
      </c>
    </row>
    <row r="73" customFormat="false" ht="15" hidden="false" customHeight="false" outlineLevel="0" collapsed="false">
      <c r="A73" s="10" t="s">
        <v>245</v>
      </c>
      <c r="B73" s="10" t="s">
        <v>243</v>
      </c>
      <c r="C73" s="10" t="s">
        <v>240</v>
      </c>
      <c r="D73" s="10" t="s">
        <v>60</v>
      </c>
      <c r="E73" s="10" t="s">
        <v>60</v>
      </c>
      <c r="F73" s="11" t="n">
        <v>1824025.36</v>
      </c>
      <c r="G73" s="11" t="n">
        <v>1824025.36</v>
      </c>
      <c r="H73" s="11" t="n">
        <f aca="false">N(F73)-N(G73)</f>
        <v>0</v>
      </c>
      <c r="I73" s="10" t="s">
        <v>246</v>
      </c>
      <c r="J73" s="10" t="s">
        <v>246</v>
      </c>
      <c r="K73" s="10" t="s">
        <v>41</v>
      </c>
      <c r="L73" s="10" t="s">
        <v>41</v>
      </c>
      <c r="M73" s="10"/>
      <c r="N73" s="10"/>
      <c r="O73" s="10" t="s">
        <v>247</v>
      </c>
    </row>
    <row r="74" customFormat="false" ht="15" hidden="false" customHeight="false" outlineLevel="0" collapsed="false">
      <c r="A74" s="8" t="s">
        <v>248</v>
      </c>
      <c r="B74" s="8" t="s">
        <v>249</v>
      </c>
      <c r="C74" s="8" t="s">
        <v>249</v>
      </c>
      <c r="D74" s="8" t="s">
        <v>101</v>
      </c>
      <c r="E74" s="8" t="s">
        <v>101</v>
      </c>
      <c r="F74" s="9" t="n">
        <v>73363.24</v>
      </c>
      <c r="G74" s="9" t="n">
        <v>73363.24</v>
      </c>
      <c r="H74" s="9" t="n">
        <f aca="false">N(F74)-N(G74)</f>
        <v>0</v>
      </c>
      <c r="I74" s="8" t="s">
        <v>250</v>
      </c>
      <c r="J74" s="8" t="s">
        <v>250</v>
      </c>
      <c r="K74" s="8" t="s">
        <v>41</v>
      </c>
      <c r="L74" s="8" t="s">
        <v>41</v>
      </c>
      <c r="M74" s="8"/>
      <c r="N74" s="8"/>
      <c r="O74" s="8" t="s">
        <v>42</v>
      </c>
    </row>
    <row r="75" customFormat="false" ht="15" hidden="false" customHeight="false" outlineLevel="0" collapsed="false">
      <c r="A75" s="8" t="s">
        <v>251</v>
      </c>
      <c r="B75" s="8" t="s">
        <v>249</v>
      </c>
      <c r="C75" s="8" t="s">
        <v>249</v>
      </c>
      <c r="D75" s="8" t="s">
        <v>101</v>
      </c>
      <c r="E75" s="8" t="s">
        <v>101</v>
      </c>
      <c r="F75" s="9" t="n">
        <v>44345</v>
      </c>
      <c r="G75" s="9" t="n">
        <v>44345</v>
      </c>
      <c r="H75" s="9" t="n">
        <f aca="false">N(F75)-N(G75)</f>
        <v>0</v>
      </c>
      <c r="I75" s="8" t="s">
        <v>252</v>
      </c>
      <c r="J75" s="8" t="s">
        <v>252</v>
      </c>
      <c r="K75" s="8" t="s">
        <v>41</v>
      </c>
      <c r="L75" s="8" t="s">
        <v>41</v>
      </c>
      <c r="M75" s="8"/>
      <c r="N75" s="8"/>
      <c r="O75" s="8" t="s">
        <v>42</v>
      </c>
    </row>
    <row r="76" customFormat="false" ht="15" hidden="false" customHeight="false" outlineLevel="0" collapsed="false">
      <c r="A76" s="8" t="s">
        <v>253</v>
      </c>
      <c r="B76" s="8" t="s">
        <v>249</v>
      </c>
      <c r="C76" s="8" t="s">
        <v>249</v>
      </c>
      <c r="D76" s="8" t="s">
        <v>101</v>
      </c>
      <c r="E76" s="8" t="s">
        <v>101</v>
      </c>
      <c r="F76" s="9" t="n">
        <v>56216.8</v>
      </c>
      <c r="G76" s="9" t="n">
        <v>56216.8</v>
      </c>
      <c r="H76" s="9" t="n">
        <f aca="false">N(F76)-N(G76)</f>
        <v>0</v>
      </c>
      <c r="I76" s="8" t="s">
        <v>254</v>
      </c>
      <c r="J76" s="8" t="s">
        <v>254</v>
      </c>
      <c r="K76" s="8" t="s">
        <v>41</v>
      </c>
      <c r="L76" s="8" t="s">
        <v>41</v>
      </c>
      <c r="M76" s="8"/>
      <c r="N76" s="8"/>
      <c r="O76" s="8" t="s">
        <v>42</v>
      </c>
    </row>
    <row r="77" customFormat="false" ht="15" hidden="false" customHeight="false" outlineLevel="0" collapsed="false">
      <c r="A77" s="8" t="s">
        <v>255</v>
      </c>
      <c r="B77" s="8" t="s">
        <v>256</v>
      </c>
      <c r="C77" s="8" t="s">
        <v>256</v>
      </c>
      <c r="D77" s="8" t="s">
        <v>60</v>
      </c>
      <c r="E77" s="8" t="s">
        <v>60</v>
      </c>
      <c r="F77" s="9" t="n">
        <v>153019.91</v>
      </c>
      <c r="G77" s="9" t="n">
        <v>153019.91</v>
      </c>
      <c r="H77" s="9" t="n">
        <f aca="false">N(F77)-N(G77)</f>
        <v>0</v>
      </c>
      <c r="I77" s="8" t="s">
        <v>257</v>
      </c>
      <c r="J77" s="8" t="s">
        <v>257</v>
      </c>
      <c r="K77" s="8" t="s">
        <v>41</v>
      </c>
      <c r="L77" s="8" t="s">
        <v>41</v>
      </c>
      <c r="M77" s="8"/>
      <c r="N77" s="8"/>
      <c r="O77" s="8" t="s">
        <v>42</v>
      </c>
    </row>
    <row r="78" customFormat="false" ht="15" hidden="false" customHeight="false" outlineLevel="0" collapsed="false">
      <c r="A78" s="8" t="s">
        <v>258</v>
      </c>
      <c r="B78" s="8" t="s">
        <v>259</v>
      </c>
      <c r="C78" s="8" t="s">
        <v>259</v>
      </c>
      <c r="D78" s="8" t="s">
        <v>60</v>
      </c>
      <c r="E78" s="8" t="s">
        <v>60</v>
      </c>
      <c r="F78" s="9" t="n">
        <v>76000</v>
      </c>
      <c r="G78" s="9" t="n">
        <v>76000</v>
      </c>
      <c r="H78" s="9" t="n">
        <f aca="false">N(F78)-N(G78)</f>
        <v>0</v>
      </c>
      <c r="I78" s="8" t="s">
        <v>260</v>
      </c>
      <c r="J78" s="8" t="s">
        <v>260</v>
      </c>
      <c r="K78" s="8" t="s">
        <v>41</v>
      </c>
      <c r="L78" s="8" t="s">
        <v>41</v>
      </c>
      <c r="M78" s="8"/>
      <c r="N78" s="8"/>
      <c r="O78" s="8" t="s">
        <v>42</v>
      </c>
    </row>
    <row r="79" customFormat="false" ht="15" hidden="false" customHeight="false" outlineLevel="0" collapsed="false">
      <c r="A79" s="8" t="s">
        <v>261</v>
      </c>
      <c r="B79" s="8" t="s">
        <v>259</v>
      </c>
      <c r="C79" s="8" t="s">
        <v>259</v>
      </c>
      <c r="D79" s="8" t="s">
        <v>60</v>
      </c>
      <c r="E79" s="8" t="s">
        <v>60</v>
      </c>
      <c r="F79" s="9" t="n">
        <v>100309.33</v>
      </c>
      <c r="G79" s="9" t="n">
        <v>100309.33</v>
      </c>
      <c r="H79" s="9" t="n">
        <f aca="false">N(F79)-N(G79)</f>
        <v>0</v>
      </c>
      <c r="I79" s="8" t="s">
        <v>262</v>
      </c>
      <c r="J79" s="8" t="s">
        <v>262</v>
      </c>
      <c r="K79" s="8" t="s">
        <v>41</v>
      </c>
      <c r="L79" s="8" t="s">
        <v>41</v>
      </c>
      <c r="M79" s="8"/>
      <c r="N79" s="8"/>
      <c r="O79" s="8" t="s">
        <v>42</v>
      </c>
    </row>
    <row r="80" customFormat="false" ht="15" hidden="false" customHeight="false" outlineLevel="0" collapsed="false">
      <c r="A80" s="8" t="s">
        <v>263</v>
      </c>
      <c r="B80" s="8" t="s">
        <v>259</v>
      </c>
      <c r="C80" s="8" t="s">
        <v>259</v>
      </c>
      <c r="D80" s="8" t="s">
        <v>125</v>
      </c>
      <c r="E80" s="8" t="s">
        <v>125</v>
      </c>
      <c r="F80" s="9" t="n">
        <v>27507.15</v>
      </c>
      <c r="G80" s="9" t="n">
        <v>27507.15</v>
      </c>
      <c r="H80" s="9" t="n">
        <f aca="false">N(F80)-N(G80)</f>
        <v>0</v>
      </c>
      <c r="I80" s="8" t="s">
        <v>264</v>
      </c>
      <c r="J80" s="8" t="s">
        <v>264</v>
      </c>
      <c r="K80" s="8" t="s">
        <v>41</v>
      </c>
      <c r="L80" s="8" t="s">
        <v>41</v>
      </c>
      <c r="M80" s="8"/>
      <c r="N80" s="8"/>
      <c r="O80" s="8" t="s">
        <v>42</v>
      </c>
    </row>
    <row r="81" customFormat="false" ht="15" hidden="false" customHeight="false" outlineLevel="0" collapsed="false">
      <c r="A81" s="8" t="s">
        <v>265</v>
      </c>
      <c r="B81" s="8" t="s">
        <v>266</v>
      </c>
      <c r="C81" s="8" t="s">
        <v>266</v>
      </c>
      <c r="D81" s="8" t="s">
        <v>56</v>
      </c>
      <c r="E81" s="8" t="s">
        <v>56</v>
      </c>
      <c r="F81" s="9" t="n">
        <v>4810</v>
      </c>
      <c r="G81" s="9" t="n">
        <v>4810</v>
      </c>
      <c r="H81" s="9" t="n">
        <f aca="false">N(F81)-N(G81)</f>
        <v>0</v>
      </c>
      <c r="I81" s="8" t="s">
        <v>267</v>
      </c>
      <c r="J81" s="8" t="s">
        <v>267</v>
      </c>
      <c r="K81" s="8" t="s">
        <v>41</v>
      </c>
      <c r="L81" s="8"/>
      <c r="M81" s="8"/>
      <c r="N81" s="8"/>
      <c r="O81" s="8" t="s">
        <v>42</v>
      </c>
    </row>
    <row r="82" customFormat="false" ht="15" hidden="false" customHeight="false" outlineLevel="0" collapsed="false">
      <c r="A82" s="8" t="s">
        <v>268</v>
      </c>
      <c r="B82" s="8" t="s">
        <v>266</v>
      </c>
      <c r="C82" s="8" t="s">
        <v>266</v>
      </c>
      <c r="D82" s="8" t="s">
        <v>269</v>
      </c>
      <c r="E82" s="8" t="s">
        <v>269</v>
      </c>
      <c r="F82" s="9" t="n">
        <v>127710</v>
      </c>
      <c r="G82" s="9" t="n">
        <v>127710</v>
      </c>
      <c r="H82" s="9" t="n">
        <f aca="false">N(F82)-N(G82)</f>
        <v>0</v>
      </c>
      <c r="I82" s="8" t="s">
        <v>270</v>
      </c>
      <c r="J82" s="8" t="s">
        <v>270</v>
      </c>
      <c r="K82" s="8" t="s">
        <v>41</v>
      </c>
      <c r="L82" s="8" t="s">
        <v>41</v>
      </c>
      <c r="M82" s="8"/>
      <c r="N82" s="8"/>
      <c r="O82" s="8" t="s">
        <v>42</v>
      </c>
    </row>
    <row r="83" customFormat="false" ht="15" hidden="false" customHeight="false" outlineLevel="0" collapsed="false">
      <c r="A83" s="12" t="s">
        <v>271</v>
      </c>
      <c r="B83" s="12" t="s">
        <v>266</v>
      </c>
      <c r="C83" s="12" t="s">
        <v>266</v>
      </c>
      <c r="D83" s="12" t="s">
        <v>272</v>
      </c>
      <c r="E83" s="12" t="s">
        <v>272</v>
      </c>
      <c r="F83" s="13" t="n">
        <v>197700</v>
      </c>
      <c r="G83" s="13" t="n">
        <v>162049.18</v>
      </c>
      <c r="H83" s="13" t="n">
        <f aca="false">N(F83)-N(G83)</f>
        <v>35650.82</v>
      </c>
      <c r="I83" s="12" t="s">
        <v>273</v>
      </c>
      <c r="J83" s="12" t="s">
        <v>273</v>
      </c>
      <c r="K83" s="12" t="s">
        <v>41</v>
      </c>
      <c r="L83" s="12" t="s">
        <v>41</v>
      </c>
      <c r="M83" s="12"/>
      <c r="N83" s="12"/>
      <c r="O83" s="12" t="s">
        <v>274</v>
      </c>
    </row>
    <row r="84" customFormat="false" ht="15" hidden="false" customHeight="false" outlineLevel="0" collapsed="false">
      <c r="A84" s="12" t="s">
        <v>275</v>
      </c>
      <c r="B84" s="12" t="s">
        <v>276</v>
      </c>
      <c r="C84" s="12"/>
      <c r="D84" s="12" t="s">
        <v>60</v>
      </c>
      <c r="E84" s="12"/>
      <c r="F84" s="13" t="n">
        <v>2092208.77</v>
      </c>
      <c r="G84" s="12"/>
      <c r="H84" s="13" t="n">
        <f aca="false">N(F84)-N(G84)</f>
        <v>2092208.77</v>
      </c>
      <c r="I84" s="12" t="s">
        <v>89</v>
      </c>
      <c r="J84" s="12"/>
      <c r="K84" s="12" t="s">
        <v>41</v>
      </c>
      <c r="L84" s="12"/>
      <c r="M84" s="12" t="s">
        <v>122</v>
      </c>
      <c r="N84" s="12"/>
      <c r="O84" s="12" t="s">
        <v>119</v>
      </c>
    </row>
    <row r="85" customFormat="false" ht="15" hidden="false" customHeight="false" outlineLevel="0" collapsed="false">
      <c r="A85" s="8" t="s">
        <v>277</v>
      </c>
      <c r="B85" s="8" t="s">
        <v>276</v>
      </c>
      <c r="C85" s="8" t="s">
        <v>276</v>
      </c>
      <c r="D85" s="8" t="s">
        <v>187</v>
      </c>
      <c r="E85" s="8" t="s">
        <v>187</v>
      </c>
      <c r="F85" s="9" t="n">
        <v>15914.61</v>
      </c>
      <c r="G85" s="9" t="n">
        <v>15914.61</v>
      </c>
      <c r="H85" s="9" t="n">
        <f aca="false">N(F85)-N(G85)</f>
        <v>0</v>
      </c>
      <c r="I85" s="8" t="s">
        <v>278</v>
      </c>
      <c r="J85" s="8" t="s">
        <v>278</v>
      </c>
      <c r="K85" s="8" t="s">
        <v>41</v>
      </c>
      <c r="L85" s="8"/>
      <c r="M85" s="8"/>
      <c r="N85" s="8"/>
      <c r="O85" s="8" t="s">
        <v>42</v>
      </c>
    </row>
    <row r="86" customFormat="false" ht="15" hidden="false" customHeight="false" outlineLevel="0" collapsed="false">
      <c r="A86" s="8" t="s">
        <v>279</v>
      </c>
      <c r="B86" s="8" t="s">
        <v>276</v>
      </c>
      <c r="C86" s="8" t="s">
        <v>276</v>
      </c>
      <c r="D86" s="8" t="s">
        <v>214</v>
      </c>
      <c r="E86" s="8" t="s">
        <v>214</v>
      </c>
      <c r="F86" s="9" t="n">
        <v>290.03</v>
      </c>
      <c r="G86" s="9" t="n">
        <v>290.03</v>
      </c>
      <c r="H86" s="9" t="n">
        <f aca="false">N(F86)-N(G86)</f>
        <v>0</v>
      </c>
      <c r="I86" s="8" t="s">
        <v>280</v>
      </c>
      <c r="J86" s="8" t="s">
        <v>280</v>
      </c>
      <c r="K86" s="8" t="s">
        <v>41</v>
      </c>
      <c r="L86" s="8"/>
      <c r="M86" s="8"/>
      <c r="N86" s="8"/>
      <c r="O86" s="8" t="s">
        <v>42</v>
      </c>
    </row>
    <row r="87" customFormat="false" ht="15" hidden="false" customHeight="false" outlineLevel="0" collapsed="false">
      <c r="A87" s="8" t="s">
        <v>281</v>
      </c>
      <c r="B87" s="8" t="s">
        <v>276</v>
      </c>
      <c r="C87" s="8" t="s">
        <v>276</v>
      </c>
      <c r="D87" s="8" t="s">
        <v>272</v>
      </c>
      <c r="E87" s="8" t="s">
        <v>272</v>
      </c>
      <c r="F87" s="9" t="n">
        <v>1086048</v>
      </c>
      <c r="G87" s="9" t="n">
        <v>1086048</v>
      </c>
      <c r="H87" s="9" t="n">
        <f aca="false">N(F87)-N(G87)</f>
        <v>0</v>
      </c>
      <c r="I87" s="8" t="s">
        <v>282</v>
      </c>
      <c r="J87" s="8" t="s">
        <v>282</v>
      </c>
      <c r="K87" s="8" t="s">
        <v>41</v>
      </c>
      <c r="L87" s="8" t="s">
        <v>41</v>
      </c>
      <c r="M87" s="8"/>
      <c r="N87" s="8"/>
      <c r="O87" s="8" t="s">
        <v>42</v>
      </c>
    </row>
    <row r="88" customFormat="false" ht="15" hidden="false" customHeight="false" outlineLevel="0" collapsed="false">
      <c r="A88" s="8" t="s">
        <v>283</v>
      </c>
      <c r="B88" s="8" t="s">
        <v>276</v>
      </c>
      <c r="C88" s="8" t="s">
        <v>276</v>
      </c>
      <c r="D88" s="8" t="s">
        <v>192</v>
      </c>
      <c r="E88" s="8" t="s">
        <v>192</v>
      </c>
      <c r="F88" s="9" t="n">
        <v>1067.68</v>
      </c>
      <c r="G88" s="9" t="n">
        <v>1067.68</v>
      </c>
      <c r="H88" s="9" t="n">
        <f aca="false">N(F88)-N(G88)</f>
        <v>0</v>
      </c>
      <c r="I88" s="8" t="s">
        <v>284</v>
      </c>
      <c r="J88" s="8" t="s">
        <v>284</v>
      </c>
      <c r="K88" s="8" t="s">
        <v>41</v>
      </c>
      <c r="L88" s="8"/>
      <c r="M88" s="8"/>
      <c r="N88" s="8"/>
      <c r="O88" s="8" t="s">
        <v>42</v>
      </c>
    </row>
    <row r="89" customFormat="false" ht="15" hidden="false" customHeight="false" outlineLevel="0" collapsed="false">
      <c r="A89" s="8" t="s">
        <v>285</v>
      </c>
      <c r="B89" s="8" t="s">
        <v>276</v>
      </c>
      <c r="C89" s="8" t="s">
        <v>276</v>
      </c>
      <c r="D89" s="8" t="s">
        <v>192</v>
      </c>
      <c r="E89" s="8" t="s">
        <v>192</v>
      </c>
      <c r="F89" s="9" t="n">
        <v>71178.63</v>
      </c>
      <c r="G89" s="9" t="n">
        <v>71178.63</v>
      </c>
      <c r="H89" s="9" t="n">
        <f aca="false">N(F89)-N(G89)</f>
        <v>0</v>
      </c>
      <c r="I89" s="8" t="s">
        <v>286</v>
      </c>
      <c r="J89" s="8" t="s">
        <v>286</v>
      </c>
      <c r="K89" s="8" t="s">
        <v>41</v>
      </c>
      <c r="L89" s="8" t="s">
        <v>41</v>
      </c>
      <c r="M89" s="8"/>
      <c r="N89" s="8"/>
      <c r="O89" s="8" t="s">
        <v>42</v>
      </c>
    </row>
    <row r="90" customFormat="false" ht="15" hidden="false" customHeight="false" outlineLevel="0" collapsed="false">
      <c r="A90" s="8" t="s">
        <v>287</v>
      </c>
      <c r="B90" s="8" t="s">
        <v>276</v>
      </c>
      <c r="C90" s="8" t="s">
        <v>276</v>
      </c>
      <c r="D90" s="8" t="s">
        <v>39</v>
      </c>
      <c r="E90" s="8" t="s">
        <v>39</v>
      </c>
      <c r="F90" s="9" t="n">
        <v>73200</v>
      </c>
      <c r="G90" s="9" t="n">
        <v>73200</v>
      </c>
      <c r="H90" s="9" t="n">
        <f aca="false">N(F90)-N(G90)</f>
        <v>0</v>
      </c>
      <c r="I90" s="8" t="s">
        <v>159</v>
      </c>
      <c r="J90" s="8" t="s">
        <v>159</v>
      </c>
      <c r="K90" s="8" t="s">
        <v>41</v>
      </c>
      <c r="L90" s="8"/>
      <c r="M90" s="8"/>
      <c r="N90" s="8"/>
      <c r="O90" s="8" t="s">
        <v>42</v>
      </c>
    </row>
    <row r="91" customFormat="false" ht="15" hidden="false" customHeight="false" outlineLevel="0" collapsed="false">
      <c r="A91" s="8" t="s">
        <v>288</v>
      </c>
      <c r="B91" s="8" t="s">
        <v>289</v>
      </c>
      <c r="C91" s="8" t="s">
        <v>289</v>
      </c>
      <c r="D91" s="8" t="s">
        <v>107</v>
      </c>
      <c r="E91" s="8" t="s">
        <v>107</v>
      </c>
      <c r="F91" s="9" t="n">
        <v>25998</v>
      </c>
      <c r="G91" s="9" t="n">
        <v>25998</v>
      </c>
      <c r="H91" s="9" t="n">
        <f aca="false">N(F91)-N(G91)</f>
        <v>0</v>
      </c>
      <c r="I91" s="8" t="s">
        <v>290</v>
      </c>
      <c r="J91" s="8" t="s">
        <v>290</v>
      </c>
      <c r="K91" s="8" t="s">
        <v>41</v>
      </c>
      <c r="L91" s="8" t="s">
        <v>41</v>
      </c>
      <c r="M91" s="8"/>
      <c r="N91" s="8"/>
      <c r="O91" s="8" t="s">
        <v>42</v>
      </c>
    </row>
    <row r="92" customFormat="false" ht="15" hidden="false" customHeight="false" outlineLevel="0" collapsed="false">
      <c r="A92" s="10" t="s">
        <v>291</v>
      </c>
      <c r="B92" s="10" t="s">
        <v>292</v>
      </c>
      <c r="C92" s="10" t="s">
        <v>292</v>
      </c>
      <c r="D92" s="10" t="s">
        <v>293</v>
      </c>
      <c r="E92" s="10" t="s">
        <v>293</v>
      </c>
      <c r="F92" s="11" t="n">
        <v>146355</v>
      </c>
      <c r="G92" s="11" t="n">
        <v>146355</v>
      </c>
      <c r="H92" s="11" t="n">
        <f aca="false">N(F92)-N(G92)</f>
        <v>0</v>
      </c>
      <c r="I92" s="10" t="s">
        <v>294</v>
      </c>
      <c r="J92" s="10" t="s">
        <v>294</v>
      </c>
      <c r="K92" s="10" t="s">
        <v>41</v>
      </c>
      <c r="L92" s="10" t="s">
        <v>41</v>
      </c>
      <c r="M92" s="10" t="s">
        <v>122</v>
      </c>
      <c r="N92" s="10"/>
      <c r="O92" s="10" t="s">
        <v>123</v>
      </c>
    </row>
    <row r="93" customFormat="false" ht="15" hidden="false" customHeight="false" outlineLevel="0" collapsed="false">
      <c r="A93" s="8" t="s">
        <v>295</v>
      </c>
      <c r="B93" s="8" t="s">
        <v>292</v>
      </c>
      <c r="C93" s="8" t="s">
        <v>292</v>
      </c>
      <c r="D93" s="8" t="s">
        <v>101</v>
      </c>
      <c r="E93" s="8" t="s">
        <v>101</v>
      </c>
      <c r="F93" s="9" t="n">
        <v>8683409.11</v>
      </c>
      <c r="G93" s="9" t="n">
        <v>8683409.11</v>
      </c>
      <c r="H93" s="9" t="n">
        <f aca="false">N(F93)-N(G93)</f>
        <v>0</v>
      </c>
      <c r="I93" s="8" t="s">
        <v>296</v>
      </c>
      <c r="J93" s="8" t="s">
        <v>296</v>
      </c>
      <c r="K93" s="8" t="s">
        <v>41</v>
      </c>
      <c r="L93" s="8" t="s">
        <v>41</v>
      </c>
      <c r="M93" s="8"/>
      <c r="N93" s="8"/>
      <c r="O93" s="8" t="s">
        <v>42</v>
      </c>
    </row>
    <row r="94" customFormat="false" ht="15" hidden="false" customHeight="false" outlineLevel="0" collapsed="false">
      <c r="A94" s="8" t="s">
        <v>297</v>
      </c>
      <c r="B94" s="8" t="s">
        <v>292</v>
      </c>
      <c r="C94" s="8" t="s">
        <v>292</v>
      </c>
      <c r="D94" s="8" t="s">
        <v>176</v>
      </c>
      <c r="E94" s="8" t="s">
        <v>176</v>
      </c>
      <c r="F94" s="9" t="n">
        <v>392320</v>
      </c>
      <c r="G94" s="9" t="n">
        <v>392320</v>
      </c>
      <c r="H94" s="9" t="n">
        <f aca="false">N(F94)-N(G94)</f>
        <v>0</v>
      </c>
      <c r="I94" s="8" t="s">
        <v>298</v>
      </c>
      <c r="J94" s="8" t="s">
        <v>298</v>
      </c>
      <c r="K94" s="8" t="s">
        <v>41</v>
      </c>
      <c r="L94" s="8" t="s">
        <v>41</v>
      </c>
      <c r="M94" s="8"/>
      <c r="N94" s="8"/>
      <c r="O94" s="8" t="s">
        <v>42</v>
      </c>
    </row>
    <row r="95" customFormat="false" ht="15" hidden="false" customHeight="false" outlineLevel="0" collapsed="false">
      <c r="A95" s="8" t="s">
        <v>299</v>
      </c>
      <c r="B95" s="8" t="s">
        <v>292</v>
      </c>
      <c r="C95" s="8" t="s">
        <v>292</v>
      </c>
      <c r="D95" s="8" t="s">
        <v>60</v>
      </c>
      <c r="E95" s="8" t="s">
        <v>60</v>
      </c>
      <c r="F95" s="9" t="n">
        <v>253141.28</v>
      </c>
      <c r="G95" s="9" t="n">
        <v>253141.28</v>
      </c>
      <c r="H95" s="9" t="n">
        <f aca="false">N(F95)-N(G95)</f>
        <v>0</v>
      </c>
      <c r="I95" s="8" t="s">
        <v>300</v>
      </c>
      <c r="J95" s="8" t="s">
        <v>300</v>
      </c>
      <c r="K95" s="8" t="s">
        <v>41</v>
      </c>
      <c r="L95" s="8" t="s">
        <v>41</v>
      </c>
      <c r="M95" s="8"/>
      <c r="N95" s="8"/>
      <c r="O95" s="8" t="s">
        <v>42</v>
      </c>
    </row>
    <row r="96" customFormat="false" ht="15" hidden="false" customHeight="false" outlineLevel="0" collapsed="false">
      <c r="A96" s="8" t="s">
        <v>301</v>
      </c>
      <c r="B96" s="8" t="s">
        <v>292</v>
      </c>
      <c r="C96" s="8" t="s">
        <v>292</v>
      </c>
      <c r="D96" s="8" t="s">
        <v>293</v>
      </c>
      <c r="E96" s="8" t="s">
        <v>293</v>
      </c>
      <c r="F96" s="9" t="n">
        <v>146355</v>
      </c>
      <c r="G96" s="9" t="n">
        <v>146355</v>
      </c>
      <c r="H96" s="9" t="n">
        <f aca="false">N(F96)-N(G96)</f>
        <v>0</v>
      </c>
      <c r="I96" s="8" t="s">
        <v>294</v>
      </c>
      <c r="J96" s="8" t="s">
        <v>294</v>
      </c>
      <c r="K96" s="8" t="s">
        <v>41</v>
      </c>
      <c r="L96" s="8" t="s">
        <v>41</v>
      </c>
      <c r="M96" s="8"/>
      <c r="N96" s="8"/>
      <c r="O96" s="8" t="s">
        <v>42</v>
      </c>
    </row>
    <row r="97" customFormat="false" ht="15" hidden="false" customHeight="false" outlineLevel="0" collapsed="false">
      <c r="A97" s="12" t="s">
        <v>302</v>
      </c>
      <c r="B97" s="12" t="s">
        <v>303</v>
      </c>
      <c r="C97" s="12" t="s">
        <v>303</v>
      </c>
      <c r="D97" s="12" t="s">
        <v>107</v>
      </c>
      <c r="E97" s="12" t="s">
        <v>107</v>
      </c>
      <c r="F97" s="13" t="n">
        <v>136794</v>
      </c>
      <c r="G97" s="13" t="n">
        <v>112126.23</v>
      </c>
      <c r="H97" s="13" t="n">
        <f aca="false">N(F97)-N(G97)</f>
        <v>24667.77</v>
      </c>
      <c r="I97" s="12" t="s">
        <v>304</v>
      </c>
      <c r="J97" s="12" t="s">
        <v>304</v>
      </c>
      <c r="K97" s="12" t="s">
        <v>41</v>
      </c>
      <c r="L97" s="12" t="s">
        <v>41</v>
      </c>
      <c r="M97" s="12"/>
      <c r="N97" s="12"/>
      <c r="O97" s="12" t="s">
        <v>274</v>
      </c>
    </row>
    <row r="98" customFormat="false" ht="15" hidden="false" customHeight="false" outlineLevel="0" collapsed="false">
      <c r="A98" s="12" t="s">
        <v>305</v>
      </c>
      <c r="B98" s="12" t="s">
        <v>303</v>
      </c>
      <c r="C98" s="12" t="s">
        <v>303</v>
      </c>
      <c r="D98" s="12" t="s">
        <v>306</v>
      </c>
      <c r="E98" s="12" t="s">
        <v>306</v>
      </c>
      <c r="F98" s="13" t="n">
        <v>152985</v>
      </c>
      <c r="G98" s="13" t="n">
        <v>125397.54</v>
      </c>
      <c r="H98" s="13" t="n">
        <f aca="false">N(F98)-N(G98)</f>
        <v>27587.46</v>
      </c>
      <c r="I98" s="12" t="s">
        <v>307</v>
      </c>
      <c r="J98" s="12" t="s">
        <v>307</v>
      </c>
      <c r="K98" s="12" t="s">
        <v>41</v>
      </c>
      <c r="L98" s="12" t="s">
        <v>41</v>
      </c>
      <c r="M98" s="12"/>
      <c r="N98" s="12"/>
      <c r="O98" s="12" t="s">
        <v>274</v>
      </c>
    </row>
    <row r="99" customFormat="false" ht="15" hidden="false" customHeight="false" outlineLevel="0" collapsed="false">
      <c r="A99" s="12" t="s">
        <v>308</v>
      </c>
      <c r="B99" s="12" t="s">
        <v>303</v>
      </c>
      <c r="C99" s="12" t="s">
        <v>303</v>
      </c>
      <c r="D99" s="12" t="s">
        <v>306</v>
      </c>
      <c r="E99" s="12" t="s">
        <v>306</v>
      </c>
      <c r="F99" s="13" t="n">
        <v>214179</v>
      </c>
      <c r="G99" s="13" t="n">
        <v>175556.56</v>
      </c>
      <c r="H99" s="13" t="n">
        <f aca="false">N(F99)-N(G99)</f>
        <v>38622.44</v>
      </c>
      <c r="I99" s="12" t="s">
        <v>309</v>
      </c>
      <c r="J99" s="12" t="s">
        <v>309</v>
      </c>
      <c r="K99" s="12" t="s">
        <v>310</v>
      </c>
      <c r="L99" s="12" t="s">
        <v>41</v>
      </c>
      <c r="M99" s="12"/>
      <c r="N99" s="12"/>
      <c r="O99" s="12" t="s">
        <v>311</v>
      </c>
    </row>
    <row r="100" customFormat="false" ht="15" hidden="false" customHeight="false" outlineLevel="0" collapsed="false">
      <c r="A100" s="8" t="s">
        <v>312</v>
      </c>
      <c r="B100" s="8" t="s">
        <v>313</v>
      </c>
      <c r="C100" s="8" t="s">
        <v>313</v>
      </c>
      <c r="D100" s="8" t="s">
        <v>269</v>
      </c>
      <c r="E100" s="8" t="s">
        <v>269</v>
      </c>
      <c r="F100" s="9" t="n">
        <v>2333916.2</v>
      </c>
      <c r="G100" s="9" t="n">
        <v>2333916.2</v>
      </c>
      <c r="H100" s="9" t="n">
        <f aca="false">N(F100)-N(G100)</f>
        <v>0</v>
      </c>
      <c r="I100" s="8" t="s">
        <v>314</v>
      </c>
      <c r="J100" s="8" t="s">
        <v>314</v>
      </c>
      <c r="K100" s="8" t="s">
        <v>41</v>
      </c>
      <c r="L100" s="8" t="s">
        <v>41</v>
      </c>
      <c r="M100" s="8"/>
      <c r="N100" s="8"/>
      <c r="O100" s="8" t="s">
        <v>42</v>
      </c>
    </row>
    <row r="101" customFormat="false" ht="15" hidden="false" customHeight="false" outlineLevel="0" collapsed="false">
      <c r="A101" s="8" t="s">
        <v>315</v>
      </c>
      <c r="B101" s="8" t="s">
        <v>313</v>
      </c>
      <c r="C101" s="8" t="s">
        <v>313</v>
      </c>
      <c r="D101" s="8" t="s">
        <v>269</v>
      </c>
      <c r="E101" s="8" t="s">
        <v>269</v>
      </c>
      <c r="F101" s="9" t="n">
        <v>2100524.58</v>
      </c>
      <c r="G101" s="9" t="n">
        <v>2100524.58</v>
      </c>
      <c r="H101" s="9" t="n">
        <f aca="false">N(F101)-N(G101)</f>
        <v>0</v>
      </c>
      <c r="I101" s="8" t="s">
        <v>316</v>
      </c>
      <c r="J101" s="8" t="s">
        <v>316</v>
      </c>
      <c r="K101" s="8" t="s">
        <v>41</v>
      </c>
      <c r="L101" s="8" t="s">
        <v>41</v>
      </c>
      <c r="M101" s="8"/>
      <c r="N101" s="8"/>
      <c r="O101" s="8" t="s">
        <v>42</v>
      </c>
    </row>
    <row r="102" customFormat="false" ht="15" hidden="false" customHeight="false" outlineLevel="0" collapsed="false">
      <c r="A102" s="8" t="s">
        <v>317</v>
      </c>
      <c r="B102" s="8" t="s">
        <v>318</v>
      </c>
      <c r="C102" s="8" t="s">
        <v>318</v>
      </c>
      <c r="D102" s="8" t="s">
        <v>319</v>
      </c>
      <c r="E102" s="8" t="s">
        <v>319</v>
      </c>
      <c r="F102" s="9" t="n">
        <v>15072</v>
      </c>
      <c r="G102" s="9" t="n">
        <v>15072</v>
      </c>
      <c r="H102" s="9" t="n">
        <f aca="false">N(F102)-N(G102)</f>
        <v>0</v>
      </c>
      <c r="I102" s="8" t="s">
        <v>320</v>
      </c>
      <c r="J102" s="8" t="s">
        <v>320</v>
      </c>
      <c r="K102" s="8" t="s">
        <v>41</v>
      </c>
      <c r="L102" s="8" t="s">
        <v>41</v>
      </c>
      <c r="M102" s="8"/>
      <c r="N102" s="8"/>
      <c r="O102" s="8" t="s">
        <v>42</v>
      </c>
    </row>
    <row r="103" customFormat="false" ht="15" hidden="false" customHeight="false" outlineLevel="0" collapsed="false">
      <c r="A103" s="8" t="s">
        <v>321</v>
      </c>
      <c r="B103" s="8" t="s">
        <v>318</v>
      </c>
      <c r="C103" s="8" t="s">
        <v>318</v>
      </c>
      <c r="D103" s="8" t="s">
        <v>116</v>
      </c>
      <c r="E103" s="8" t="s">
        <v>116</v>
      </c>
      <c r="F103" s="9" t="n">
        <v>20634.44</v>
      </c>
      <c r="G103" s="9" t="n">
        <v>20634.44</v>
      </c>
      <c r="H103" s="9" t="n">
        <f aca="false">N(F103)-N(G103)</f>
        <v>0</v>
      </c>
      <c r="I103" s="8" t="s">
        <v>322</v>
      </c>
      <c r="J103" s="8" t="s">
        <v>322</v>
      </c>
      <c r="K103" s="8" t="s">
        <v>41</v>
      </c>
      <c r="L103" s="8" t="s">
        <v>41</v>
      </c>
      <c r="M103" s="8"/>
      <c r="N103" s="8"/>
      <c r="O103" s="8" t="s">
        <v>42</v>
      </c>
    </row>
    <row r="104" customFormat="false" ht="15" hidden="false" customHeight="false" outlineLevel="0" collapsed="false">
      <c r="A104" s="8" t="s">
        <v>323</v>
      </c>
      <c r="B104" s="8" t="s">
        <v>324</v>
      </c>
      <c r="C104" s="8" t="s">
        <v>324</v>
      </c>
      <c r="D104" s="8" t="s">
        <v>101</v>
      </c>
      <c r="E104" s="8" t="s">
        <v>101</v>
      </c>
      <c r="F104" s="9" t="n">
        <v>9574086.27</v>
      </c>
      <c r="G104" s="9" t="n">
        <v>9574086.27</v>
      </c>
      <c r="H104" s="9" t="n">
        <f aca="false">N(F104)-N(G104)</f>
        <v>0</v>
      </c>
      <c r="I104" s="8" t="s">
        <v>325</v>
      </c>
      <c r="J104" s="8" t="s">
        <v>325</v>
      </c>
      <c r="K104" s="8" t="s">
        <v>41</v>
      </c>
      <c r="L104" s="8" t="s">
        <v>41</v>
      </c>
      <c r="M104" s="8"/>
      <c r="N104" s="8"/>
      <c r="O104" s="8" t="s">
        <v>42</v>
      </c>
    </row>
    <row r="105" customFormat="false" ht="15" hidden="false" customHeight="false" outlineLevel="0" collapsed="false">
      <c r="A105" s="8" t="s">
        <v>326</v>
      </c>
      <c r="B105" s="8" t="s">
        <v>324</v>
      </c>
      <c r="C105" s="8" t="s">
        <v>324</v>
      </c>
      <c r="D105" s="8" t="s">
        <v>327</v>
      </c>
      <c r="E105" s="8" t="s">
        <v>327</v>
      </c>
      <c r="F105" s="9" t="n">
        <v>1687395.06</v>
      </c>
      <c r="G105" s="9" t="n">
        <v>1687395.06</v>
      </c>
      <c r="H105" s="9" t="n">
        <f aca="false">N(F105)-N(G105)</f>
        <v>0</v>
      </c>
      <c r="I105" s="8" t="s">
        <v>328</v>
      </c>
      <c r="J105" s="8" t="s">
        <v>328</v>
      </c>
      <c r="K105" s="8" t="s">
        <v>41</v>
      </c>
      <c r="L105" s="8" t="s">
        <v>41</v>
      </c>
      <c r="M105" s="8"/>
      <c r="N105" s="8"/>
      <c r="O105" s="8" t="s">
        <v>42</v>
      </c>
    </row>
    <row r="106" customFormat="false" ht="15" hidden="false" customHeight="false" outlineLevel="0" collapsed="false">
      <c r="A106" s="8" t="s">
        <v>329</v>
      </c>
      <c r="B106" s="8" t="s">
        <v>324</v>
      </c>
      <c r="C106" s="8" t="s">
        <v>324</v>
      </c>
      <c r="D106" s="8" t="s">
        <v>60</v>
      </c>
      <c r="E106" s="8" t="s">
        <v>60</v>
      </c>
      <c r="F106" s="9" t="n">
        <v>422600.44</v>
      </c>
      <c r="G106" s="9" t="n">
        <v>422600.44</v>
      </c>
      <c r="H106" s="9" t="n">
        <f aca="false">N(F106)-N(G106)</f>
        <v>0</v>
      </c>
      <c r="I106" s="8" t="s">
        <v>330</v>
      </c>
      <c r="J106" s="8" t="s">
        <v>330</v>
      </c>
      <c r="K106" s="8" t="s">
        <v>41</v>
      </c>
      <c r="L106" s="8" t="s">
        <v>41</v>
      </c>
      <c r="M106" s="8"/>
      <c r="N106" s="8"/>
      <c r="O106" s="8" t="s">
        <v>42</v>
      </c>
    </row>
    <row r="107" customFormat="false" ht="15" hidden="false" customHeight="false" outlineLevel="0" collapsed="false">
      <c r="A107" s="8" t="s">
        <v>331</v>
      </c>
      <c r="B107" s="8" t="s">
        <v>332</v>
      </c>
      <c r="C107" s="8" t="s">
        <v>332</v>
      </c>
      <c r="D107" s="8" t="s">
        <v>333</v>
      </c>
      <c r="E107" s="8" t="s">
        <v>333</v>
      </c>
      <c r="F107" s="9" t="n">
        <v>1608967.72</v>
      </c>
      <c r="G107" s="9" t="n">
        <v>1608967.72</v>
      </c>
      <c r="H107" s="9" t="n">
        <f aca="false">N(F107)-N(G107)</f>
        <v>0</v>
      </c>
      <c r="I107" s="8" t="s">
        <v>334</v>
      </c>
      <c r="J107" s="8" t="s">
        <v>334</v>
      </c>
      <c r="K107" s="8" t="s">
        <v>41</v>
      </c>
      <c r="L107" s="8" t="s">
        <v>41</v>
      </c>
      <c r="M107" s="8"/>
      <c r="N107" s="8"/>
      <c r="O107" s="8" t="s">
        <v>42</v>
      </c>
    </row>
    <row r="108" customFormat="false" ht="15" hidden="false" customHeight="false" outlineLevel="0" collapsed="false">
      <c r="A108" s="8" t="s">
        <v>335</v>
      </c>
      <c r="B108" s="8" t="s">
        <v>332</v>
      </c>
      <c r="C108" s="8" t="s">
        <v>332</v>
      </c>
      <c r="D108" s="8" t="s">
        <v>333</v>
      </c>
      <c r="E108" s="8" t="s">
        <v>333</v>
      </c>
      <c r="F108" s="9" t="n">
        <v>1870579.1</v>
      </c>
      <c r="G108" s="9" t="n">
        <v>1870579.1</v>
      </c>
      <c r="H108" s="9" t="n">
        <f aca="false">N(F108)-N(G108)</f>
        <v>0</v>
      </c>
      <c r="I108" s="8" t="s">
        <v>336</v>
      </c>
      <c r="J108" s="8" t="s">
        <v>336</v>
      </c>
      <c r="K108" s="8" t="s">
        <v>41</v>
      </c>
      <c r="L108" s="8" t="s">
        <v>41</v>
      </c>
      <c r="M108" s="8"/>
      <c r="N108" s="8"/>
      <c r="O108" s="8" t="s">
        <v>42</v>
      </c>
    </row>
    <row r="109" customFormat="false" ht="15" hidden="false" customHeight="false" outlineLevel="0" collapsed="false">
      <c r="A109" s="12" t="s">
        <v>337</v>
      </c>
      <c r="B109" s="12" t="s">
        <v>338</v>
      </c>
      <c r="C109" s="12" t="s">
        <v>338</v>
      </c>
      <c r="D109" s="12" t="s">
        <v>327</v>
      </c>
      <c r="E109" s="12" t="s">
        <v>327</v>
      </c>
      <c r="F109" s="13" t="n">
        <v>65216.58</v>
      </c>
      <c r="G109" s="13" t="n">
        <v>53456.21</v>
      </c>
      <c r="H109" s="13" t="n">
        <f aca="false">N(F109)-N(G109)</f>
        <v>11760.37</v>
      </c>
      <c r="I109" s="12" t="s">
        <v>339</v>
      </c>
      <c r="J109" s="12" t="s">
        <v>339</v>
      </c>
      <c r="K109" s="12" t="s">
        <v>41</v>
      </c>
      <c r="L109" s="12" t="s">
        <v>41</v>
      </c>
      <c r="M109" s="12"/>
      <c r="N109" s="12"/>
      <c r="O109" s="12" t="s">
        <v>274</v>
      </c>
    </row>
    <row r="110" customFormat="false" ht="15" hidden="false" customHeight="false" outlineLevel="0" collapsed="false">
      <c r="A110" s="8" t="s">
        <v>340</v>
      </c>
      <c r="B110" s="8" t="s">
        <v>341</v>
      </c>
      <c r="C110" s="8" t="s">
        <v>341</v>
      </c>
      <c r="D110" s="8" t="s">
        <v>60</v>
      </c>
      <c r="E110" s="8" t="s">
        <v>60</v>
      </c>
      <c r="F110" s="9" t="n">
        <v>25600.5</v>
      </c>
      <c r="G110" s="9" t="n">
        <v>25600.5</v>
      </c>
      <c r="H110" s="9" t="n">
        <f aca="false">N(F110)-N(G110)</f>
        <v>0</v>
      </c>
      <c r="I110" s="8" t="s">
        <v>342</v>
      </c>
      <c r="J110" s="8" t="s">
        <v>342</v>
      </c>
      <c r="K110" s="8" t="s">
        <v>41</v>
      </c>
      <c r="L110" s="8" t="s">
        <v>41</v>
      </c>
      <c r="M110" s="8"/>
      <c r="N110" s="8"/>
      <c r="O110" s="8" t="s">
        <v>42</v>
      </c>
    </row>
    <row r="111" customFormat="false" ht="15" hidden="false" customHeight="false" outlineLevel="0" collapsed="false">
      <c r="A111" s="8" t="s">
        <v>343</v>
      </c>
      <c r="B111" s="8" t="s">
        <v>341</v>
      </c>
      <c r="C111" s="8" t="s">
        <v>341</v>
      </c>
      <c r="D111" s="8" t="s">
        <v>60</v>
      </c>
      <c r="E111" s="8" t="s">
        <v>60</v>
      </c>
      <c r="F111" s="9" t="n">
        <v>18145.34</v>
      </c>
      <c r="G111" s="9" t="n">
        <v>18145.34</v>
      </c>
      <c r="H111" s="9" t="n">
        <f aca="false">N(F111)-N(G111)</f>
        <v>0</v>
      </c>
      <c r="I111" s="8" t="s">
        <v>344</v>
      </c>
      <c r="J111" s="8" t="s">
        <v>344</v>
      </c>
      <c r="K111" s="8" t="s">
        <v>41</v>
      </c>
      <c r="L111" s="8" t="s">
        <v>41</v>
      </c>
      <c r="M111" s="8"/>
      <c r="N111" s="8"/>
      <c r="O111" s="8" t="s">
        <v>42</v>
      </c>
    </row>
    <row r="112" customFormat="false" ht="15" hidden="false" customHeight="false" outlineLevel="0" collapsed="false">
      <c r="A112" s="8" t="s">
        <v>345</v>
      </c>
      <c r="B112" s="8" t="s">
        <v>346</v>
      </c>
      <c r="C112" s="8" t="s">
        <v>346</v>
      </c>
      <c r="D112" s="8" t="s">
        <v>347</v>
      </c>
      <c r="E112" s="8" t="s">
        <v>347</v>
      </c>
      <c r="F112" s="9" t="n">
        <v>316000</v>
      </c>
      <c r="G112" s="9" t="n">
        <v>316000</v>
      </c>
      <c r="H112" s="9" t="n">
        <f aca="false">N(F112)-N(G112)</f>
        <v>0</v>
      </c>
      <c r="I112" s="8" t="s">
        <v>348</v>
      </c>
      <c r="J112" s="8" t="s">
        <v>348</v>
      </c>
      <c r="K112" s="8" t="s">
        <v>41</v>
      </c>
      <c r="L112" s="8" t="s">
        <v>41</v>
      </c>
      <c r="M112" s="8"/>
      <c r="N112" s="8"/>
      <c r="O112" s="8" t="s">
        <v>42</v>
      </c>
    </row>
    <row r="113" customFormat="false" ht="15" hidden="false" customHeight="false" outlineLevel="0" collapsed="false">
      <c r="A113" s="8" t="s">
        <v>349</v>
      </c>
      <c r="B113" s="8" t="s">
        <v>346</v>
      </c>
      <c r="C113" s="8" t="s">
        <v>346</v>
      </c>
      <c r="D113" s="8" t="s">
        <v>347</v>
      </c>
      <c r="E113" s="8" t="s">
        <v>347</v>
      </c>
      <c r="F113" s="9" t="n">
        <v>143970.7</v>
      </c>
      <c r="G113" s="9" t="n">
        <v>143970.7</v>
      </c>
      <c r="H113" s="9" t="n">
        <f aca="false">N(F113)-N(G113)</f>
        <v>0</v>
      </c>
      <c r="I113" s="8" t="s">
        <v>350</v>
      </c>
      <c r="J113" s="8" t="s">
        <v>350</v>
      </c>
      <c r="K113" s="8" t="s">
        <v>41</v>
      </c>
      <c r="L113" s="8" t="s">
        <v>41</v>
      </c>
      <c r="M113" s="8"/>
      <c r="N113" s="8"/>
      <c r="O113" s="8" t="s">
        <v>42</v>
      </c>
    </row>
    <row r="114" customFormat="false" ht="15" hidden="false" customHeight="false" outlineLevel="0" collapsed="false">
      <c r="A114" s="8" t="s">
        <v>351</v>
      </c>
      <c r="B114" s="8" t="s">
        <v>346</v>
      </c>
      <c r="C114" s="8" t="s">
        <v>346</v>
      </c>
      <c r="D114" s="8" t="s">
        <v>187</v>
      </c>
      <c r="E114" s="8" t="s">
        <v>187</v>
      </c>
      <c r="F114" s="9" t="n">
        <v>11898.12</v>
      </c>
      <c r="G114" s="9" t="n">
        <v>11898.12</v>
      </c>
      <c r="H114" s="9" t="n">
        <f aca="false">N(F114)-N(G114)</f>
        <v>0</v>
      </c>
      <c r="I114" s="8" t="s">
        <v>352</v>
      </c>
      <c r="J114" s="8" t="s">
        <v>352</v>
      </c>
      <c r="K114" s="8" t="s">
        <v>41</v>
      </c>
      <c r="L114" s="8"/>
      <c r="M114" s="8"/>
      <c r="N114" s="8"/>
      <c r="O114" s="8" t="s">
        <v>42</v>
      </c>
    </row>
    <row r="115" customFormat="false" ht="15" hidden="false" customHeight="false" outlineLevel="0" collapsed="false">
      <c r="A115" s="12" t="s">
        <v>353</v>
      </c>
      <c r="B115" s="12" t="s">
        <v>346</v>
      </c>
      <c r="C115" s="12"/>
      <c r="D115" s="12" t="s">
        <v>192</v>
      </c>
      <c r="E115" s="12"/>
      <c r="F115" s="13" t="n">
        <v>47349.79</v>
      </c>
      <c r="G115" s="12"/>
      <c r="H115" s="13" t="n">
        <f aca="false">N(F115)-N(G115)</f>
        <v>47349.79</v>
      </c>
      <c r="I115" s="12" t="s">
        <v>354</v>
      </c>
      <c r="J115" s="12"/>
      <c r="K115" s="12" t="s">
        <v>310</v>
      </c>
      <c r="L115" s="12"/>
      <c r="M115" s="12"/>
      <c r="N115" s="12"/>
      <c r="O115" s="12" t="s">
        <v>119</v>
      </c>
    </row>
    <row r="116" customFormat="false" ht="15" hidden="false" customHeight="false" outlineLevel="0" collapsed="false">
      <c r="A116" s="12" t="s">
        <v>355</v>
      </c>
      <c r="B116" s="12" t="s">
        <v>346</v>
      </c>
      <c r="C116" s="12"/>
      <c r="D116" s="12" t="s">
        <v>192</v>
      </c>
      <c r="E116" s="12"/>
      <c r="F116" s="13" t="n">
        <v>1183.74</v>
      </c>
      <c r="G116" s="12"/>
      <c r="H116" s="13" t="n">
        <f aca="false">N(F116)-N(G116)</f>
        <v>1183.74</v>
      </c>
      <c r="I116" s="12" t="s">
        <v>356</v>
      </c>
      <c r="J116" s="12"/>
      <c r="K116" s="12" t="s">
        <v>310</v>
      </c>
      <c r="L116" s="12"/>
      <c r="M116" s="12"/>
      <c r="N116" s="12"/>
      <c r="O116" s="12" t="s">
        <v>119</v>
      </c>
    </row>
    <row r="117" customFormat="false" ht="15" hidden="false" customHeight="false" outlineLevel="0" collapsed="false">
      <c r="A117" s="8" t="s">
        <v>357</v>
      </c>
      <c r="B117" s="8" t="s">
        <v>346</v>
      </c>
      <c r="C117" s="8" t="s">
        <v>346</v>
      </c>
      <c r="D117" s="8" t="s">
        <v>101</v>
      </c>
      <c r="E117" s="8" t="s">
        <v>101</v>
      </c>
      <c r="F117" s="9" t="n">
        <v>83980.65</v>
      </c>
      <c r="G117" s="9" t="n">
        <v>83980.65</v>
      </c>
      <c r="H117" s="9" t="n">
        <f aca="false">N(F117)-N(G117)</f>
        <v>0</v>
      </c>
      <c r="I117" s="8" t="s">
        <v>358</v>
      </c>
      <c r="J117" s="8" t="s">
        <v>358</v>
      </c>
      <c r="K117" s="8" t="s">
        <v>41</v>
      </c>
      <c r="L117" s="8" t="s">
        <v>41</v>
      </c>
      <c r="M117" s="8"/>
      <c r="N117" s="8"/>
      <c r="O117" s="8" t="s">
        <v>42</v>
      </c>
    </row>
    <row r="118" customFormat="false" ht="15" hidden="false" customHeight="false" outlineLevel="0" collapsed="false">
      <c r="A118" s="8" t="s">
        <v>359</v>
      </c>
      <c r="B118" s="8" t="s">
        <v>346</v>
      </c>
      <c r="C118" s="8" t="s">
        <v>346</v>
      </c>
      <c r="D118" s="8" t="s">
        <v>101</v>
      </c>
      <c r="E118" s="8" t="s">
        <v>101</v>
      </c>
      <c r="F118" s="9" t="n">
        <v>2652230.62</v>
      </c>
      <c r="G118" s="9" t="n">
        <v>2652230.62</v>
      </c>
      <c r="H118" s="9" t="n">
        <f aca="false">N(F118)-N(G118)</f>
        <v>0</v>
      </c>
      <c r="I118" s="8" t="s">
        <v>360</v>
      </c>
      <c r="J118" s="8" t="s">
        <v>360</v>
      </c>
      <c r="K118" s="8" t="s">
        <v>41</v>
      </c>
      <c r="L118" s="8" t="s">
        <v>41</v>
      </c>
      <c r="M118" s="8"/>
      <c r="N118" s="8"/>
      <c r="O118" s="8" t="s">
        <v>42</v>
      </c>
    </row>
    <row r="119" customFormat="false" ht="15" hidden="false" customHeight="false" outlineLevel="0" collapsed="false">
      <c r="A119" s="8" t="s">
        <v>361</v>
      </c>
      <c r="B119" s="8" t="s">
        <v>346</v>
      </c>
      <c r="C119" s="8" t="s">
        <v>346</v>
      </c>
      <c r="D119" s="8" t="s">
        <v>39</v>
      </c>
      <c r="E119" s="8" t="s">
        <v>39</v>
      </c>
      <c r="F119" s="9" t="n">
        <v>73200</v>
      </c>
      <c r="G119" s="9" t="n">
        <v>73200</v>
      </c>
      <c r="H119" s="9" t="n">
        <f aca="false">N(F119)-N(G119)</f>
        <v>0</v>
      </c>
      <c r="I119" s="8" t="s">
        <v>362</v>
      </c>
      <c r="J119" s="8" t="s">
        <v>362</v>
      </c>
      <c r="K119" s="8" t="s">
        <v>41</v>
      </c>
      <c r="L119" s="8"/>
      <c r="M119" s="8"/>
      <c r="N119" s="8"/>
      <c r="O119" s="8" t="s">
        <v>42</v>
      </c>
    </row>
    <row r="120" customFormat="false" ht="15" hidden="false" customHeight="false" outlineLevel="0" collapsed="false">
      <c r="A120" s="14" t="s">
        <v>363</v>
      </c>
      <c r="B120" s="14"/>
      <c r="C120" s="14"/>
      <c r="D120" s="14"/>
      <c r="E120" s="14"/>
      <c r="F120" s="15" t="n">
        <f aca="false">SUM(F2:F119)</f>
        <v>54006071.24</v>
      </c>
      <c r="G120" s="15" t="n">
        <f aca="false">SUM(G2:G119)</f>
        <v>51709044.85</v>
      </c>
      <c r="H120" s="15" t="n">
        <f aca="false">SUM(H2:H119)</f>
        <v>2297026.39</v>
      </c>
      <c r="I120" s="14"/>
      <c r="J120" s="14"/>
      <c r="K120" s="14"/>
      <c r="L120" s="14"/>
      <c r="M120" s="14"/>
      <c r="N120" s="14"/>
      <c r="O120" s="14"/>
    </row>
  </sheetData>
  <autoFilter ref="A1:O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364</v>
      </c>
      <c r="B1" s="7" t="s">
        <v>365</v>
      </c>
      <c r="C1" s="7" t="s">
        <v>22</v>
      </c>
      <c r="D1" s="7" t="s">
        <v>366</v>
      </c>
      <c r="E1" s="7" t="s">
        <v>367</v>
      </c>
      <c r="F1" s="7" t="s">
        <v>368</v>
      </c>
      <c r="G1" s="7" t="s">
        <v>369</v>
      </c>
      <c r="H1" s="7" t="s">
        <v>370</v>
      </c>
    </row>
    <row r="2" customFormat="false" ht="15" hidden="false" customHeight="false" outlineLevel="0" collapsed="false">
      <c r="A2" s="16" t="n">
        <v>1</v>
      </c>
      <c r="B2" s="12" t="s">
        <v>371</v>
      </c>
      <c r="C2" s="12" t="s">
        <v>115</v>
      </c>
      <c r="D2" s="12" t="s">
        <v>116</v>
      </c>
      <c r="E2" s="13" t="n">
        <v>17995.23</v>
      </c>
      <c r="F2" s="12"/>
      <c r="G2" s="13" t="n">
        <f aca="false">E2</f>
        <v>17995.23</v>
      </c>
      <c r="H2" s="12" t="s">
        <v>372</v>
      </c>
    </row>
    <row r="3" customFormat="false" ht="15" hidden="false" customHeight="false" outlineLevel="0" collapsed="false">
      <c r="A3" s="16" t="n">
        <v>2</v>
      </c>
      <c r="B3" s="12" t="s">
        <v>371</v>
      </c>
      <c r="C3" s="12" t="s">
        <v>275</v>
      </c>
      <c r="D3" s="12" t="s">
        <v>60</v>
      </c>
      <c r="E3" s="13" t="n">
        <v>2092208.77</v>
      </c>
      <c r="F3" s="12"/>
      <c r="G3" s="13" t="n">
        <f aca="false">E3</f>
        <v>2092208.77</v>
      </c>
      <c r="H3" s="12" t="s">
        <v>373</v>
      </c>
    </row>
    <row r="4" customFormat="false" ht="15" hidden="false" customHeight="false" outlineLevel="0" collapsed="false">
      <c r="A4" s="16" t="n">
        <v>3</v>
      </c>
      <c r="B4" s="12" t="s">
        <v>371</v>
      </c>
      <c r="C4" s="12" t="s">
        <v>353</v>
      </c>
      <c r="D4" s="12" t="s">
        <v>192</v>
      </c>
      <c r="E4" s="13" t="n">
        <v>47349.79</v>
      </c>
      <c r="F4" s="12"/>
      <c r="G4" s="13" t="n">
        <f aca="false">E4</f>
        <v>47349.79</v>
      </c>
      <c r="H4" s="12" t="s">
        <v>374</v>
      </c>
    </row>
    <row r="5" customFormat="false" ht="15" hidden="false" customHeight="false" outlineLevel="0" collapsed="false">
      <c r="A5" s="16" t="n">
        <v>4</v>
      </c>
      <c r="B5" s="12" t="s">
        <v>371</v>
      </c>
      <c r="C5" s="12" t="s">
        <v>355</v>
      </c>
      <c r="D5" s="12" t="s">
        <v>192</v>
      </c>
      <c r="E5" s="13" t="n">
        <v>1183.74</v>
      </c>
      <c r="F5" s="12"/>
      <c r="G5" s="13" t="n">
        <f aca="false">E5</f>
        <v>1183.74</v>
      </c>
      <c r="H5" s="12" t="s">
        <v>374</v>
      </c>
    </row>
    <row r="6" customFormat="false" ht="15" hidden="false" customHeight="false" outlineLevel="0" collapsed="false">
      <c r="A6" s="16" t="n">
        <v>5</v>
      </c>
      <c r="B6" s="12" t="s">
        <v>375</v>
      </c>
      <c r="C6" s="12" t="s">
        <v>271</v>
      </c>
      <c r="D6" s="12" t="s">
        <v>272</v>
      </c>
      <c r="E6" s="13" t="n">
        <v>197700</v>
      </c>
      <c r="F6" s="13" t="n">
        <v>162049.18</v>
      </c>
      <c r="G6" s="13" t="n">
        <f aca="false">E6-F6</f>
        <v>35650.82</v>
      </c>
      <c r="H6" s="12" t="s">
        <v>376</v>
      </c>
    </row>
    <row r="7" customFormat="false" ht="15" hidden="false" customHeight="false" outlineLevel="0" collapsed="false">
      <c r="A7" s="16" t="n">
        <v>6</v>
      </c>
      <c r="B7" s="12" t="s">
        <v>375</v>
      </c>
      <c r="C7" s="12" t="s">
        <v>302</v>
      </c>
      <c r="D7" s="12" t="s">
        <v>107</v>
      </c>
      <c r="E7" s="13" t="n">
        <v>136794</v>
      </c>
      <c r="F7" s="13" t="n">
        <v>112126.23</v>
      </c>
      <c r="G7" s="13" t="n">
        <f aca="false">E7-F7</f>
        <v>24667.77</v>
      </c>
      <c r="H7" s="12" t="s">
        <v>376</v>
      </c>
    </row>
    <row r="8" customFormat="false" ht="15" hidden="false" customHeight="false" outlineLevel="0" collapsed="false">
      <c r="A8" s="16" t="n">
        <v>7</v>
      </c>
      <c r="B8" s="12" t="s">
        <v>375</v>
      </c>
      <c r="C8" s="12" t="s">
        <v>305</v>
      </c>
      <c r="D8" s="12" t="s">
        <v>306</v>
      </c>
      <c r="E8" s="13" t="n">
        <v>152985</v>
      </c>
      <c r="F8" s="13" t="n">
        <v>125397.54</v>
      </c>
      <c r="G8" s="13" t="n">
        <f aca="false">E8-F8</f>
        <v>27587.46</v>
      </c>
      <c r="H8" s="12" t="s">
        <v>376</v>
      </c>
    </row>
    <row r="9" customFormat="false" ht="15" hidden="false" customHeight="false" outlineLevel="0" collapsed="false">
      <c r="A9" s="16" t="n">
        <v>8</v>
      </c>
      <c r="B9" s="12" t="s">
        <v>375</v>
      </c>
      <c r="C9" s="12" t="s">
        <v>308</v>
      </c>
      <c r="D9" s="12" t="s">
        <v>306</v>
      </c>
      <c r="E9" s="13" t="n">
        <v>214179</v>
      </c>
      <c r="F9" s="13" t="n">
        <v>175556.56</v>
      </c>
      <c r="G9" s="13" t="n">
        <f aca="false">E9-F9</f>
        <v>38622.44</v>
      </c>
      <c r="H9" s="12" t="s">
        <v>376</v>
      </c>
    </row>
    <row r="10" customFormat="false" ht="15" hidden="false" customHeight="false" outlineLevel="0" collapsed="false">
      <c r="A10" s="16" t="n">
        <v>9</v>
      </c>
      <c r="B10" s="12" t="s">
        <v>375</v>
      </c>
      <c r="C10" s="12" t="s">
        <v>337</v>
      </c>
      <c r="D10" s="12" t="s">
        <v>327</v>
      </c>
      <c r="E10" s="13" t="n">
        <v>65216.58</v>
      </c>
      <c r="F10" s="13" t="n">
        <v>53456.21</v>
      </c>
      <c r="G10" s="13" t="n">
        <f aca="false">E10-F10</f>
        <v>11760.37</v>
      </c>
      <c r="H10" s="12" t="s">
        <v>376</v>
      </c>
    </row>
    <row r="11" customFormat="false" ht="15" hidden="false" customHeight="false" outlineLevel="0" collapsed="false">
      <c r="A11" s="17" t="n">
        <v>10</v>
      </c>
      <c r="B11" s="10" t="s">
        <v>377</v>
      </c>
      <c r="C11" s="10" t="s">
        <v>203</v>
      </c>
      <c r="D11" s="10" t="s">
        <v>60</v>
      </c>
      <c r="E11" s="10" t="s">
        <v>204</v>
      </c>
      <c r="F11" s="10" t="s">
        <v>205</v>
      </c>
      <c r="G11" s="10"/>
      <c r="H11" s="10" t="s">
        <v>208</v>
      </c>
    </row>
    <row r="12" customFormat="false" ht="15" hidden="false" customHeight="false" outlineLevel="0" collapsed="false">
      <c r="A12" s="17" t="n">
        <v>11</v>
      </c>
      <c r="B12" s="10" t="s">
        <v>377</v>
      </c>
      <c r="C12" s="10" t="s">
        <v>245</v>
      </c>
      <c r="D12" s="10" t="s">
        <v>60</v>
      </c>
      <c r="E12" s="10" t="s">
        <v>243</v>
      </c>
      <c r="F12" s="10" t="s">
        <v>240</v>
      </c>
      <c r="G12" s="10"/>
      <c r="H12" s="10"/>
    </row>
    <row r="13" customFormat="false" ht="15" hidden="false" customHeight="false" outlineLevel="0" collapsed="false">
      <c r="A13" s="17" t="n">
        <v>12</v>
      </c>
      <c r="B13" s="10" t="s">
        <v>378</v>
      </c>
      <c r="C13" s="10" t="s">
        <v>47</v>
      </c>
      <c r="D13" s="10" t="s">
        <v>49</v>
      </c>
      <c r="E13" s="10" t="s">
        <v>51</v>
      </c>
      <c r="F13" s="10" t="s">
        <v>41</v>
      </c>
      <c r="G13" s="10"/>
      <c r="H13" s="10"/>
    </row>
    <row r="14" customFormat="false" ht="15" hidden="false" customHeight="false" outlineLevel="0" collapsed="false">
      <c r="A14" s="17" t="n">
        <v>13</v>
      </c>
      <c r="B14" s="10" t="s">
        <v>378</v>
      </c>
      <c r="C14" s="10" t="s">
        <v>308</v>
      </c>
      <c r="D14" s="10" t="s">
        <v>306</v>
      </c>
      <c r="E14" s="10" t="s">
        <v>310</v>
      </c>
      <c r="F14" s="10" t="s">
        <v>41</v>
      </c>
      <c r="G14" s="10"/>
      <c r="H14" s="10"/>
    </row>
    <row r="15" customFormat="false" ht="15" hidden="false" customHeight="false" outlineLevel="0" collapsed="false">
      <c r="A15" s="17" t="n">
        <v>14</v>
      </c>
      <c r="B15" s="10" t="s">
        <v>379</v>
      </c>
      <c r="C15" s="10" t="s">
        <v>120</v>
      </c>
      <c r="D15" s="10" t="s">
        <v>107</v>
      </c>
      <c r="E15" s="10" t="s">
        <v>122</v>
      </c>
      <c r="F15" s="10" t="s">
        <v>380</v>
      </c>
      <c r="G15" s="10"/>
      <c r="H15" s="10" t="s">
        <v>381</v>
      </c>
    </row>
    <row r="16" customFormat="false" ht="15" hidden="false" customHeight="false" outlineLevel="0" collapsed="false">
      <c r="A16" s="17" t="n">
        <v>15</v>
      </c>
      <c r="B16" s="10" t="s">
        <v>379</v>
      </c>
      <c r="C16" s="10" t="s">
        <v>291</v>
      </c>
      <c r="D16" s="10" t="s">
        <v>293</v>
      </c>
      <c r="E16" s="10" t="s">
        <v>122</v>
      </c>
      <c r="F16" s="10" t="s">
        <v>380</v>
      </c>
      <c r="G16" s="10"/>
      <c r="H16" s="1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2026-10-10T13:44:13Z</dcterms:created>
  <dc:creator>openpyxl</dc:creator>
  <dc:description/>
  <dc:language>en-US</dc:language>
  <cp:lastModifiedBy/>
  <dcterms:modified xsi:type="dcterms:W3CDTF">2026-10-10T13:44:13Z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