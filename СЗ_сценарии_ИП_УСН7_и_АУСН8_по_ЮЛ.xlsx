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П УСН 7% и АУСН 8%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;(#,##0);-"/>
  </numFmts>
  <fonts count="1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0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FFFFFF"/>
      <sz val="10"/>
    </font>
    <font>
      <name val="Arial"/>
      <b val="1"/>
      <color rgb="001F4E78"/>
      <sz val="11"/>
    </font>
    <font>
      <name val="Arial"/>
      <color rgb="00808080"/>
      <sz val="9"/>
    </font>
    <font>
      <name val="Arial"/>
      <b val="1"/>
      <color rgb="001F4E78"/>
      <sz val="10"/>
    </font>
    <font>
      <name val="Arial"/>
      <color rgb="00000000"/>
      <sz val="10"/>
    </font>
    <font>
      <name val="Arial"/>
      <b val="1"/>
      <color rgb="00C00000"/>
      <sz val="10"/>
    </font>
    <font>
      <name val="Arial"/>
      <color rgb="00808080"/>
      <sz val="10"/>
    </font>
    <font>
      <name val="Arial"/>
      <b val="1"/>
      <sz val="11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2F7FB"/>
      </patternFill>
    </fill>
    <fill>
      <patternFill patternType="solid">
        <fgColor rgb="00DCE6F1"/>
      </patternFill>
    </fill>
    <fill>
      <patternFill patternType="solid">
        <fgColor rgb="00B4C6E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164" fontId="5" fillId="2" borderId="1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 wrapText="1"/>
    </xf>
    <xf numFmtId="0" fontId="7" fillId="4" borderId="1" pivotButton="0" quotePrefix="0" xfId="0"/>
    <xf numFmtId="0" fontId="0" fillId="4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5" fontId="4" fillId="0" borderId="1" pivotButton="0" quotePrefix="0" xfId="0"/>
    <xf numFmtId="165" fontId="9" fillId="0" borderId="1" pivotButton="0" quotePrefix="0" xfId="0"/>
    <xf numFmtId="165" fontId="10" fillId="0" borderId="1" pivotButton="0" quotePrefix="0" xfId="0"/>
    <xf numFmtId="165" fontId="11" fillId="0" borderId="1" pivotButton="0" quotePrefix="0" xfId="0"/>
    <xf numFmtId="165" fontId="12" fillId="0" borderId="1" pivotButton="0" quotePrefix="0" xfId="0"/>
    <xf numFmtId="164" fontId="8" fillId="0" borderId="0" pivotButton="0" quotePrefix="0" xfId="0"/>
    <xf numFmtId="0" fontId="4" fillId="5" borderId="1" applyAlignment="1" pivotButton="0" quotePrefix="0" xfId="0">
      <alignment horizontal="center"/>
    </xf>
    <xf numFmtId="0" fontId="4" fillId="5" borderId="1" pivotButton="0" quotePrefix="0" xfId="0"/>
    <xf numFmtId="165" fontId="4" fillId="5" borderId="1" pivotButton="0" quotePrefix="0" xfId="0"/>
    <xf numFmtId="165" fontId="9" fillId="5" borderId="1" pivotButton="0" quotePrefix="0" xfId="0"/>
    <xf numFmtId="165" fontId="10" fillId="5" borderId="1" pivotButton="0" quotePrefix="0" xfId="0"/>
    <xf numFmtId="165" fontId="11" fillId="5" borderId="1" pivotButton="0" quotePrefix="0" xfId="0"/>
    <xf numFmtId="165" fontId="12" fillId="5" borderId="1" pivotButton="0" quotePrefix="0" xfId="0"/>
    <xf numFmtId="0" fontId="0" fillId="6" borderId="1" pivotButton="0" quotePrefix="0" xfId="0"/>
    <xf numFmtId="0" fontId="3" fillId="6" borderId="1" pivotButton="0" quotePrefix="0" xfId="0"/>
    <xf numFmtId="165" fontId="3" fillId="6" borderId="1" pivotButton="0" quotePrefix="0" xfId="0"/>
    <xf numFmtId="0" fontId="0" fillId="7" borderId="1" pivotButton="0" quotePrefix="0" xfId="0"/>
    <xf numFmtId="0" fontId="13" fillId="7" borderId="1" pivotButton="0" quotePrefix="0" xfId="0"/>
    <xf numFmtId="165" fontId="13" fillId="7" borderId="1" pivotButton="0" quotePrefix="0" xfId="0"/>
    <xf numFmtId="0" fontId="13" fillId="0" borderId="0" pivotButton="0" quotePrefix="0" xfId="0"/>
    <xf numFmtId="0" fontId="3" fillId="8" borderId="1" pivotButton="0" quotePrefix="0" xfId="0"/>
    <xf numFmtId="0" fontId="4" fillId="8" borderId="1" applyAlignment="1" pivotButton="0" quotePrefix="0" xfId="0">
      <alignment horizontal="center"/>
    </xf>
    <xf numFmtId="165" fontId="4" fillId="8" borderId="1" pivotButton="0" quotePrefix="0" xfId="0"/>
    <xf numFmtId="165" fontId="3" fillId="8" borderId="1" pivotButton="0" quotePrefix="0" xfId="0"/>
    <xf numFmtId="0" fontId="3" fillId="7" borderId="1" pivotButton="0" quotePrefix="0" xfId="0"/>
    <xf numFmtId="0" fontId="3" fillId="7" borderId="1" applyAlignment="1" pivotButton="0" quotePrefix="0" xfId="0">
      <alignment horizontal="center"/>
    </xf>
    <xf numFmtId="165" fontId="3" fillId="7" borderId="1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13" customWidth="1" min="3" max="3"/>
    <col width="7" customWidth="1" min="4" max="4"/>
    <col width="11" customWidth="1" min="5" max="5"/>
    <col width="15" customWidth="1" min="6" max="6"/>
    <col width="6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7" customWidth="1" min="13" max="13"/>
    <col width="19" customWidth="1" min="14" max="14"/>
    <col width="17" customWidth="1" min="15" max="15"/>
    <col width="19" customWidth="1" min="16" max="16"/>
    <col width="17" customWidth="1" min="17" max="17"/>
    <col width="19" customWidth="1" min="18" max="18"/>
    <col width="19" customWidth="1" min="19" max="19"/>
    <col hidden="1" width="13" customWidth="1" min="21" max="21"/>
  </cols>
  <sheetData>
    <row r="1">
      <c r="A1" s="1" t="inlineStr">
        <is>
          <t>Сценарии «выплаты как ИП»: УСН 7% и АУСН 8%. Те же 20 самозанятых, группировка по юр. лицу</t>
        </is>
      </c>
    </row>
    <row r="2">
      <c r="A2" s="2" t="inlineStr">
        <is>
          <t>Источник данных: таблица «СЗ_длительные_выплаты_по_ЮЛ_2022-2026». Столбцы 2022–2026 — фактическое «Итого к выплате» в режиме НПД, ₽.</t>
        </is>
      </c>
    </row>
    <row r="3">
      <c r="A3" s="2" t="inlineStr">
        <is>
          <t>Отбор тот же: статус «активен», выплаты продолжаются в 2026. Внутри каждого ЮЛ: по стажу по убыванию, далее по общей сумме по убыванию.</t>
        </is>
      </c>
    </row>
    <row r="4">
      <c r="A4" s="3" t="inlineStr">
        <is>
          <t>ДОПУЩЕНИЯ (синие ячейки — можно менять, всё пересчитается):</t>
        </is>
      </c>
    </row>
    <row r="5">
      <c r="B5" s="4" t="inlineStr">
        <is>
          <t>Выплат в 2026 (мес.)</t>
        </is>
      </c>
      <c r="C5" s="5" t="n">
        <v>7</v>
      </c>
      <c r="D5" s="2" t="inlineStr">
        <is>
          <t>← 16.01, 13.02, 13.03, 15.04, 15.05, 15.06, 15.07</t>
        </is>
      </c>
    </row>
    <row r="6">
      <c r="B6" s="4" t="inlineStr">
        <is>
          <t>Ставка УСН «доходы»</t>
        </is>
      </c>
      <c r="C6" s="6" t="n">
        <v>0.07000000000000001</v>
      </c>
      <c r="D6" s="2" t="inlineStr">
        <is>
          <t>← налог сверху: выплата = на руки ÷ (1 − 7%)</t>
        </is>
      </c>
    </row>
    <row r="7">
      <c r="B7" s="4" t="inlineStr">
        <is>
          <t>Ставка АУСН «доходы»</t>
        </is>
      </c>
      <c r="C7" s="6" t="n">
        <v>0.08</v>
      </c>
      <c r="D7" s="2" t="inlineStr">
        <is>
          <t>← налог сверху: выплата = на руки ÷ (1 − 8%)</t>
        </is>
      </c>
    </row>
    <row r="9" ht="48" customHeight="1">
      <c r="A9" s="7" t="inlineStr">
        <is>
          <t>№</t>
        </is>
      </c>
      <c r="B9" s="7" t="inlineStr">
        <is>
          <t>ФИО</t>
        </is>
      </c>
      <c r="C9" s="7" t="inlineStr">
        <is>
          <t>Проект</t>
        </is>
      </c>
      <c r="D9" s="7" t="inlineStr">
        <is>
          <t>ЮЛ</t>
        </is>
      </c>
      <c r="E9" s="7" t="inlineStr">
        <is>
          <t>Статус</t>
        </is>
      </c>
      <c r="F9" s="7" t="inlineStr">
        <is>
          <t>Период выплат</t>
        </is>
      </c>
      <c r="G9" s="7" t="inlineStr">
        <is>
          <t>Лет</t>
        </is>
      </c>
      <c r="H9" s="7" t="inlineStr">
        <is>
          <t>2022</t>
        </is>
      </c>
      <c r="I9" s="7" t="inlineStr">
        <is>
          <t>2023</t>
        </is>
      </c>
      <c r="J9" s="7" t="inlineStr">
        <is>
          <t>2024</t>
        </is>
      </c>
      <c r="K9" s="7" t="inlineStr">
        <is>
          <t>2025</t>
        </is>
      </c>
      <c r="L9" s="7" t="inlineStr">
        <is>
          <t>2026</t>
        </is>
      </c>
      <c r="M9" s="7" t="inlineStr">
        <is>
          <t>Итого 2022–2026</t>
        </is>
      </c>
      <c r="N9" s="7" t="inlineStr">
        <is>
          <t>Среднемес. на руки 2026</t>
        </is>
      </c>
      <c r="O9" s="7" t="inlineStr">
        <is>
          <t>УСН 7%: налог в месяц</t>
        </is>
      </c>
      <c r="P9" s="7" t="inlineStr">
        <is>
          <t>УСН 7%: выплата ИП в месяц</t>
        </is>
      </c>
      <c r="Q9" s="7" t="inlineStr">
        <is>
          <t>АУСН 8%: налог в месяц</t>
        </is>
      </c>
      <c r="R9" s="7" t="inlineStr">
        <is>
          <t>АУСН 8%: выплата ИП в месяц</t>
        </is>
      </c>
      <c r="S9" s="7" t="inlineStr">
        <is>
          <t>Разница АУСН − УСН, в месяц</t>
        </is>
      </c>
    </row>
    <row r="10">
      <c r="A10" s="8" t="inlineStr">
        <is>
          <t>БВ — 15 чел.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</row>
    <row r="11">
      <c r="A11" s="10" t="n">
        <v>1</v>
      </c>
      <c r="B11" s="11" t="inlineStr">
        <is>
          <t>Глубокая Яна Ярославовна</t>
        </is>
      </c>
      <c r="C11" s="11" t="inlineStr">
        <is>
          <t>ТФМ (ПО)</t>
        </is>
      </c>
      <c r="D11" s="10" t="inlineStr">
        <is>
          <t>БВ</t>
        </is>
      </c>
      <c r="E11" s="10" t="inlineStr">
        <is>
          <t>активен</t>
        </is>
      </c>
      <c r="F11" s="10" t="inlineStr">
        <is>
          <t>2022–2026</t>
        </is>
      </c>
      <c r="G11" s="10" t="n">
        <v>5</v>
      </c>
      <c r="H11" s="12" t="n">
        <v>74734</v>
      </c>
      <c r="I11" s="12" t="n">
        <v>1277373</v>
      </c>
      <c r="J11" s="12" t="n">
        <v>2001199</v>
      </c>
      <c r="K11" s="12" t="n">
        <v>2541224</v>
      </c>
      <c r="L11" s="12" t="n">
        <v>1468449.18</v>
      </c>
      <c r="M11" s="13">
        <f>SUM(H11:L11)</f>
        <v/>
      </c>
      <c r="N11" s="13">
        <f>L11/$C$5*(1-U11)</f>
        <v/>
      </c>
      <c r="O11" s="14">
        <f>N11/(1-$C$6)-N11</f>
        <v/>
      </c>
      <c r="P11" s="15">
        <f>N11+O11</f>
        <v/>
      </c>
      <c r="Q11" s="14">
        <f>N11/(1-$C$7)-N11</f>
        <v/>
      </c>
      <c r="R11" s="15">
        <f>N11+Q11</f>
        <v/>
      </c>
      <c r="S11" s="16">
        <f>R11-P11</f>
        <v/>
      </c>
      <c r="U11" s="17" t="n">
        <v>0.06</v>
      </c>
    </row>
    <row r="12">
      <c r="A12" s="18" t="n">
        <v>2</v>
      </c>
      <c r="B12" s="19" t="inlineStr">
        <is>
          <t>Высочинский Даниил Сергеевич</t>
        </is>
      </c>
      <c r="C12" s="19" t="inlineStr">
        <is>
          <t>ТФМ (ОСП)</t>
        </is>
      </c>
      <c r="D12" s="18" t="inlineStr">
        <is>
          <t>БВ</t>
        </is>
      </c>
      <c r="E12" s="18" t="inlineStr">
        <is>
          <t>активен</t>
        </is>
      </c>
      <c r="F12" s="18" t="inlineStr">
        <is>
          <t>2022–2026</t>
        </is>
      </c>
      <c r="G12" s="18" t="n">
        <v>5</v>
      </c>
      <c r="H12" s="20" t="n">
        <v>43489</v>
      </c>
      <c r="I12" s="20" t="n">
        <v>715306.13</v>
      </c>
      <c r="J12" s="20" t="n">
        <v>1582317</v>
      </c>
      <c r="K12" s="20" t="n">
        <v>1778297</v>
      </c>
      <c r="L12" s="20" t="n">
        <v>1146293</v>
      </c>
      <c r="M12" s="21">
        <f>SUM(H12:L12)</f>
        <v/>
      </c>
      <c r="N12" s="21">
        <f>L12/$C$5*(1-U12)</f>
        <v/>
      </c>
      <c r="O12" s="22">
        <f>N12/(1-$C$6)-N12</f>
        <v/>
      </c>
      <c r="P12" s="23">
        <f>N12+O12</f>
        <v/>
      </c>
      <c r="Q12" s="22">
        <f>N12/(1-$C$7)-N12</f>
        <v/>
      </c>
      <c r="R12" s="23">
        <f>N12+Q12</f>
        <v/>
      </c>
      <c r="S12" s="24">
        <f>R12-P12</f>
        <v/>
      </c>
      <c r="U12" s="17" t="n">
        <v>0.06</v>
      </c>
    </row>
    <row r="13">
      <c r="A13" s="10" t="n">
        <v>3</v>
      </c>
      <c r="B13" s="11" t="inlineStr">
        <is>
          <t>Дроздова Мария Глебовна</t>
        </is>
      </c>
      <c r="C13" s="11" t="inlineStr">
        <is>
          <t>ТФМ (ОСП)</t>
        </is>
      </c>
      <c r="D13" s="10" t="inlineStr">
        <is>
          <t>БВ</t>
        </is>
      </c>
      <c r="E13" s="10" t="inlineStr">
        <is>
          <t>активен</t>
        </is>
      </c>
      <c r="F13" s="10" t="inlineStr">
        <is>
          <t>2022–2026</t>
        </is>
      </c>
      <c r="G13" s="10" t="n">
        <v>5</v>
      </c>
      <c r="H13" s="12" t="n">
        <v>41064</v>
      </c>
      <c r="I13" s="12" t="n">
        <v>637553</v>
      </c>
      <c r="J13" s="12" t="n">
        <v>1442457</v>
      </c>
      <c r="K13" s="12" t="n">
        <v>1784722</v>
      </c>
      <c r="L13" s="12" t="n">
        <v>1222167</v>
      </c>
      <c r="M13" s="13">
        <f>SUM(H13:L13)</f>
        <v/>
      </c>
      <c r="N13" s="13">
        <f>L13/$C$5*(1-U13)</f>
        <v/>
      </c>
      <c r="O13" s="14">
        <f>N13/(1-$C$6)-N13</f>
        <v/>
      </c>
      <c r="P13" s="15">
        <f>N13+O13</f>
        <v/>
      </c>
      <c r="Q13" s="14">
        <f>N13/(1-$C$7)-N13</f>
        <v/>
      </c>
      <c r="R13" s="15">
        <f>N13+Q13</f>
        <v/>
      </c>
      <c r="S13" s="16">
        <f>R13-P13</f>
        <v/>
      </c>
      <c r="U13" s="17" t="n">
        <v>0.06</v>
      </c>
    </row>
    <row r="14">
      <c r="A14" s="18" t="n">
        <v>4</v>
      </c>
      <c r="B14" s="19" t="inlineStr">
        <is>
          <t>Кузьмина Елена Игоревна</t>
        </is>
      </c>
      <c r="C14" s="19" t="inlineStr">
        <is>
          <t>ТФМ (ОСП)</t>
        </is>
      </c>
      <c r="D14" s="18" t="inlineStr">
        <is>
          <t>БВ</t>
        </is>
      </c>
      <c r="E14" s="18" t="inlineStr">
        <is>
          <t>активен</t>
        </is>
      </c>
      <c r="F14" s="18" t="inlineStr">
        <is>
          <t>2022–2026</t>
        </is>
      </c>
      <c r="G14" s="18" t="n">
        <v>5</v>
      </c>
      <c r="H14" s="20" t="n">
        <v>59574</v>
      </c>
      <c r="I14" s="20" t="n">
        <v>100638</v>
      </c>
      <c r="J14" s="20" t="n">
        <v>1253297</v>
      </c>
      <c r="K14" s="20" t="n">
        <v>115745</v>
      </c>
      <c r="L14" s="20" t="n">
        <v>1062722</v>
      </c>
      <c r="M14" s="21">
        <f>SUM(H14:L14)</f>
        <v/>
      </c>
      <c r="N14" s="21">
        <f>L14/$C$5*(1-U14)</f>
        <v/>
      </c>
      <c r="O14" s="22">
        <f>N14/(1-$C$6)-N14</f>
        <v/>
      </c>
      <c r="P14" s="23">
        <f>N14+O14</f>
        <v/>
      </c>
      <c r="Q14" s="22">
        <f>N14/(1-$C$7)-N14</f>
        <v/>
      </c>
      <c r="R14" s="23">
        <f>N14+Q14</f>
        <v/>
      </c>
      <c r="S14" s="24">
        <f>R14-P14</f>
        <v/>
      </c>
      <c r="U14" s="17" t="n">
        <v>0.06</v>
      </c>
    </row>
    <row r="15">
      <c r="A15" s="10" t="n">
        <v>5</v>
      </c>
      <c r="B15" s="11" t="inlineStr">
        <is>
          <t>Гатиатуллина Марина Эдуардовна</t>
        </is>
      </c>
      <c r="C15" s="11" t="inlineStr">
        <is>
          <t>Fansy</t>
        </is>
      </c>
      <c r="D15" s="10" t="inlineStr">
        <is>
          <t>БВ</t>
        </is>
      </c>
      <c r="E15" s="10" t="inlineStr">
        <is>
          <t>активен</t>
        </is>
      </c>
      <c r="F15" s="10" t="inlineStr">
        <is>
          <t>2023–2026</t>
        </is>
      </c>
      <c r="G15" s="10" t="n">
        <v>4</v>
      </c>
      <c r="H15" s="12" t="n">
        <v>0</v>
      </c>
      <c r="I15" s="12" t="n">
        <v>269105.17</v>
      </c>
      <c r="J15" s="12" t="n">
        <v>1743298</v>
      </c>
      <c r="K15" s="12" t="n">
        <v>1991245.01</v>
      </c>
      <c r="L15" s="12" t="n">
        <v>1192011.1</v>
      </c>
      <c r="M15" s="13">
        <f>SUM(H15:L15)</f>
        <v/>
      </c>
      <c r="N15" s="13">
        <f>L15/$C$5*(1-U15)</f>
        <v/>
      </c>
      <c r="O15" s="14">
        <f>N15/(1-$C$6)-N15</f>
        <v/>
      </c>
      <c r="P15" s="15">
        <f>N15+O15</f>
        <v/>
      </c>
      <c r="Q15" s="14">
        <f>N15/(1-$C$7)-N15</f>
        <v/>
      </c>
      <c r="R15" s="15">
        <f>N15+Q15</f>
        <v/>
      </c>
      <c r="S15" s="16">
        <f>R15-P15</f>
        <v/>
      </c>
      <c r="U15" s="17" t="n">
        <v>0.06</v>
      </c>
    </row>
    <row r="16">
      <c r="A16" s="18" t="n">
        <v>6</v>
      </c>
      <c r="B16" s="19" t="inlineStr">
        <is>
          <t>Оглезнева Полина Сергеевна</t>
        </is>
      </c>
      <c r="C16" s="19" t="inlineStr">
        <is>
          <t>ТФМ (ОСП)</t>
        </is>
      </c>
      <c r="D16" s="18" t="inlineStr">
        <is>
          <t>БВ</t>
        </is>
      </c>
      <c r="E16" s="18" t="inlineStr">
        <is>
          <t>активен</t>
        </is>
      </c>
      <c r="F16" s="18" t="inlineStr">
        <is>
          <t>2023–2026</t>
        </is>
      </c>
      <c r="G16" s="18" t="n">
        <v>4</v>
      </c>
      <c r="H16" s="20" t="n">
        <v>0</v>
      </c>
      <c r="I16" s="20" t="n">
        <v>140852</v>
      </c>
      <c r="J16" s="20" t="n">
        <v>205851</v>
      </c>
      <c r="K16" s="20" t="n">
        <v>2326991</v>
      </c>
      <c r="L16" s="20" t="n">
        <v>1574518</v>
      </c>
      <c r="M16" s="21">
        <f>SUM(H16:L16)</f>
        <v/>
      </c>
      <c r="N16" s="21">
        <f>L16/$C$5*(1-U16)</f>
        <v/>
      </c>
      <c r="O16" s="22">
        <f>N16/(1-$C$6)-N16</f>
        <v/>
      </c>
      <c r="P16" s="23">
        <f>N16+O16</f>
        <v/>
      </c>
      <c r="Q16" s="22">
        <f>N16/(1-$C$7)-N16</f>
        <v/>
      </c>
      <c r="R16" s="23">
        <f>N16+Q16</f>
        <v/>
      </c>
      <c r="S16" s="24">
        <f>R16-P16</f>
        <v/>
      </c>
      <c r="U16" s="17" t="n">
        <v>0.06</v>
      </c>
    </row>
    <row r="17">
      <c r="A17" s="10" t="n">
        <v>7</v>
      </c>
      <c r="B17" s="11" t="inlineStr">
        <is>
          <t>Бобрышева Татьяна Сергеевна</t>
        </is>
      </c>
      <c r="C17" s="11" t="inlineStr">
        <is>
          <t>ТФМ (ПО)</t>
        </is>
      </c>
      <c r="D17" s="10" t="inlineStr">
        <is>
          <t>БВ</t>
        </is>
      </c>
      <c r="E17" s="10" t="inlineStr">
        <is>
          <t>активен</t>
        </is>
      </c>
      <c r="F17" s="10" t="inlineStr">
        <is>
          <t>2023–2026</t>
        </is>
      </c>
      <c r="G17" s="10" t="n">
        <v>4</v>
      </c>
      <c r="H17" s="12" t="n">
        <v>0</v>
      </c>
      <c r="I17" s="12" t="n">
        <v>554372.52</v>
      </c>
      <c r="J17" s="12" t="n">
        <v>1016796.76</v>
      </c>
      <c r="K17" s="12" t="n">
        <v>1505710.52</v>
      </c>
      <c r="L17" s="12" t="n">
        <v>1082430.98</v>
      </c>
      <c r="M17" s="13">
        <f>SUM(H17:L17)</f>
        <v/>
      </c>
      <c r="N17" s="13">
        <f>L17/$C$5*(1-U17)</f>
        <v/>
      </c>
      <c r="O17" s="14">
        <f>N17/(1-$C$6)-N17</f>
        <v/>
      </c>
      <c r="P17" s="15">
        <f>N17+O17</f>
        <v/>
      </c>
      <c r="Q17" s="14">
        <f>N17/(1-$C$7)-N17</f>
        <v/>
      </c>
      <c r="R17" s="15">
        <f>N17+Q17</f>
        <v/>
      </c>
      <c r="S17" s="16">
        <f>R17-P17</f>
        <v/>
      </c>
      <c r="U17" s="17" t="n">
        <v>0.06</v>
      </c>
    </row>
    <row r="18">
      <c r="A18" s="18" t="n">
        <v>8</v>
      </c>
      <c r="B18" s="19" t="inlineStr">
        <is>
          <t>Абдуллина Аделина Линаровна</t>
        </is>
      </c>
      <c r="C18" s="19" t="inlineStr">
        <is>
          <t>Fansy</t>
        </is>
      </c>
      <c r="D18" s="18" t="inlineStr">
        <is>
          <t>БВ</t>
        </is>
      </c>
      <c r="E18" s="18" t="inlineStr">
        <is>
          <t>активен</t>
        </is>
      </c>
      <c r="F18" s="18" t="inlineStr">
        <is>
          <t>2023–2026</t>
        </is>
      </c>
      <c r="G18" s="18" t="n">
        <v>4</v>
      </c>
      <c r="H18" s="20" t="n">
        <v>0</v>
      </c>
      <c r="I18" s="20" t="n">
        <v>129104.22</v>
      </c>
      <c r="J18" s="20" t="n">
        <v>690632</v>
      </c>
      <c r="K18" s="20" t="n">
        <v>1072320</v>
      </c>
      <c r="L18" s="20" t="n">
        <v>755000</v>
      </c>
      <c r="M18" s="21">
        <f>SUM(H18:L18)</f>
        <v/>
      </c>
      <c r="N18" s="21">
        <f>L18/$C$5*(1-U18)</f>
        <v/>
      </c>
      <c r="O18" s="22">
        <f>N18/(1-$C$6)-N18</f>
        <v/>
      </c>
      <c r="P18" s="23">
        <f>N18+O18</f>
        <v/>
      </c>
      <c r="Q18" s="22">
        <f>N18/(1-$C$7)-N18</f>
        <v/>
      </c>
      <c r="R18" s="23">
        <f>N18+Q18</f>
        <v/>
      </c>
      <c r="S18" s="24">
        <f>R18-P18</f>
        <v/>
      </c>
      <c r="U18" s="17" t="n">
        <v>0</v>
      </c>
    </row>
    <row r="19">
      <c r="A19" s="10" t="n">
        <v>9</v>
      </c>
      <c r="B19" s="11" t="inlineStr">
        <is>
          <t>Демакова Дарья</t>
        </is>
      </c>
      <c r="C19" s="11" t="inlineStr">
        <is>
          <t>ТХ</t>
        </is>
      </c>
      <c r="D19" s="10" t="inlineStr">
        <is>
          <t>БВ</t>
        </is>
      </c>
      <c r="E19" s="10" t="inlineStr">
        <is>
          <t>активен</t>
        </is>
      </c>
      <c r="F19" s="10" t="inlineStr">
        <is>
          <t>2024–2026</t>
        </is>
      </c>
      <c r="G19" s="10" t="n">
        <v>3</v>
      </c>
      <c r="H19" s="12" t="n">
        <v>0</v>
      </c>
      <c r="I19" s="12" t="n">
        <v>0</v>
      </c>
      <c r="J19" s="12" t="n">
        <v>582823.1800000001</v>
      </c>
      <c r="K19" s="12" t="n">
        <v>1530724</v>
      </c>
      <c r="L19" s="12" t="n">
        <v>1167329</v>
      </c>
      <c r="M19" s="13">
        <f>SUM(H19:L19)</f>
        <v/>
      </c>
      <c r="N19" s="13">
        <f>L19/$C$5*(1-U19)</f>
        <v/>
      </c>
      <c r="O19" s="14">
        <f>N19/(1-$C$6)-N19</f>
        <v/>
      </c>
      <c r="P19" s="15">
        <f>N19+O19</f>
        <v/>
      </c>
      <c r="Q19" s="14">
        <f>N19/(1-$C$7)-N19</f>
        <v/>
      </c>
      <c r="R19" s="15">
        <f>N19+Q19</f>
        <v/>
      </c>
      <c r="S19" s="16">
        <f>R19-P19</f>
        <v/>
      </c>
      <c r="U19" s="17" t="n">
        <v>0.06</v>
      </c>
    </row>
    <row r="20">
      <c r="A20" s="18" t="n">
        <v>10</v>
      </c>
      <c r="B20" s="19" t="inlineStr">
        <is>
          <t>Кузнецова Светлана Дмитриевна</t>
        </is>
      </c>
      <c r="C20" s="19" t="inlineStr">
        <is>
          <t>ТФМ (ПО)</t>
        </is>
      </c>
      <c r="D20" s="18" t="inlineStr">
        <is>
          <t>БВ</t>
        </is>
      </c>
      <c r="E20" s="18" t="inlineStr">
        <is>
          <t>активен</t>
        </is>
      </c>
      <c r="F20" s="18" t="inlineStr">
        <is>
          <t>2024–2026</t>
        </is>
      </c>
      <c r="G20" s="18" t="n">
        <v>3</v>
      </c>
      <c r="H20" s="20" t="n">
        <v>0</v>
      </c>
      <c r="I20" s="20" t="n">
        <v>0</v>
      </c>
      <c r="J20" s="20" t="n">
        <v>1425506.19</v>
      </c>
      <c r="K20" s="20" t="n">
        <v>109043</v>
      </c>
      <c r="L20" s="20" t="n">
        <v>1145357.79</v>
      </c>
      <c r="M20" s="21">
        <f>SUM(H20:L20)</f>
        <v/>
      </c>
      <c r="N20" s="21">
        <f>L20/$C$5*(1-U20)</f>
        <v/>
      </c>
      <c r="O20" s="22">
        <f>N20/(1-$C$6)-N20</f>
        <v/>
      </c>
      <c r="P20" s="23">
        <f>N20+O20</f>
        <v/>
      </c>
      <c r="Q20" s="22">
        <f>N20/(1-$C$7)-N20</f>
        <v/>
      </c>
      <c r="R20" s="23">
        <f>N20+Q20</f>
        <v/>
      </c>
      <c r="S20" s="24">
        <f>R20-P20</f>
        <v/>
      </c>
      <c r="U20" s="17" t="n">
        <v>0.06</v>
      </c>
    </row>
    <row r="21">
      <c r="A21" s="10" t="n">
        <v>11</v>
      </c>
      <c r="B21" s="11" t="inlineStr">
        <is>
          <t>Нуруллина Анжелика Альбертовна</t>
        </is>
      </c>
      <c r="C21" s="11" t="inlineStr">
        <is>
          <t>Fansy</t>
        </is>
      </c>
      <c r="D21" s="10" t="inlineStr">
        <is>
          <t>БВ</t>
        </is>
      </c>
      <c r="E21" s="10" t="inlineStr">
        <is>
          <t>активен</t>
        </is>
      </c>
      <c r="F21" s="10" t="inlineStr">
        <is>
          <t>2024–2026</t>
        </is>
      </c>
      <c r="G21" s="10" t="n">
        <v>3</v>
      </c>
      <c r="H21" s="12" t="n">
        <v>0</v>
      </c>
      <c r="I21" s="12" t="n">
        <v>0</v>
      </c>
      <c r="J21" s="12" t="n">
        <v>338830</v>
      </c>
      <c r="K21" s="12" t="n">
        <v>1331065</v>
      </c>
      <c r="L21" s="12" t="n">
        <v>741701</v>
      </c>
      <c r="M21" s="13">
        <f>SUM(H21:L21)</f>
        <v/>
      </c>
      <c r="N21" s="13">
        <f>L21/$C$5*(1-U21)</f>
        <v/>
      </c>
      <c r="O21" s="14">
        <f>N21/(1-$C$6)-N21</f>
        <v/>
      </c>
      <c r="P21" s="15">
        <f>N21+O21</f>
        <v/>
      </c>
      <c r="Q21" s="14">
        <f>N21/(1-$C$7)-N21</f>
        <v/>
      </c>
      <c r="R21" s="15">
        <f>N21+Q21</f>
        <v/>
      </c>
      <c r="S21" s="16">
        <f>R21-P21</f>
        <v/>
      </c>
      <c r="U21" s="17" t="n">
        <v>0.06</v>
      </c>
    </row>
    <row r="22">
      <c r="A22" s="18" t="n">
        <v>12</v>
      </c>
      <c r="B22" s="19" t="inlineStr">
        <is>
          <t>Тупико Олег Николаевич</t>
        </is>
      </c>
      <c r="C22" s="19" t="inlineStr">
        <is>
          <t>ГК (общие)</t>
        </is>
      </c>
      <c r="D22" s="18" t="inlineStr">
        <is>
          <t>БВ</t>
        </is>
      </c>
      <c r="E22" s="18" t="inlineStr">
        <is>
          <t>активен</t>
        </is>
      </c>
      <c r="F22" s="18" t="inlineStr">
        <is>
          <t>2024–2026</t>
        </is>
      </c>
      <c r="G22" s="18" t="n">
        <v>3</v>
      </c>
      <c r="H22" s="20" t="n">
        <v>0</v>
      </c>
      <c r="I22" s="20" t="n">
        <v>0</v>
      </c>
      <c r="J22" s="20" t="n">
        <v>259907</v>
      </c>
      <c r="K22" s="20" t="n">
        <v>337036</v>
      </c>
      <c r="L22" s="20" t="n">
        <v>1219304</v>
      </c>
      <c r="M22" s="21">
        <f>SUM(H22:L22)</f>
        <v/>
      </c>
      <c r="N22" s="21">
        <f>L22/$C$5*(1-U22)</f>
        <v/>
      </c>
      <c r="O22" s="22">
        <f>N22/(1-$C$6)-N22</f>
        <v/>
      </c>
      <c r="P22" s="23">
        <f>N22+O22</f>
        <v/>
      </c>
      <c r="Q22" s="22">
        <f>N22/(1-$C$7)-N22</f>
        <v/>
      </c>
      <c r="R22" s="23">
        <f>N22+Q22</f>
        <v/>
      </c>
      <c r="S22" s="24">
        <f>R22-P22</f>
        <v/>
      </c>
      <c r="U22" s="17" t="n">
        <v>0.06</v>
      </c>
    </row>
    <row r="23">
      <c r="A23" s="10" t="n">
        <v>13</v>
      </c>
      <c r="B23" s="11" t="inlineStr">
        <is>
          <t>Лукьянова Вера Константиновна</t>
        </is>
      </c>
      <c r="C23" s="11" t="inlineStr">
        <is>
          <t>ТФМ (ПО)</t>
        </is>
      </c>
      <c r="D23" s="10" t="inlineStr">
        <is>
          <t>БВ</t>
        </is>
      </c>
      <c r="E23" s="10" t="inlineStr">
        <is>
          <t>активен</t>
        </is>
      </c>
      <c r="F23" s="10" t="inlineStr">
        <is>
          <t>2024–2026</t>
        </is>
      </c>
      <c r="G23" s="10" t="n">
        <v>3</v>
      </c>
      <c r="H23" s="12" t="n">
        <v>0</v>
      </c>
      <c r="I23" s="12" t="n">
        <v>0</v>
      </c>
      <c r="J23" s="12" t="n">
        <v>141702</v>
      </c>
      <c r="K23" s="12" t="n">
        <v>73617</v>
      </c>
      <c r="L23" s="12" t="n">
        <v>973404</v>
      </c>
      <c r="M23" s="13">
        <f>SUM(H23:L23)</f>
        <v/>
      </c>
      <c r="N23" s="13">
        <f>L23/$C$5*(1-U23)</f>
        <v/>
      </c>
      <c r="O23" s="14">
        <f>N23/(1-$C$6)-N23</f>
        <v/>
      </c>
      <c r="P23" s="15">
        <f>N23+O23</f>
        <v/>
      </c>
      <c r="Q23" s="14">
        <f>N23/(1-$C$7)-N23</f>
        <v/>
      </c>
      <c r="R23" s="15">
        <f>N23+Q23</f>
        <v/>
      </c>
      <c r="S23" s="16">
        <f>R23-P23</f>
        <v/>
      </c>
      <c r="U23" s="17" t="n">
        <v>0.06</v>
      </c>
    </row>
    <row r="24">
      <c r="A24" s="18" t="n">
        <v>14</v>
      </c>
      <c r="B24" s="19" t="inlineStr">
        <is>
          <t>Левашева Анна Алексеевна</t>
        </is>
      </c>
      <c r="C24" s="19" t="inlineStr">
        <is>
          <t>ТФМ (ПО)</t>
        </is>
      </c>
      <c r="D24" s="18" t="inlineStr">
        <is>
          <t>БВ</t>
        </is>
      </c>
      <c r="E24" s="18" t="inlineStr">
        <is>
          <t>активен</t>
        </is>
      </c>
      <c r="F24" s="18" t="inlineStr">
        <is>
          <t>2025–2026</t>
        </is>
      </c>
      <c r="G24" s="18" t="n">
        <v>2</v>
      </c>
      <c r="H24" s="20" t="n">
        <v>0</v>
      </c>
      <c r="I24" s="20" t="n">
        <v>0</v>
      </c>
      <c r="J24" s="20" t="n">
        <v>0</v>
      </c>
      <c r="K24" s="20" t="n">
        <v>798831.01</v>
      </c>
      <c r="L24" s="20" t="n">
        <v>1362100.09</v>
      </c>
      <c r="M24" s="21">
        <f>SUM(H24:L24)</f>
        <v/>
      </c>
      <c r="N24" s="21">
        <f>L24/$C$5*(1-U24)</f>
        <v/>
      </c>
      <c r="O24" s="22">
        <f>N24/(1-$C$6)-N24</f>
        <v/>
      </c>
      <c r="P24" s="23">
        <f>N24+O24</f>
        <v/>
      </c>
      <c r="Q24" s="22">
        <f>N24/(1-$C$7)-N24</f>
        <v/>
      </c>
      <c r="R24" s="23">
        <f>N24+Q24</f>
        <v/>
      </c>
      <c r="S24" s="24">
        <f>R24-P24</f>
        <v/>
      </c>
      <c r="U24" s="17" t="n">
        <v>0.06</v>
      </c>
    </row>
    <row r="25">
      <c r="A25" s="10" t="n">
        <v>15</v>
      </c>
      <c r="B25" s="11" t="inlineStr">
        <is>
          <t>Капустина Вероника Сергеевна</t>
        </is>
      </c>
      <c r="C25" s="11" t="inlineStr">
        <is>
          <t>ТФМ (ОСК)</t>
        </is>
      </c>
      <c r="D25" s="10" t="inlineStr">
        <is>
          <t>БВ</t>
        </is>
      </c>
      <c r="E25" s="10" t="inlineStr">
        <is>
          <t>активен</t>
        </is>
      </c>
      <c r="F25" s="10" t="inlineStr">
        <is>
          <t>2025–2026</t>
        </is>
      </c>
      <c r="G25" s="10" t="n">
        <v>2</v>
      </c>
      <c r="H25" s="12" t="n">
        <v>0</v>
      </c>
      <c r="I25" s="12" t="n">
        <v>0</v>
      </c>
      <c r="J25" s="12" t="n">
        <v>0</v>
      </c>
      <c r="K25" s="12" t="n">
        <v>214440.3</v>
      </c>
      <c r="L25" s="12" t="n">
        <v>1228052.73</v>
      </c>
      <c r="M25" s="13">
        <f>SUM(H25:L25)</f>
        <v/>
      </c>
      <c r="N25" s="13">
        <f>L25/$C$5*(1-U25)</f>
        <v/>
      </c>
      <c r="O25" s="14">
        <f>N25/(1-$C$6)-N25</f>
        <v/>
      </c>
      <c r="P25" s="15">
        <f>N25+O25</f>
        <v/>
      </c>
      <c r="Q25" s="14">
        <f>N25/(1-$C$7)-N25</f>
        <v/>
      </c>
      <c r="R25" s="15">
        <f>N25+Q25</f>
        <v/>
      </c>
      <c r="S25" s="16">
        <f>R25-P25</f>
        <v/>
      </c>
      <c r="U25" s="17" t="n">
        <v>0.06</v>
      </c>
    </row>
    <row r="26">
      <c r="A26" s="25" t="n"/>
      <c r="B26" s="26" t="inlineStr">
        <is>
          <t>Итого БВ</t>
        </is>
      </c>
      <c r="C26" s="25" t="n"/>
      <c r="D26" s="25" t="n"/>
      <c r="E26" s="25" t="n"/>
      <c r="F26" s="25" t="n"/>
      <c r="G26" s="25" t="n"/>
      <c r="H26" s="27">
        <f>SUM(H11:H25)</f>
        <v/>
      </c>
      <c r="I26" s="27">
        <f>SUM(I11:I25)</f>
        <v/>
      </c>
      <c r="J26" s="27">
        <f>SUM(J11:J25)</f>
        <v/>
      </c>
      <c r="K26" s="27">
        <f>SUM(K11:K25)</f>
        <v/>
      </c>
      <c r="L26" s="27">
        <f>SUM(L11:L25)</f>
        <v/>
      </c>
      <c r="M26" s="27">
        <f>SUM(M11:M25)</f>
        <v/>
      </c>
      <c r="N26" s="27">
        <f>SUM(N11:N25)</f>
        <v/>
      </c>
      <c r="O26" s="27">
        <f>SUM(O11:O25)</f>
        <v/>
      </c>
      <c r="P26" s="27">
        <f>SUM(P11:P25)</f>
        <v/>
      </c>
      <c r="Q26" s="27">
        <f>SUM(Q11:Q25)</f>
        <v/>
      </c>
      <c r="R26" s="27">
        <f>SUM(R11:R25)</f>
        <v/>
      </c>
      <c r="S26" s="27">
        <f>SUM(S11:S25)</f>
        <v/>
      </c>
    </row>
    <row r="28">
      <c r="A28" s="8" t="inlineStr">
        <is>
          <t>АС — 4 чел.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</row>
    <row r="29">
      <c r="A29" s="10" t="n">
        <v>16</v>
      </c>
      <c r="B29" s="11" t="inlineStr">
        <is>
          <t>Грудинин Алексей Сергеевич</t>
        </is>
      </c>
      <c r="C29" s="11" t="inlineStr">
        <is>
          <t>ТФМ (ПО)</t>
        </is>
      </c>
      <c r="D29" s="10" t="inlineStr">
        <is>
          <t>АС</t>
        </is>
      </c>
      <c r="E29" s="10" t="inlineStr">
        <is>
          <t>активен</t>
        </is>
      </c>
      <c r="F29" s="10" t="inlineStr">
        <is>
          <t>2022–2026</t>
        </is>
      </c>
      <c r="G29" s="10" t="n">
        <v>5</v>
      </c>
      <c r="H29" s="12" t="n">
        <v>267577.88</v>
      </c>
      <c r="I29" s="12" t="n">
        <v>960405.97</v>
      </c>
      <c r="J29" s="12" t="n">
        <v>1372957.36</v>
      </c>
      <c r="K29" s="12" t="n">
        <v>1558585.08</v>
      </c>
      <c r="L29" s="12" t="n">
        <v>938053.12</v>
      </c>
      <c r="M29" s="13">
        <f>SUM(H29:L29)</f>
        <v/>
      </c>
      <c r="N29" s="13">
        <f>L29/$C$5*(1-U29)</f>
        <v/>
      </c>
      <c r="O29" s="14">
        <f>N29/(1-$C$6)-N29</f>
        <v/>
      </c>
      <c r="P29" s="15">
        <f>N29+O29</f>
        <v/>
      </c>
      <c r="Q29" s="14">
        <f>N29/(1-$C$7)-N29</f>
        <v/>
      </c>
      <c r="R29" s="15">
        <f>N29+Q29</f>
        <v/>
      </c>
      <c r="S29" s="16">
        <f>R29-P29</f>
        <v/>
      </c>
      <c r="U29" s="17" t="n">
        <v>0.06</v>
      </c>
    </row>
    <row r="30">
      <c r="A30" s="18" t="n">
        <v>17</v>
      </c>
      <c r="B30" s="19" t="inlineStr">
        <is>
          <t>Репетенко Инна Эдуардовна</t>
        </is>
      </c>
      <c r="C30" s="19" t="inlineStr">
        <is>
          <t>ТФМ (ОРБ)</t>
        </is>
      </c>
      <c r="D30" s="18" t="inlineStr">
        <is>
          <t>АС</t>
        </is>
      </c>
      <c r="E30" s="18" t="inlineStr">
        <is>
          <t>активен</t>
        </is>
      </c>
      <c r="F30" s="18" t="inlineStr">
        <is>
          <t>2022–2026</t>
        </is>
      </c>
      <c r="G30" s="18" t="n">
        <v>5</v>
      </c>
      <c r="H30" s="20" t="n">
        <v>112190</v>
      </c>
      <c r="I30" s="20" t="n">
        <v>246600</v>
      </c>
      <c r="J30" s="20" t="n">
        <v>415655.93</v>
      </c>
      <c r="K30" s="20" t="n">
        <v>142973.52</v>
      </c>
      <c r="L30" s="20" t="n">
        <v>905821.35</v>
      </c>
      <c r="M30" s="21">
        <f>SUM(H30:L30)</f>
        <v/>
      </c>
      <c r="N30" s="21">
        <f>L30/$C$5*(1-U30)</f>
        <v/>
      </c>
      <c r="O30" s="22">
        <f>N30/(1-$C$6)-N30</f>
        <v/>
      </c>
      <c r="P30" s="23">
        <f>N30+O30</f>
        <v/>
      </c>
      <c r="Q30" s="22">
        <f>N30/(1-$C$7)-N30</f>
        <v/>
      </c>
      <c r="R30" s="23">
        <f>N30+Q30</f>
        <v/>
      </c>
      <c r="S30" s="24">
        <f>R30-P30</f>
        <v/>
      </c>
      <c r="U30" s="17" t="n">
        <v>0.06</v>
      </c>
    </row>
    <row r="31">
      <c r="A31" s="10" t="n">
        <v>18</v>
      </c>
      <c r="B31" s="11" t="inlineStr">
        <is>
          <t>Жиркова Валентина Александровна</t>
        </is>
      </c>
      <c r="C31" s="11" t="inlineStr">
        <is>
          <t>ТФМ (ПО)</t>
        </is>
      </c>
      <c r="D31" s="10" t="inlineStr">
        <is>
          <t>АС</t>
        </is>
      </c>
      <c r="E31" s="10" t="inlineStr">
        <is>
          <t>активен</t>
        </is>
      </c>
      <c r="F31" s="10" t="inlineStr">
        <is>
          <t>2023–2026</t>
        </is>
      </c>
      <c r="G31" s="10" t="n">
        <v>4</v>
      </c>
      <c r="H31" s="12" t="n">
        <v>0</v>
      </c>
      <c r="I31" s="12" t="n">
        <v>257222.24</v>
      </c>
      <c r="J31" s="12" t="n">
        <v>1497661</v>
      </c>
      <c r="K31" s="12" t="n">
        <v>2201639.5</v>
      </c>
      <c r="L31" s="12" t="n">
        <v>1656517.19</v>
      </c>
      <c r="M31" s="13">
        <f>SUM(H31:L31)</f>
        <v/>
      </c>
      <c r="N31" s="13">
        <f>L31/$C$5*(1-U31)</f>
        <v/>
      </c>
      <c r="O31" s="14">
        <f>N31/(1-$C$6)-N31</f>
        <v/>
      </c>
      <c r="P31" s="15">
        <f>N31+O31</f>
        <v/>
      </c>
      <c r="Q31" s="14">
        <f>N31/(1-$C$7)-N31</f>
        <v/>
      </c>
      <c r="R31" s="15">
        <f>N31+Q31</f>
        <v/>
      </c>
      <c r="S31" s="16">
        <f>R31-P31</f>
        <v/>
      </c>
      <c r="U31" s="17" t="n">
        <v>0.06</v>
      </c>
    </row>
    <row r="32">
      <c r="A32" s="18" t="n">
        <v>19</v>
      </c>
      <c r="B32" s="19" t="inlineStr">
        <is>
          <t>Возмищева Ксения Дмитриевна</t>
        </is>
      </c>
      <c r="C32" s="19" t="inlineStr">
        <is>
          <t>ТФМ (ОРБ)</t>
        </is>
      </c>
      <c r="D32" s="18" t="inlineStr">
        <is>
          <t>АС</t>
        </is>
      </c>
      <c r="E32" s="18" t="inlineStr">
        <is>
          <t>активен</t>
        </is>
      </c>
      <c r="F32" s="18" t="inlineStr">
        <is>
          <t>2024–2026</t>
        </is>
      </c>
      <c r="G32" s="18" t="n">
        <v>3</v>
      </c>
      <c r="H32" s="20" t="n">
        <v>0</v>
      </c>
      <c r="I32" s="20" t="n">
        <v>0</v>
      </c>
      <c r="J32" s="20" t="n">
        <v>333311.66</v>
      </c>
      <c r="K32" s="20" t="n">
        <v>1347175.74</v>
      </c>
      <c r="L32" s="20" t="n">
        <v>1267879.25</v>
      </c>
      <c r="M32" s="21">
        <f>SUM(H32:L32)</f>
        <v/>
      </c>
      <c r="N32" s="21">
        <f>L32/$C$5*(1-U32)</f>
        <v/>
      </c>
      <c r="O32" s="22">
        <f>N32/(1-$C$6)-N32</f>
        <v/>
      </c>
      <c r="P32" s="23">
        <f>N32+O32</f>
        <v/>
      </c>
      <c r="Q32" s="22">
        <f>N32/(1-$C$7)-N32</f>
        <v/>
      </c>
      <c r="R32" s="23">
        <f>N32+Q32</f>
        <v/>
      </c>
      <c r="S32" s="24">
        <f>R32-P32</f>
        <v/>
      </c>
      <c r="U32" s="17" t="n">
        <v>0.06</v>
      </c>
    </row>
    <row r="33">
      <c r="A33" s="25" t="n"/>
      <c r="B33" s="26" t="inlineStr">
        <is>
          <t>Итого АС</t>
        </is>
      </c>
      <c r="C33" s="25" t="n"/>
      <c r="D33" s="25" t="n"/>
      <c r="E33" s="25" t="n"/>
      <c r="F33" s="25" t="n"/>
      <c r="G33" s="25" t="n"/>
      <c r="H33" s="27">
        <f>SUM(H29:H32)</f>
        <v/>
      </c>
      <c r="I33" s="27">
        <f>SUM(I29:I32)</f>
        <v/>
      </c>
      <c r="J33" s="27">
        <f>SUM(J29:J32)</f>
        <v/>
      </c>
      <c r="K33" s="27">
        <f>SUM(K29:K32)</f>
        <v/>
      </c>
      <c r="L33" s="27">
        <f>SUM(L29:L32)</f>
        <v/>
      </c>
      <c r="M33" s="27">
        <f>SUM(M29:M32)</f>
        <v/>
      </c>
      <c r="N33" s="27">
        <f>SUM(N29:N32)</f>
        <v/>
      </c>
      <c r="O33" s="27">
        <f>SUM(O29:O32)</f>
        <v/>
      </c>
      <c r="P33" s="27">
        <f>SUM(P29:P32)</f>
        <v/>
      </c>
      <c r="Q33" s="27">
        <f>SUM(Q29:Q32)</f>
        <v/>
      </c>
      <c r="R33" s="27">
        <f>SUM(R29:R32)</f>
        <v/>
      </c>
      <c r="S33" s="27">
        <f>SUM(S29:S32)</f>
        <v/>
      </c>
    </row>
    <row r="35">
      <c r="A35" s="8" t="inlineStr">
        <is>
          <t>ИП МТ — 1 чел.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</row>
    <row r="36">
      <c r="A36" s="10" t="n">
        <v>20</v>
      </c>
      <c r="B36" s="11" t="inlineStr">
        <is>
          <t>Злобин Николай Алексеевич</t>
        </is>
      </c>
      <c r="C36" s="11" t="inlineStr">
        <is>
          <t>Fansy</t>
        </is>
      </c>
      <c r="D36" s="10" t="inlineStr">
        <is>
          <t>ИП МТ</t>
        </is>
      </c>
      <c r="E36" s="10" t="inlineStr">
        <is>
          <t>активен</t>
        </is>
      </c>
      <c r="F36" s="10" t="inlineStr">
        <is>
          <t>2023–2026</t>
        </is>
      </c>
      <c r="G36" s="10" t="n">
        <v>4</v>
      </c>
      <c r="H36" s="12" t="n">
        <v>0</v>
      </c>
      <c r="I36" s="12" t="n">
        <v>231383</v>
      </c>
      <c r="J36" s="12" t="n">
        <v>2343163.34</v>
      </c>
      <c r="K36" s="12" t="n">
        <v>2601170</v>
      </c>
      <c r="L36" s="12" t="n">
        <v>1832861.81</v>
      </c>
      <c r="M36" s="13">
        <f>SUM(H36:L36)</f>
        <v/>
      </c>
      <c r="N36" s="13">
        <f>L36/$C$5*(1-U36)</f>
        <v/>
      </c>
      <c r="O36" s="14">
        <f>N36/(1-$C$6)-N36</f>
        <v/>
      </c>
      <c r="P36" s="15">
        <f>N36+O36</f>
        <v/>
      </c>
      <c r="Q36" s="14">
        <f>N36/(1-$C$7)-N36</f>
        <v/>
      </c>
      <c r="R36" s="15">
        <f>N36+Q36</f>
        <v/>
      </c>
      <c r="S36" s="16">
        <f>R36-P36</f>
        <v/>
      </c>
      <c r="U36" s="17" t="n">
        <v>0.06</v>
      </c>
    </row>
    <row r="37">
      <c r="A37" s="25" t="n"/>
      <c r="B37" s="26" t="inlineStr">
        <is>
          <t>Итого ИП МТ</t>
        </is>
      </c>
      <c r="C37" s="25" t="n"/>
      <c r="D37" s="25" t="n"/>
      <c r="E37" s="25" t="n"/>
      <c r="F37" s="25" t="n"/>
      <c r="G37" s="25" t="n"/>
      <c r="H37" s="27">
        <f>SUM(H36:H36)</f>
        <v/>
      </c>
      <c r="I37" s="27">
        <f>SUM(I36:I36)</f>
        <v/>
      </c>
      <c r="J37" s="27">
        <f>SUM(J36:J36)</f>
        <v/>
      </c>
      <c r="K37" s="27">
        <f>SUM(K36:K36)</f>
        <v/>
      </c>
      <c r="L37" s="27">
        <f>SUM(L36:L36)</f>
        <v/>
      </c>
      <c r="M37" s="27">
        <f>SUM(M36:M36)</f>
        <v/>
      </c>
      <c r="N37" s="27">
        <f>SUM(N36:N36)</f>
        <v/>
      </c>
      <c r="O37" s="27">
        <f>SUM(O36:O36)</f>
        <v/>
      </c>
      <c r="P37" s="27">
        <f>SUM(P36:P36)</f>
        <v/>
      </c>
      <c r="Q37" s="27">
        <f>SUM(Q36:Q36)</f>
        <v/>
      </c>
      <c r="R37" s="27">
        <f>SUM(R36:R36)</f>
        <v/>
      </c>
      <c r="S37" s="27">
        <f>SUM(S36:S36)</f>
        <v/>
      </c>
    </row>
    <row r="39">
      <c r="A39" s="28" t="n"/>
      <c r="B39" s="29" t="inlineStr">
        <is>
          <t>ВСЕГО (20 чел.)</t>
        </is>
      </c>
      <c r="C39" s="28" t="n"/>
      <c r="D39" s="28" t="n"/>
      <c r="E39" s="28" t="n"/>
      <c r="F39" s="28" t="n"/>
      <c r="G39" s="28" t="n"/>
      <c r="H39" s="30">
        <f>H26+H33+H37</f>
        <v/>
      </c>
      <c r="I39" s="30">
        <f>I26+I33+I37</f>
        <v/>
      </c>
      <c r="J39" s="30">
        <f>J26+J33+J37</f>
        <v/>
      </c>
      <c r="K39" s="30">
        <f>K26+K33+K37</f>
        <v/>
      </c>
      <c r="L39" s="30">
        <f>L26+L33+L37</f>
        <v/>
      </c>
      <c r="M39" s="30">
        <f>M26+M33+M37</f>
        <v/>
      </c>
      <c r="N39" s="30">
        <f>N26+N33+N37</f>
        <v/>
      </c>
      <c r="O39" s="30">
        <f>O26+O33+O37</f>
        <v/>
      </c>
      <c r="P39" s="30">
        <f>P26+P33+P37</f>
        <v/>
      </c>
      <c r="Q39" s="30">
        <f>Q26+Q33+Q37</f>
        <v/>
      </c>
      <c r="R39" s="30">
        <f>R26+R33+R37</f>
        <v/>
      </c>
      <c r="S39" s="30">
        <f>S26+S33+S37</f>
        <v/>
      </c>
    </row>
    <row r="41">
      <c r="A41" s="31" t="inlineStr">
        <is>
          <t>ПЛАНИРОВАНИЕ</t>
        </is>
      </c>
    </row>
    <row r="42" ht="32" customHeight="1">
      <c r="A42" s="7" t="inlineStr">
        <is>
          <t>Юр. лицо</t>
        </is>
      </c>
      <c r="B42" s="7" t="inlineStr">
        <is>
          <t>Чел.</t>
        </is>
      </c>
      <c r="C42" s="7" t="inlineStr">
        <is>
          <t>УСН 7%: в месяц</t>
        </is>
      </c>
      <c r="D42" s="7" t="inlineStr">
        <is>
          <t>УСН 7%: 6 мес.</t>
        </is>
      </c>
      <c r="E42" s="7" t="inlineStr">
        <is>
          <t>УСН 7%: 12 мес.</t>
        </is>
      </c>
      <c r="F42" s="7" t="inlineStr">
        <is>
          <t>АУСН 8%: в месяц</t>
        </is>
      </c>
      <c r="G42" s="7" t="inlineStr">
        <is>
          <t>АУСН 8%: 6 мес.</t>
        </is>
      </c>
      <c r="H42" s="7" t="inlineStr">
        <is>
          <t>АУСН 8%: 12 мес.</t>
        </is>
      </c>
      <c r="I42" s="7" t="inlineStr">
        <is>
          <t>Разница за 12 мес.</t>
        </is>
      </c>
    </row>
    <row r="43">
      <c r="A43" s="32" t="inlineStr">
        <is>
          <t>БВ</t>
        </is>
      </c>
      <c r="B43" s="33" t="n">
        <v>15</v>
      </c>
      <c r="C43" s="34">
        <f>P26</f>
        <v/>
      </c>
      <c r="D43" s="34">
        <f>P26*6</f>
        <v/>
      </c>
      <c r="E43" s="35">
        <f>P26*12</f>
        <v/>
      </c>
      <c r="F43" s="34">
        <f>R26</f>
        <v/>
      </c>
      <c r="G43" s="34">
        <f>R26*6</f>
        <v/>
      </c>
      <c r="H43" s="35">
        <f>R26*12</f>
        <v/>
      </c>
      <c r="I43" s="35">
        <f>S26*12</f>
        <v/>
      </c>
    </row>
    <row r="44">
      <c r="A44" s="32" t="inlineStr">
        <is>
          <t>АС</t>
        </is>
      </c>
      <c r="B44" s="33" t="n">
        <v>4</v>
      </c>
      <c r="C44" s="34">
        <f>P33</f>
        <v/>
      </c>
      <c r="D44" s="34">
        <f>P33*6</f>
        <v/>
      </c>
      <c r="E44" s="35">
        <f>P33*12</f>
        <v/>
      </c>
      <c r="F44" s="34">
        <f>R33</f>
        <v/>
      </c>
      <c r="G44" s="34">
        <f>R33*6</f>
        <v/>
      </c>
      <c r="H44" s="35">
        <f>R33*12</f>
        <v/>
      </c>
      <c r="I44" s="35">
        <f>S33*12</f>
        <v/>
      </c>
    </row>
    <row r="45">
      <c r="A45" s="32" t="inlineStr">
        <is>
          <t>ИП МТ</t>
        </is>
      </c>
      <c r="B45" s="33" t="n">
        <v>1</v>
      </c>
      <c r="C45" s="34">
        <f>P37</f>
        <v/>
      </c>
      <c r="D45" s="34">
        <f>P37*6</f>
        <v/>
      </c>
      <c r="E45" s="35">
        <f>P37*12</f>
        <v/>
      </c>
      <c r="F45" s="34">
        <f>R37</f>
        <v/>
      </c>
      <c r="G45" s="34">
        <f>R37*6</f>
        <v/>
      </c>
      <c r="H45" s="35">
        <f>R37*12</f>
        <v/>
      </c>
      <c r="I45" s="35">
        <f>S37*12</f>
        <v/>
      </c>
    </row>
    <row r="46">
      <c r="A46" s="36" t="inlineStr">
        <is>
          <t>ИТОГО</t>
        </is>
      </c>
      <c r="B46" s="37" t="n">
        <v>20</v>
      </c>
      <c r="C46" s="38">
        <f>P39</f>
        <v/>
      </c>
      <c r="D46" s="38">
        <f>P39*6</f>
        <v/>
      </c>
      <c r="E46" s="38">
        <f>P39*12</f>
        <v/>
      </c>
      <c r="F46" s="38">
        <f>R39</f>
        <v/>
      </c>
      <c r="G46" s="38">
        <f>R39*6</f>
        <v/>
      </c>
      <c r="H46" s="38">
        <f>R39*12</f>
        <v/>
      </c>
      <c r="I46" s="38">
        <f>S39*12</f>
        <v/>
      </c>
    </row>
    <row r="48">
      <c r="A48" s="39" t="inlineStr">
        <is>
          <t>Примечания</t>
        </is>
      </c>
    </row>
    <row r="49">
      <c r="A49" s="2" t="inlineStr">
        <is>
          <t>1. Сценарии гипотетические: те же люди и те же суммы «на руки», но выплаты оформляются как ИП — на УСН «доходы» 7% либо на АУСН «доходы» 8%, вместо действующего режима НПД.</t>
        </is>
      </c>
    </row>
    <row r="50">
      <c r="A50" s="2" t="inlineStr">
        <is>
          <t>2. База «Среднемес. на руки 2026» перенесена из предыдущей таблицы: «Итого 2026» ÷ 7 × (1 − ставка НПД). Ставка НПД по каждому — в скрытом столбце U.</t>
        </is>
      </c>
    </row>
    <row r="51">
      <c r="A51" s="2" t="inlineStr">
        <is>
          <t>3. Налог считается сверху, чтобы человек получил ту же сумму на руки: выплата = на руки ÷ (1 − ставка); налог = выплата − на руки.</t>
        </is>
      </c>
    </row>
    <row r="52">
      <c r="A52" s="2" t="inlineStr">
        <is>
          <t>4. Столбцы 2022–2026 и «Итого 2022–2026» оставлены как есть — это фактические данные исходника в режиме НПД, они не пересчитываются под сценарии.</t>
        </is>
      </c>
    </row>
    <row r="53">
      <c r="A53" s="2" t="inlineStr">
        <is>
          <t>5. Комиссия платформы 4dev (3%), сбор ЮЛ Сингапура (2,5%) и НПД в этом расчёте не участвуют по условию задачи.</t>
        </is>
      </c>
    </row>
    <row r="54">
      <c r="A54" s="2" t="inlineStr">
        <is>
          <t>6. Ключевое отличие режимов: на УСН ИП дополнительно платит страховые взносы за себя (фиксированные + 1% с дохода свыше 300 000 ₽); на АУСН страховые взносы за себя не уплачиваются. В этой таблице взносы не показаны — учитывайте их отдельно при сравнении.</t>
        </is>
      </c>
    </row>
    <row r="55">
      <c r="A55" s="2" t="inlineStr">
        <is>
          <t>7. У АУСН есть ограничения: лимит дохода, численность до 5 человек, обязательный расчётный счёт в уполномоченном банке, режим доступен не во всех регионах. Применимость нужно проверять по каждому ИП.</t>
        </is>
      </c>
    </row>
    <row r="56">
      <c r="A56" s="2" t="inlineStr">
        <is>
          <t>8. Ставки 7% и 8% — в ячейках C6 и C7. При изменении ставки пересчитывается вся таблица и блок планирования.</t>
        </is>
      </c>
    </row>
    <row r="57">
      <c r="A57" s="2" t="inlineStr">
        <is>
          <t>9. Левашева и Капустина получают выплаты 2 года (2025–2026) — под критерий «более 2 лет» не подходят, включены по отдельной просьбе.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2026-07-30T15:04:33Z</dcterms:created>
  <dcterms:modified xsi:type="dcterms:W3CDTF">2026-07-30T15:04:33Z</dcterms:modified>
</cp:coreProperties>
</file>