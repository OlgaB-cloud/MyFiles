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actly 07.2026" sheetId="1" state="visible" r:id="rId3"/>
  </sheets>
  <definedNames>
    <definedName function="false" hidden="true" localSheetId="0" name="_xlnm._FilterDatabase" vbProcedure="false">'exactly 07.2026'!$A$6:$Q$260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<sst xmlns="http://schemas.openxmlformats.org/spreadsheetml/2006/main" count="519" uniqueCount="518">
  <si>
    <t xml:space="preserve">exactly</t>
  </si>
  <si>
    <t xml:space="preserve">Exchange rate ECB 31.07.2026</t>
  </si>
  <si>
    <t xml:space="preserve">USD</t>
  </si>
  <si>
    <t xml:space="preserve">https://www.ecb.europa.eu/stats/policy_and_exchange_rates/euro_reference_exchange_rates/html/index.en.html</t>
  </si>
  <si>
    <t xml:space="preserve">EUR</t>
  </si>
  <si>
    <t xml:space="preserve">MOSS 07/26</t>
  </si>
  <si>
    <t xml:space="preserve">VAT Rate</t>
  </si>
  <si>
    <t xml:space="preserve">Income</t>
  </si>
  <si>
    <t xml:space="preserve">Chargebacks </t>
  </si>
  <si>
    <t xml:space="preserve">Total Income </t>
  </si>
  <si>
    <t xml:space="preserve">Net Income </t>
  </si>
  <si>
    <t xml:space="preserve">VAT </t>
  </si>
  <si>
    <t xml:space="preserve">Net Income Total </t>
  </si>
  <si>
    <t xml:space="preserve">VAT Total </t>
  </si>
  <si>
    <t xml:space="preserve">Total with Tax</t>
  </si>
  <si>
    <t xml:space="preserve">Austria</t>
  </si>
  <si>
    <t xml:space="preserve">AT</t>
  </si>
  <si>
    <t xml:space="preserve">Belgium</t>
  </si>
  <si>
    <t xml:space="preserve">BE</t>
  </si>
  <si>
    <t xml:space="preserve">Bulgaria</t>
  </si>
  <si>
    <t xml:space="preserve">BG</t>
  </si>
  <si>
    <t xml:space="preserve">Croatia</t>
  </si>
  <si>
    <t xml:space="preserve">HR</t>
  </si>
  <si>
    <t xml:space="preserve">Cyprus</t>
  </si>
  <si>
    <t xml:space="preserve">CY</t>
  </si>
  <si>
    <t xml:space="preserve">Denmark</t>
  </si>
  <si>
    <t xml:space="preserve">DK</t>
  </si>
  <si>
    <t xml:space="preserve">Estonia</t>
  </si>
  <si>
    <t xml:space="preserve">EE</t>
  </si>
  <si>
    <t xml:space="preserve">Finland</t>
  </si>
  <si>
    <t xml:space="preserve">FI</t>
  </si>
  <si>
    <t xml:space="preserve">France</t>
  </si>
  <si>
    <t xml:space="preserve">FR</t>
  </si>
  <si>
    <t xml:space="preserve">Germany</t>
  </si>
  <si>
    <t xml:space="preserve">DE</t>
  </si>
  <si>
    <t xml:space="preserve">Greece</t>
  </si>
  <si>
    <t xml:space="preserve">EL</t>
  </si>
  <si>
    <t xml:space="preserve">Hungary</t>
  </si>
  <si>
    <t xml:space="preserve">HU</t>
  </si>
  <si>
    <t xml:space="preserve">Ireland</t>
  </si>
  <si>
    <t xml:space="preserve">IE</t>
  </si>
  <si>
    <t xml:space="preserve">Italy</t>
  </si>
  <si>
    <t xml:space="preserve">IT</t>
  </si>
  <si>
    <t xml:space="preserve">Latvia</t>
  </si>
  <si>
    <t xml:space="preserve">LV</t>
  </si>
  <si>
    <t xml:space="preserve">Lithuania</t>
  </si>
  <si>
    <t xml:space="preserve">LT</t>
  </si>
  <si>
    <t xml:space="preserve">Luxembourg</t>
  </si>
  <si>
    <t xml:space="preserve">LU</t>
  </si>
  <si>
    <t xml:space="preserve">Malta</t>
  </si>
  <si>
    <t xml:space="preserve">MT</t>
  </si>
  <si>
    <t xml:space="preserve">Netherlands</t>
  </si>
  <si>
    <t xml:space="preserve">NL</t>
  </si>
  <si>
    <t xml:space="preserve">Poland</t>
  </si>
  <si>
    <t xml:space="preserve">PL</t>
  </si>
  <si>
    <t xml:space="preserve">Portugal</t>
  </si>
  <si>
    <t xml:space="preserve">PT</t>
  </si>
  <si>
    <t xml:space="preserve">Romania</t>
  </si>
  <si>
    <t xml:space="preserve">RO</t>
  </si>
  <si>
    <t xml:space="preserve">Slovakia</t>
  </si>
  <si>
    <t xml:space="preserve">SK</t>
  </si>
  <si>
    <t xml:space="preserve">Slovenia</t>
  </si>
  <si>
    <t xml:space="preserve">SI</t>
  </si>
  <si>
    <t xml:space="preserve">Spain</t>
  </si>
  <si>
    <t xml:space="preserve">ES</t>
  </si>
  <si>
    <t xml:space="preserve">Sweden</t>
  </si>
  <si>
    <t xml:space="preserve">SE</t>
  </si>
  <si>
    <t xml:space="preserve">Czech Republic</t>
  </si>
  <si>
    <t xml:space="preserve">CZ</t>
  </si>
  <si>
    <t xml:space="preserve">Albania</t>
  </si>
  <si>
    <t xml:space="preserve">AL</t>
  </si>
  <si>
    <t xml:space="preserve">Armenia</t>
  </si>
  <si>
    <t xml:space="preserve">AM</t>
  </si>
  <si>
    <t xml:space="preserve">Australia</t>
  </si>
  <si>
    <t xml:space="preserve">AU</t>
  </si>
  <si>
    <t xml:space="preserve">Bahrain</t>
  </si>
  <si>
    <t xml:space="preserve">BH</t>
  </si>
  <si>
    <t xml:space="preserve">Belarus</t>
  </si>
  <si>
    <t xml:space="preserve">BY</t>
  </si>
  <si>
    <t xml:space="preserve">Brazil</t>
  </si>
  <si>
    <t xml:space="preserve">BR</t>
  </si>
  <si>
    <t xml:space="preserve">Cameroon</t>
  </si>
  <si>
    <t xml:space="preserve">CM</t>
  </si>
  <si>
    <t xml:space="preserve">Canada</t>
  </si>
  <si>
    <t xml:space="preserve">CA</t>
  </si>
  <si>
    <t xml:space="preserve">Chile</t>
  </si>
  <si>
    <t xml:space="preserve">CL</t>
  </si>
  <si>
    <t xml:space="preserve">China</t>
  </si>
  <si>
    <t xml:space="preserve">CN</t>
  </si>
  <si>
    <t xml:space="preserve">Colombia</t>
  </si>
  <si>
    <t xml:space="preserve">CO</t>
  </si>
  <si>
    <t xml:space="preserve">Egypt</t>
  </si>
  <si>
    <t xml:space="preserve">EG</t>
  </si>
  <si>
    <t xml:space="preserve">Ghana</t>
  </si>
  <si>
    <t xml:space="preserve">GH</t>
  </si>
  <si>
    <t xml:space="preserve">Iceland</t>
  </si>
  <si>
    <t xml:space="preserve">IS</t>
  </si>
  <si>
    <t xml:space="preserve">India</t>
  </si>
  <si>
    <t xml:space="preserve">IN</t>
  </si>
  <si>
    <t xml:space="preserve">Indonesia</t>
  </si>
  <si>
    <t xml:space="preserve">ID</t>
  </si>
  <si>
    <t xml:space="preserve">Japan</t>
  </si>
  <si>
    <t xml:space="preserve">JP</t>
  </si>
  <si>
    <t xml:space="preserve">Kenya</t>
  </si>
  <si>
    <t xml:space="preserve">KE</t>
  </si>
  <si>
    <t xml:space="preserve">Malaysia</t>
  </si>
  <si>
    <t xml:space="preserve">MY</t>
  </si>
  <si>
    <t xml:space="preserve">Mexico</t>
  </si>
  <si>
    <t xml:space="preserve">MX</t>
  </si>
  <si>
    <t xml:space="preserve">New Zealand</t>
  </si>
  <si>
    <t xml:space="preserve">NZ</t>
  </si>
  <si>
    <t xml:space="preserve">Nigeria</t>
  </si>
  <si>
    <t xml:space="preserve">NG</t>
  </si>
  <si>
    <t xml:space="preserve">Norway</t>
  </si>
  <si>
    <t xml:space="preserve">NO</t>
  </si>
  <si>
    <t xml:space="preserve">Russian Federation</t>
  </si>
  <si>
    <t xml:space="preserve">RU</t>
  </si>
  <si>
    <t xml:space="preserve">Saudi Arabia</t>
  </si>
  <si>
    <t xml:space="preserve">SA</t>
  </si>
  <si>
    <t xml:space="preserve">Serbia</t>
  </si>
  <si>
    <t xml:space="preserve">RS</t>
  </si>
  <si>
    <t xml:space="preserve">Singapore</t>
  </si>
  <si>
    <t xml:space="preserve">SG</t>
  </si>
  <si>
    <t xml:space="preserve">Switzerland</t>
  </si>
  <si>
    <t xml:space="preserve">CH</t>
  </si>
  <si>
    <t xml:space="preserve">Taiwan, Province of China</t>
  </si>
  <si>
    <t xml:space="preserve">TW</t>
  </si>
  <si>
    <t xml:space="preserve">Turkey</t>
  </si>
  <si>
    <t xml:space="preserve">TR</t>
  </si>
  <si>
    <t xml:space="preserve">Uganda</t>
  </si>
  <si>
    <t xml:space="preserve">UG</t>
  </si>
  <si>
    <t xml:space="preserve">United Arab Emirates</t>
  </si>
  <si>
    <t xml:space="preserve">AE</t>
  </si>
  <si>
    <t xml:space="preserve">Uruguay</t>
  </si>
  <si>
    <t xml:space="preserve">UY</t>
  </si>
  <si>
    <t xml:space="preserve">Uzbekistan</t>
  </si>
  <si>
    <t xml:space="preserve">UZ</t>
  </si>
  <si>
    <t xml:space="preserve">United Kingdom</t>
  </si>
  <si>
    <t xml:space="preserve">GB</t>
  </si>
  <si>
    <t xml:space="preserve">Afghanistan</t>
  </si>
  <si>
    <t xml:space="preserve">AF</t>
  </si>
  <si>
    <t xml:space="preserve">Åland Islands</t>
  </si>
  <si>
    <t xml:space="preserve">AX</t>
  </si>
  <si>
    <t xml:space="preserve">Algeria</t>
  </si>
  <si>
    <t xml:space="preserve">DZ</t>
  </si>
  <si>
    <t xml:space="preserve">American Samoa</t>
  </si>
  <si>
    <t xml:space="preserve">AS</t>
  </si>
  <si>
    <t xml:space="preserve">Andorra</t>
  </si>
  <si>
    <t xml:space="preserve">AD</t>
  </si>
  <si>
    <t xml:space="preserve">Angola</t>
  </si>
  <si>
    <t xml:space="preserve">AO</t>
  </si>
  <si>
    <t xml:space="preserve">Anguilla</t>
  </si>
  <si>
    <t xml:space="preserve">AI</t>
  </si>
  <si>
    <t xml:space="preserve">Antarctica</t>
  </si>
  <si>
    <t xml:space="preserve">AQ</t>
  </si>
  <si>
    <t xml:space="preserve">Antigua and Barbuda</t>
  </si>
  <si>
    <t xml:space="preserve">AG</t>
  </si>
  <si>
    <t xml:space="preserve">Argentina</t>
  </si>
  <si>
    <t xml:space="preserve">AR</t>
  </si>
  <si>
    <t xml:space="preserve">Aruba</t>
  </si>
  <si>
    <t xml:space="preserve">AW</t>
  </si>
  <si>
    <t xml:space="preserve">Azerbaijan</t>
  </si>
  <si>
    <t xml:space="preserve">AZ</t>
  </si>
  <si>
    <t xml:space="preserve">Bahamas</t>
  </si>
  <si>
    <t xml:space="preserve">BS</t>
  </si>
  <si>
    <t xml:space="preserve">Bangladesh</t>
  </si>
  <si>
    <t xml:space="preserve">BD</t>
  </si>
  <si>
    <t xml:space="preserve">Barbados</t>
  </si>
  <si>
    <t xml:space="preserve">BB</t>
  </si>
  <si>
    <t xml:space="preserve">Belize</t>
  </si>
  <si>
    <t xml:space="preserve">BZ</t>
  </si>
  <si>
    <t xml:space="preserve">Benin</t>
  </si>
  <si>
    <t xml:space="preserve">BJ</t>
  </si>
  <si>
    <t xml:space="preserve">Bermuda</t>
  </si>
  <si>
    <t xml:space="preserve">BM</t>
  </si>
  <si>
    <t xml:space="preserve">Bhutan</t>
  </si>
  <si>
    <t xml:space="preserve">BT</t>
  </si>
  <si>
    <t xml:space="preserve">Bolivia, Plurinational State of</t>
  </si>
  <si>
    <t xml:space="preserve">BO</t>
  </si>
  <si>
    <t xml:space="preserve">Bonaire, Sint Eustatius and Saba</t>
  </si>
  <si>
    <t xml:space="preserve">BQ</t>
  </si>
  <si>
    <t xml:space="preserve">Bosnia and Herzegovina</t>
  </si>
  <si>
    <t xml:space="preserve">BA</t>
  </si>
  <si>
    <t xml:space="preserve">Botswana</t>
  </si>
  <si>
    <t xml:space="preserve">BW</t>
  </si>
  <si>
    <t xml:space="preserve">Bouvet Island</t>
  </si>
  <si>
    <t xml:space="preserve">BV</t>
  </si>
  <si>
    <t xml:space="preserve">British Indian Ocean Territory</t>
  </si>
  <si>
    <t xml:space="preserve">IO</t>
  </si>
  <si>
    <t xml:space="preserve">Brunei Darussalam</t>
  </si>
  <si>
    <t xml:space="preserve">BN</t>
  </si>
  <si>
    <t xml:space="preserve">Burkina Faso</t>
  </si>
  <si>
    <t xml:space="preserve">BF</t>
  </si>
  <si>
    <t xml:space="preserve">Burundi</t>
  </si>
  <si>
    <t xml:space="preserve">BI</t>
  </si>
  <si>
    <t xml:space="preserve">Cambodia</t>
  </si>
  <si>
    <t xml:space="preserve">KH</t>
  </si>
  <si>
    <t xml:space="preserve">Cape Verde</t>
  </si>
  <si>
    <t xml:space="preserve">CV</t>
  </si>
  <si>
    <t xml:space="preserve">Cayman Islands</t>
  </si>
  <si>
    <t xml:space="preserve">KY</t>
  </si>
  <si>
    <t xml:space="preserve">Central African Republic</t>
  </si>
  <si>
    <t xml:space="preserve">CF</t>
  </si>
  <si>
    <t xml:space="preserve">Chad</t>
  </si>
  <si>
    <t xml:space="preserve">TD</t>
  </si>
  <si>
    <t xml:space="preserve">Christmas Island</t>
  </si>
  <si>
    <t xml:space="preserve">CX</t>
  </si>
  <si>
    <t xml:space="preserve">Cocos (Keeling) Islands</t>
  </si>
  <si>
    <t xml:space="preserve">CC</t>
  </si>
  <si>
    <t xml:space="preserve">Comoros</t>
  </si>
  <si>
    <t xml:space="preserve">KM</t>
  </si>
  <si>
    <t xml:space="preserve">Congo</t>
  </si>
  <si>
    <t xml:space="preserve">CG</t>
  </si>
  <si>
    <t xml:space="preserve">Congo, the Democratic Republic of the</t>
  </si>
  <si>
    <t xml:space="preserve">CD</t>
  </si>
  <si>
    <t xml:space="preserve">Cook Islands</t>
  </si>
  <si>
    <t xml:space="preserve">CK</t>
  </si>
  <si>
    <t xml:space="preserve">Costa Rica</t>
  </si>
  <si>
    <t xml:space="preserve">CR</t>
  </si>
  <si>
    <t xml:space="preserve">Côte d'Ivoire</t>
  </si>
  <si>
    <t xml:space="preserve">CI</t>
  </si>
  <si>
    <t xml:space="preserve">Cuba</t>
  </si>
  <si>
    <t xml:space="preserve">CU</t>
  </si>
  <si>
    <t xml:space="preserve">Curaçao</t>
  </si>
  <si>
    <t xml:space="preserve">CW</t>
  </si>
  <si>
    <t xml:space="preserve">Djibouti</t>
  </si>
  <si>
    <t xml:space="preserve">DJ</t>
  </si>
  <si>
    <t xml:space="preserve">Dominica</t>
  </si>
  <si>
    <t xml:space="preserve">DM</t>
  </si>
  <si>
    <t xml:space="preserve">Dominican Republic</t>
  </si>
  <si>
    <t xml:space="preserve">DO</t>
  </si>
  <si>
    <t xml:space="preserve">Ecuador</t>
  </si>
  <si>
    <t xml:space="preserve">EC</t>
  </si>
  <si>
    <t xml:space="preserve">El Salvador</t>
  </si>
  <si>
    <t xml:space="preserve">SV</t>
  </si>
  <si>
    <t xml:space="preserve">Equatorial Guinea</t>
  </si>
  <si>
    <t xml:space="preserve">GQ</t>
  </si>
  <si>
    <t xml:space="preserve">Eritrea</t>
  </si>
  <si>
    <t xml:space="preserve">ER</t>
  </si>
  <si>
    <t xml:space="preserve">Ethiopia</t>
  </si>
  <si>
    <t xml:space="preserve">ET</t>
  </si>
  <si>
    <t xml:space="preserve">Falkland Islands (Malvinas)</t>
  </si>
  <si>
    <t xml:space="preserve">FK</t>
  </si>
  <si>
    <t xml:space="preserve">Faroe Islands</t>
  </si>
  <si>
    <t xml:space="preserve">FO</t>
  </si>
  <si>
    <t xml:space="preserve">Fiji</t>
  </si>
  <si>
    <t xml:space="preserve">FJ</t>
  </si>
  <si>
    <t xml:space="preserve">French Guiana</t>
  </si>
  <si>
    <t xml:space="preserve">GF</t>
  </si>
  <si>
    <t xml:space="preserve">French Polynesia</t>
  </si>
  <si>
    <t xml:space="preserve">PF</t>
  </si>
  <si>
    <t xml:space="preserve">French Southern Territories</t>
  </si>
  <si>
    <t xml:space="preserve">TF</t>
  </si>
  <si>
    <t xml:space="preserve">Gabon</t>
  </si>
  <si>
    <t xml:space="preserve">GA</t>
  </si>
  <si>
    <t xml:space="preserve">Gambia</t>
  </si>
  <si>
    <t xml:space="preserve">GM</t>
  </si>
  <si>
    <t xml:space="preserve">Georgia</t>
  </si>
  <si>
    <t xml:space="preserve">GE</t>
  </si>
  <si>
    <t xml:space="preserve">Gibraltar</t>
  </si>
  <si>
    <t xml:space="preserve">GI</t>
  </si>
  <si>
    <t xml:space="preserve">Greenland</t>
  </si>
  <si>
    <t xml:space="preserve">GL</t>
  </si>
  <si>
    <t xml:space="preserve">Grenada</t>
  </si>
  <si>
    <t xml:space="preserve">GD</t>
  </si>
  <si>
    <t xml:space="preserve">Guadeloupe</t>
  </si>
  <si>
    <t xml:space="preserve">GP</t>
  </si>
  <si>
    <t xml:space="preserve">Guam</t>
  </si>
  <si>
    <t xml:space="preserve">GU</t>
  </si>
  <si>
    <t xml:space="preserve">Guatemala</t>
  </si>
  <si>
    <t xml:space="preserve">GT</t>
  </si>
  <si>
    <t xml:space="preserve">Guernsey</t>
  </si>
  <si>
    <t xml:space="preserve">GG</t>
  </si>
  <si>
    <t xml:space="preserve">Guinea</t>
  </si>
  <si>
    <t xml:space="preserve">GN</t>
  </si>
  <si>
    <t xml:space="preserve">Guinea-Bissau</t>
  </si>
  <si>
    <t xml:space="preserve">GW</t>
  </si>
  <si>
    <t xml:space="preserve">Guyana</t>
  </si>
  <si>
    <t xml:space="preserve">GY</t>
  </si>
  <si>
    <t xml:space="preserve">Haiti</t>
  </si>
  <si>
    <t xml:space="preserve">HT</t>
  </si>
  <si>
    <t xml:space="preserve">Heard Island and McDonald Islands</t>
  </si>
  <si>
    <t xml:space="preserve">HM</t>
  </si>
  <si>
    <t xml:space="preserve">Holy See (Vatican City State)</t>
  </si>
  <si>
    <t xml:space="preserve">VA</t>
  </si>
  <si>
    <t xml:space="preserve">Honduras</t>
  </si>
  <si>
    <t xml:space="preserve">HN</t>
  </si>
  <si>
    <t xml:space="preserve">Hong Kong</t>
  </si>
  <si>
    <t xml:space="preserve">HK</t>
  </si>
  <si>
    <t xml:space="preserve">Iran, Islamic Republic of</t>
  </si>
  <si>
    <t xml:space="preserve">IR</t>
  </si>
  <si>
    <t xml:space="preserve">Iraq</t>
  </si>
  <si>
    <t xml:space="preserve">IQ</t>
  </si>
  <si>
    <t xml:space="preserve">Isle of Man</t>
  </si>
  <si>
    <t xml:space="preserve">IM</t>
  </si>
  <si>
    <t xml:space="preserve">Israel</t>
  </si>
  <si>
    <t xml:space="preserve">IL</t>
  </si>
  <si>
    <t xml:space="preserve">Jamaica</t>
  </si>
  <si>
    <t xml:space="preserve">JM</t>
  </si>
  <si>
    <t xml:space="preserve">Jersey</t>
  </si>
  <si>
    <t xml:space="preserve">JE</t>
  </si>
  <si>
    <t xml:space="preserve">Jordan</t>
  </si>
  <si>
    <t xml:space="preserve">JO</t>
  </si>
  <si>
    <t xml:space="preserve">Kazakhstan</t>
  </si>
  <si>
    <t xml:space="preserve">KZ</t>
  </si>
  <si>
    <t xml:space="preserve">Kiribati</t>
  </si>
  <si>
    <t xml:space="preserve">KI</t>
  </si>
  <si>
    <t xml:space="preserve">Korea, Democratic People's Republic of</t>
  </si>
  <si>
    <t xml:space="preserve">KP</t>
  </si>
  <si>
    <t xml:space="preserve">Korea, Republic of</t>
  </si>
  <si>
    <t xml:space="preserve">KR</t>
  </si>
  <si>
    <t xml:space="preserve">Kuwait</t>
  </si>
  <si>
    <t xml:space="preserve">KW</t>
  </si>
  <si>
    <t xml:space="preserve">Kyrgyzstan</t>
  </si>
  <si>
    <t xml:space="preserve">KG</t>
  </si>
  <si>
    <t xml:space="preserve">Lao People's Democratic Republic</t>
  </si>
  <si>
    <t xml:space="preserve">LA</t>
  </si>
  <si>
    <t xml:space="preserve">Lebanon</t>
  </si>
  <si>
    <t xml:space="preserve">LB</t>
  </si>
  <si>
    <t xml:space="preserve">Lesotho</t>
  </si>
  <si>
    <t xml:space="preserve">LS</t>
  </si>
  <si>
    <t xml:space="preserve">Liberia</t>
  </si>
  <si>
    <t xml:space="preserve">LR</t>
  </si>
  <si>
    <t xml:space="preserve">Libya</t>
  </si>
  <si>
    <t xml:space="preserve">LY</t>
  </si>
  <si>
    <t xml:space="preserve">Liechtenstein</t>
  </si>
  <si>
    <t xml:space="preserve">LI</t>
  </si>
  <si>
    <t xml:space="preserve">Macao</t>
  </si>
  <si>
    <t xml:space="preserve">MO</t>
  </si>
  <si>
    <t xml:space="preserve">Macedonia, the Former Yugoslav Republic of</t>
  </si>
  <si>
    <t xml:space="preserve">MK</t>
  </si>
  <si>
    <t xml:space="preserve">Madagascar</t>
  </si>
  <si>
    <t xml:space="preserve">MG</t>
  </si>
  <si>
    <t xml:space="preserve">Malawi</t>
  </si>
  <si>
    <t xml:space="preserve">MW</t>
  </si>
  <si>
    <t xml:space="preserve">Maldives</t>
  </si>
  <si>
    <t xml:space="preserve">MV</t>
  </si>
  <si>
    <t xml:space="preserve">Mali</t>
  </si>
  <si>
    <t xml:space="preserve">ML</t>
  </si>
  <si>
    <t xml:space="preserve">Marshall Islands</t>
  </si>
  <si>
    <t xml:space="preserve">MH</t>
  </si>
  <si>
    <t xml:space="preserve">Martinique</t>
  </si>
  <si>
    <t xml:space="preserve">MQ</t>
  </si>
  <si>
    <t xml:space="preserve">Mauritania</t>
  </si>
  <si>
    <t xml:space="preserve">MR</t>
  </si>
  <si>
    <t xml:space="preserve">Mauritius</t>
  </si>
  <si>
    <t xml:space="preserve">MU</t>
  </si>
  <si>
    <t xml:space="preserve">Mayotte</t>
  </si>
  <si>
    <t xml:space="preserve">YT</t>
  </si>
  <si>
    <t xml:space="preserve">Micronesia, Federated States of</t>
  </si>
  <si>
    <t xml:space="preserve">FM</t>
  </si>
  <si>
    <t xml:space="preserve">Moldova, Republic of</t>
  </si>
  <si>
    <t xml:space="preserve">MD</t>
  </si>
  <si>
    <t xml:space="preserve">Monaco</t>
  </si>
  <si>
    <t xml:space="preserve">MC</t>
  </si>
  <si>
    <t xml:space="preserve">Mongolia</t>
  </si>
  <si>
    <t xml:space="preserve">MN</t>
  </si>
  <si>
    <t xml:space="preserve">Montenegro</t>
  </si>
  <si>
    <t xml:space="preserve">ME</t>
  </si>
  <si>
    <t xml:space="preserve">Montserrat</t>
  </si>
  <si>
    <t xml:space="preserve">MS</t>
  </si>
  <si>
    <t xml:space="preserve">Morocco</t>
  </si>
  <si>
    <t xml:space="preserve">MA</t>
  </si>
  <si>
    <t xml:space="preserve">Mozambique</t>
  </si>
  <si>
    <t xml:space="preserve">MZ</t>
  </si>
  <si>
    <t xml:space="preserve">Myanmar</t>
  </si>
  <si>
    <t xml:space="preserve">MM</t>
  </si>
  <si>
    <t xml:space="preserve">Namibia</t>
  </si>
  <si>
    <t xml:space="preserve">NA</t>
  </si>
  <si>
    <t xml:space="preserve">Nauru</t>
  </si>
  <si>
    <t xml:space="preserve">NR</t>
  </si>
  <si>
    <t xml:space="preserve">Nepal</t>
  </si>
  <si>
    <t xml:space="preserve">NP</t>
  </si>
  <si>
    <t xml:space="preserve">New Caledonia</t>
  </si>
  <si>
    <t xml:space="preserve">NC</t>
  </si>
  <si>
    <t xml:space="preserve">Nicaragua</t>
  </si>
  <si>
    <t xml:space="preserve">NI</t>
  </si>
  <si>
    <t xml:space="preserve">Niger</t>
  </si>
  <si>
    <t xml:space="preserve">NE</t>
  </si>
  <si>
    <t xml:space="preserve">Niue</t>
  </si>
  <si>
    <t xml:space="preserve">NU</t>
  </si>
  <si>
    <t xml:space="preserve">Norfolk Island</t>
  </si>
  <si>
    <t xml:space="preserve">NF</t>
  </si>
  <si>
    <t xml:space="preserve">Northern Mariana Islands</t>
  </si>
  <si>
    <t xml:space="preserve">MP</t>
  </si>
  <si>
    <t xml:space="preserve">Oman</t>
  </si>
  <si>
    <t xml:space="preserve">OM</t>
  </si>
  <si>
    <t xml:space="preserve">Pakistan</t>
  </si>
  <si>
    <t xml:space="preserve">PK</t>
  </si>
  <si>
    <t xml:space="preserve">Palau</t>
  </si>
  <si>
    <t xml:space="preserve">PW</t>
  </si>
  <si>
    <t xml:space="preserve">Palestine, State of</t>
  </si>
  <si>
    <t xml:space="preserve">PS</t>
  </si>
  <si>
    <t xml:space="preserve">Panama</t>
  </si>
  <si>
    <t xml:space="preserve">PA</t>
  </si>
  <si>
    <t xml:space="preserve">Papua New Guinea</t>
  </si>
  <si>
    <t xml:space="preserve">PG</t>
  </si>
  <si>
    <t xml:space="preserve">Paraguay</t>
  </si>
  <si>
    <t xml:space="preserve">PY</t>
  </si>
  <si>
    <t xml:space="preserve">Peru</t>
  </si>
  <si>
    <t xml:space="preserve">PE</t>
  </si>
  <si>
    <t xml:space="preserve">Philippines</t>
  </si>
  <si>
    <t xml:space="preserve">PH</t>
  </si>
  <si>
    <t xml:space="preserve">Pitcairn</t>
  </si>
  <si>
    <t xml:space="preserve">PN</t>
  </si>
  <si>
    <t xml:space="preserve">Puerto Rico</t>
  </si>
  <si>
    <t xml:space="preserve">PR</t>
  </si>
  <si>
    <t xml:space="preserve">Qatar</t>
  </si>
  <si>
    <t xml:space="preserve">QA</t>
  </si>
  <si>
    <t xml:space="preserve">Réunion</t>
  </si>
  <si>
    <t xml:space="preserve">RE</t>
  </si>
  <si>
    <t xml:space="preserve">Rwanda</t>
  </si>
  <si>
    <t xml:space="preserve">RW</t>
  </si>
  <si>
    <t xml:space="preserve">Saint Barthélemy</t>
  </si>
  <si>
    <t xml:space="preserve">BL</t>
  </si>
  <si>
    <t xml:space="preserve">Saint Helena, Ascension and Tristan da Cunha</t>
  </si>
  <si>
    <t xml:space="preserve">SH</t>
  </si>
  <si>
    <t xml:space="preserve">Saint Kitts and Nevis</t>
  </si>
  <si>
    <t xml:space="preserve">KN</t>
  </si>
  <si>
    <t xml:space="preserve">Saint Lucia</t>
  </si>
  <si>
    <t xml:space="preserve">LC</t>
  </si>
  <si>
    <t xml:space="preserve">Saint Martin (French part)</t>
  </si>
  <si>
    <t xml:space="preserve">MF</t>
  </si>
  <si>
    <t xml:space="preserve">Saint Pierre and Miquelon</t>
  </si>
  <si>
    <t xml:space="preserve">PM</t>
  </si>
  <si>
    <t xml:space="preserve">Saint Vincent and the Grenadines</t>
  </si>
  <si>
    <t xml:space="preserve">VC</t>
  </si>
  <si>
    <t xml:space="preserve">Samoa</t>
  </si>
  <si>
    <t xml:space="preserve">WS</t>
  </si>
  <si>
    <t xml:space="preserve">San Marino</t>
  </si>
  <si>
    <t xml:space="preserve">SM</t>
  </si>
  <si>
    <t xml:space="preserve">Sao Tome and Principe</t>
  </si>
  <si>
    <t xml:space="preserve">ST</t>
  </si>
  <si>
    <t xml:space="preserve">Senegal</t>
  </si>
  <si>
    <t xml:space="preserve">SN</t>
  </si>
  <si>
    <t xml:space="preserve">Seychelles</t>
  </si>
  <si>
    <t xml:space="preserve">SC</t>
  </si>
  <si>
    <t xml:space="preserve">Sierra Leone</t>
  </si>
  <si>
    <t xml:space="preserve">SL</t>
  </si>
  <si>
    <t xml:space="preserve">Sint Maarten (Dutch part)</t>
  </si>
  <si>
    <t xml:space="preserve">SX</t>
  </si>
  <si>
    <t xml:space="preserve">Solomon Islands</t>
  </si>
  <si>
    <t xml:space="preserve">SB</t>
  </si>
  <si>
    <t xml:space="preserve">Somalia</t>
  </si>
  <si>
    <t xml:space="preserve">SO</t>
  </si>
  <si>
    <t xml:space="preserve">South Africa</t>
  </si>
  <si>
    <t xml:space="preserve">ZA</t>
  </si>
  <si>
    <t xml:space="preserve">South Georgia and the South Sandwich Islands</t>
  </si>
  <si>
    <t xml:space="preserve">GS</t>
  </si>
  <si>
    <t xml:space="preserve">South Sudan</t>
  </si>
  <si>
    <t xml:space="preserve">SS</t>
  </si>
  <si>
    <t xml:space="preserve">Sri Lanka</t>
  </si>
  <si>
    <t xml:space="preserve">LK</t>
  </si>
  <si>
    <t xml:space="preserve">Sudan</t>
  </si>
  <si>
    <t xml:space="preserve">SD</t>
  </si>
  <si>
    <t xml:space="preserve">Suriname</t>
  </si>
  <si>
    <t xml:space="preserve">SR</t>
  </si>
  <si>
    <t xml:space="preserve">Svalbard and Jan Mayen</t>
  </si>
  <si>
    <t xml:space="preserve">SJ</t>
  </si>
  <si>
    <t xml:space="preserve">Swaziland</t>
  </si>
  <si>
    <t xml:space="preserve">SZ</t>
  </si>
  <si>
    <t xml:space="preserve">Syrian Arab Republic</t>
  </si>
  <si>
    <t xml:space="preserve">SY</t>
  </si>
  <si>
    <t xml:space="preserve">Tajikistan</t>
  </si>
  <si>
    <t xml:space="preserve">TJ</t>
  </si>
  <si>
    <t xml:space="preserve">Tanzania, United Republic of</t>
  </si>
  <si>
    <t xml:space="preserve">TZ</t>
  </si>
  <si>
    <t xml:space="preserve">Thailand</t>
  </si>
  <si>
    <t xml:space="preserve">TH</t>
  </si>
  <si>
    <t xml:space="preserve">Timor-Leste</t>
  </si>
  <si>
    <t xml:space="preserve">TL</t>
  </si>
  <si>
    <t xml:space="preserve">Togo</t>
  </si>
  <si>
    <t xml:space="preserve">TG</t>
  </si>
  <si>
    <t xml:space="preserve">Tokelau</t>
  </si>
  <si>
    <t xml:space="preserve">TK</t>
  </si>
  <si>
    <t xml:space="preserve">Tonga</t>
  </si>
  <si>
    <t xml:space="preserve">TO</t>
  </si>
  <si>
    <t xml:space="preserve">Trinidad and Tobago</t>
  </si>
  <si>
    <t xml:space="preserve">TT</t>
  </si>
  <si>
    <t xml:space="preserve">Tunisia</t>
  </si>
  <si>
    <t xml:space="preserve">TN</t>
  </si>
  <si>
    <t xml:space="preserve">Turkmenistan</t>
  </si>
  <si>
    <t xml:space="preserve">TM</t>
  </si>
  <si>
    <t xml:space="preserve">Turks and Caicos Islands</t>
  </si>
  <si>
    <t xml:space="preserve">TC</t>
  </si>
  <si>
    <t xml:space="preserve">Tuvalu</t>
  </si>
  <si>
    <t xml:space="preserve">TV</t>
  </si>
  <si>
    <t xml:space="preserve">Ukraine</t>
  </si>
  <si>
    <t xml:space="preserve">UA</t>
  </si>
  <si>
    <t xml:space="preserve">United States</t>
  </si>
  <si>
    <t xml:space="preserve">US</t>
  </si>
  <si>
    <t xml:space="preserve">United States Minor Outlying Islands</t>
  </si>
  <si>
    <t xml:space="preserve">UM</t>
  </si>
  <si>
    <t xml:space="preserve">Vanuatu</t>
  </si>
  <si>
    <t xml:space="preserve">VU</t>
  </si>
  <si>
    <t xml:space="preserve">Venezuela, Bolivarian Republic of</t>
  </si>
  <si>
    <t xml:space="preserve">VE</t>
  </si>
  <si>
    <t xml:space="preserve">Viet Nam</t>
  </si>
  <si>
    <t xml:space="preserve">VN</t>
  </si>
  <si>
    <t xml:space="preserve">Virgin Islands, British</t>
  </si>
  <si>
    <t xml:space="preserve">VG</t>
  </si>
  <si>
    <t xml:space="preserve">Virgin Islands, U.S.</t>
  </si>
  <si>
    <t xml:space="preserve">VI</t>
  </si>
  <si>
    <t xml:space="preserve">Wallis and Futuna</t>
  </si>
  <si>
    <t xml:space="preserve">WF</t>
  </si>
  <si>
    <t xml:space="preserve">Western Sahara</t>
  </si>
  <si>
    <t xml:space="preserve">EH</t>
  </si>
  <si>
    <t xml:space="preserve">Yemen</t>
  </si>
  <si>
    <t xml:space="preserve">YE</t>
  </si>
  <si>
    <t xml:space="preserve">Zambia</t>
  </si>
  <si>
    <t xml:space="preserve">ZM</t>
  </si>
  <si>
    <t xml:space="preserve">Zimbabwe</t>
  </si>
  <si>
    <t xml:space="preserve">ZW</t>
  </si>
  <si>
    <t xml:space="preserve">Total Non EU</t>
  </si>
  <si>
    <t xml:space="preserve">Total EU </t>
  </si>
  <si>
    <t xml:space="preserve">Total CZ</t>
  </si>
  <si>
    <t xml:space="preserve">Total Euro</t>
  </si>
  <si>
    <t xml:space="preserve">Контрольные цифры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</si>
</sst>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* #,##0.00_-;\-* #,##0.00_-;_-* \-??_-;_-@_-"/>
    <numFmt numFmtId="166" formatCode="#,##0.00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9"/>
      <color rgb="FF191919"/>
      <name val="Arial"/>
      <family val="2"/>
      <charset val="1"/>
    </font>
    <font>
      <u val="single"/>
      <sz val="11"/>
      <color theme="10"/>
      <name val="Calibri"/>
      <family val="2"/>
      <charset val="1"/>
    </font>
    <font>
      <b val="true"/>
      <sz val="11"/>
      <color rgb="FF000000"/>
      <name val="Calibri"/>
      <family val="2"/>
      <charset val="204"/>
    </font>
    <font>
      <b val="true"/>
      <sz val="11"/>
      <color rgb="FF000000"/>
      <name val="Calibri"/>
      <family val="2"/>
      <charset val="238"/>
    </font>
    <font>
      <b val="true"/>
      <sz val="11"/>
      <name val="Calibri"/>
      <family val="2"/>
      <charset val="1"/>
    </font>
    <font>
      <sz val="11"/>
      <color rgb="FF000000"/>
      <name val="Calibri"/>
      <family val="2"/>
      <charset val="238"/>
    </font>
  </fonts>
  <fills count="10">
    <fill>
      <patternFill patternType="none"/>
    </fill>
    <fill>
      <patternFill patternType="gray125"/>
    </fill>
    <fill>
      <patternFill patternType="solid">
        <fgColor theme="4" tint="0.7999"/>
        <bgColor rgb="FFDAE3F3"/>
      </patternFill>
    </fill>
    <fill>
      <patternFill patternType="solid">
        <fgColor rgb="FFDAE3F3"/>
        <bgColor rgb="FFDEEBF7"/>
      </patternFill>
    </fill>
    <fill>
      <patternFill patternType="solid">
        <fgColor rgb="FFFFD8CE"/>
        <bgColor rgb="FFD6DCE5"/>
      </patternFill>
    </fill>
    <fill>
      <patternFill patternType="solid">
        <fgColor rgb="FFD6DCE5"/>
        <bgColor rgb="FFDAE3F3"/>
      </patternFill>
    </fill>
    <fill>
      <patternFill patternType="solid">
        <fgColor rgb="FFE8F2A1"/>
        <bgColor rgb="FFFFFFCC"/>
      </patternFill>
    </fill>
    <fill>
      <patternFill patternType="solid">
        <fgColor rgb="FF81D41A"/>
        <bgColor rgb="FFAFD095"/>
      </patternFill>
    </fill>
    <fill>
      <patternFill patternType="solid">
        <fgColor rgb="FFB4C7DC"/>
        <bgColor rgb="FFAFD095"/>
      </patternFill>
    </fill>
    <fill>
      <patternFill patternType="solid">
        <fgColor rgb="FFAFD095"/>
        <bgColor rgb="FFB4C7DC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8">
    <dxf>
      <fill>
        <patternFill patternType="solid">
          <fgColor rgb="FF81D41A"/>
          <bgColor rgb="FF000000"/>
        </patternFill>
      </fill>
    </dxf>
    <dxf>
      <fill>
        <patternFill patternType="solid">
          <fgColor rgb="FFAFD095"/>
          <bgColor rgb="FF000000"/>
        </patternFill>
      </fill>
    </dxf>
    <dxf>
      <fill>
        <patternFill patternType="solid">
          <fgColor rgb="FFB4C7DC"/>
          <bgColor rgb="FF000000"/>
        </patternFill>
      </fill>
    </dxf>
    <dxf>
      <fill>
        <patternFill patternType="solid">
          <fgColor rgb="FFE8F2A1"/>
          <bgColor rgb="FF000000"/>
        </patternFill>
      </fill>
    </dxf>
    <dxf>
      <fill>
        <patternFill patternType="solid">
          <fgColor rgb="FFFFD8C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6DCE5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DEEBF7"/>
      <rgbColor rgb="FF660066"/>
      <rgbColor rgb="FFFF8080"/>
      <rgbColor rgb="FF0563C1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AE3F3"/>
      <rgbColor rgb="FFCCFFCC"/>
      <rgbColor rgb="FFE8F2A1"/>
      <rgbColor rgb="FFAFD095"/>
      <rgbColor rgb="FFFF99CC"/>
      <rgbColor rgb="FFCC99FF"/>
      <rgbColor rgb="FFFFD8CE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191919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ecb.europa.eu/stats/policy_and_exchange_rates/euro_reference_exchange_rates/html/index.en.html" TargetMode="External"/><Relationship Id="rId2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60"/>
  <sheetViews>
    <sheetView showFormulas="false" showGridLines="true" showRowColHeaders="true" showZeros="true" rightToLeft="false" tabSelected="true" showOutlineSymbols="true" defaultGridColor="true" view="normal" topLeftCell="A229" colorId="64" zoomScale="80" zoomScaleNormal="80" zoomScalePageLayoutView="100" workbookViewId="0">
      <selection pane="topLeft" activeCell="O259" activeCellId="0" sqref="O259"/>
    </sheetView>
  </sheetViews>
  <sheetFormatPr defaultColWidth="8.57421875" defaultRowHeight="15" zeroHeight="false" outlineLevelRow="1" outlineLevelCol="0"/>
  <cols>
    <col collapsed="false" customWidth="true" hidden="false" outlineLevel="0" max="1" min="1" style="1" width="25.71"/>
    <col collapsed="false" customWidth="true" hidden="false" outlineLevel="0" max="2" min="2" style="1" width="9.86"/>
    <col collapsed="false" customWidth="true" hidden="false" outlineLevel="0" max="3" min="3" style="1" width="12.57"/>
    <col collapsed="false" customWidth="true" hidden="false" outlineLevel="0" max="4" min="4" style="1" width="23.43"/>
    <col collapsed="false" customWidth="true" hidden="false" outlineLevel="0" max="5" min="5" style="1" width="13"/>
    <col collapsed="false" customWidth="true" hidden="false" outlineLevel="0" max="6" min="6" style="1" width="11.29"/>
    <col collapsed="false" customWidth="true" hidden="false" outlineLevel="0" max="7" min="7" style="1" width="10.29"/>
    <col collapsed="false" customWidth="false" hidden="false" outlineLevel="0" max="8" min="8" style="1" width="8.57"/>
    <col collapsed="false" customWidth="true" hidden="false" outlineLevel="0" max="9" min="9" style="1" width="10.71"/>
    <col collapsed="false" customWidth="true" hidden="false" outlineLevel="0" max="10" min="10" style="1" width="11.57"/>
    <col collapsed="false" customWidth="true" hidden="false" outlineLevel="0" max="11" min="11" style="1" width="24.43"/>
  </cols>
  <sheetData>
    <row r="1" customFormat="false" ht="15" hidden="false" customHeight="false" outlineLevel="0" collapsed="false">
      <c r="A1" s="2" t="s">
        <v>0</v>
      </c>
      <c r="B1" s="2"/>
    </row>
    <row r="2" customFormat="false" ht="15" hidden="false" customHeight="false" outlineLevel="0" collapsed="false">
      <c r="A2" s="2" t="s">
        <v>1</v>
      </c>
      <c r="B2" s="2"/>
    </row>
    <row r="3" customFormat="false" ht="15" hidden="false" customHeight="true" outlineLevel="0" collapsed="false">
      <c r="A3" s="2" t="s">
        <v>2</v>
      </c>
      <c r="B3" s="3" t="n">
        <v>1.1485</v>
      </c>
      <c r="C3" s="4" t="s">
        <v>3</v>
      </c>
      <c r="D3" s="4"/>
      <c r="E3" s="4"/>
      <c r="F3" s="4"/>
      <c r="G3" s="4"/>
      <c r="H3" s="4"/>
      <c r="I3" s="4"/>
      <c r="J3" s="4"/>
    </row>
    <row r="4" customFormat="false" ht="15" hidden="false" customHeight="false" outlineLevel="0" collapsed="false">
      <c r="D4" s="5" t="s">
        <v>2</v>
      </c>
      <c r="E4" s="5"/>
      <c r="F4" s="5"/>
      <c r="G4" s="5"/>
      <c r="H4" s="5"/>
      <c r="I4" s="6" t="s">
        <v>4</v>
      </c>
      <c r="J4" s="6"/>
      <c r="K4" s="7"/>
    </row>
    <row r="5" customFormat="false" ht="15" hidden="false" customHeight="false" outlineLevel="0" collapsed="false">
      <c r="I5" s="8" t="s">
        <v>5</v>
      </c>
      <c r="J5" s="8"/>
    </row>
    <row r="6" customFormat="false" ht="45" hidden="false" customHeight="true" outlineLevel="0" collapsed="false">
      <c r="C6" s="9" t="s">
        <v>6</v>
      </c>
      <c r="D6" s="10" t="s">
        <v>7</v>
      </c>
      <c r="E6" s="10" t="s">
        <v>8</v>
      </c>
      <c r="F6" s="10" t="s">
        <v>9</v>
      </c>
      <c r="G6" s="10" t="s">
        <v>10</v>
      </c>
      <c r="H6" s="10" t="s">
        <v>11</v>
      </c>
      <c r="I6" s="11" t="s">
        <v>12</v>
      </c>
      <c r="J6" s="11" t="s">
        <v>13</v>
      </c>
      <c r="K6" s="12" t="s">
        <v>14</v>
      </c>
      <c r="O6" s="13"/>
    </row>
    <row r="7" customFormat="false" ht="15" hidden="false" customHeight="false" outlineLevel="0" collapsed="false">
      <c r="A7" s="14" t="s">
        <v>15</v>
      </c>
      <c r="B7" s="15" t="s">
        <v>16</v>
      </c>
      <c r="C7" s="15" t="n">
        <v>20</v>
      </c>
      <c r="D7" s="16" t="n">
        <v>0</v>
      </c>
      <c r="E7" s="16"/>
      <c r="F7" s="16" t="n">
        <f aca="false">D7-E7</f>
        <v>0</v>
      </c>
      <c r="G7" s="16" t="n">
        <f aca="false">F7/(100+C7)*100</f>
        <v>0</v>
      </c>
      <c r="H7" s="16" t="n">
        <f aca="false">G7*C7/100</f>
        <v>0</v>
      </c>
      <c r="I7" s="17" t="n">
        <f aca="false">G7/$B$3</f>
        <v>0</v>
      </c>
      <c r="J7" s="17" t="n">
        <f aca="false">H7/$B$3</f>
        <v>0</v>
      </c>
      <c r="K7" s="18" t="n">
        <f aca="false">I7+J7</f>
        <v>0</v>
      </c>
    </row>
    <row r="8" customFormat="false" ht="15" hidden="false" customHeight="false" outlineLevel="0" collapsed="false">
      <c r="A8" s="14" t="s">
        <v>17</v>
      </c>
      <c r="B8" s="15" t="s">
        <v>18</v>
      </c>
      <c r="C8" s="15" t="n">
        <v>21</v>
      </c>
      <c r="D8" s="16" t="n">
        <v>3.73</v>
      </c>
      <c r="E8" s="16"/>
      <c r="F8" s="16" t="n">
        <f aca="false">D8-E8</f>
        <v>3.73</v>
      </c>
      <c r="G8" s="16" t="n">
        <f aca="false">F8/(100+C8)*100</f>
        <v>3.08264462809917</v>
      </c>
      <c r="H8" s="16" t="n">
        <f aca="false">G8*C8/100</f>
        <v>0.647355371900826</v>
      </c>
      <c r="I8" s="17" t="n">
        <f aca="false">G8/$B$3</f>
        <v>2.68406149595052</v>
      </c>
      <c r="J8" s="17" t="n">
        <f aca="false">H8/$B$3</f>
        <v>0.563652914149609</v>
      </c>
      <c r="K8" s="18" t="n">
        <f aca="false">I8+J8</f>
        <v>3.24771441010013</v>
      </c>
    </row>
    <row r="9" customFormat="false" ht="15" hidden="false" customHeight="false" outlineLevel="0" collapsed="false">
      <c r="A9" s="15" t="s">
        <v>19</v>
      </c>
      <c r="B9" s="15" t="s">
        <v>20</v>
      </c>
      <c r="C9" s="15" t="n">
        <v>20</v>
      </c>
      <c r="D9" s="16" t="n">
        <v>0</v>
      </c>
      <c r="E9" s="16"/>
      <c r="F9" s="16" t="n">
        <f aca="false">D9-E9</f>
        <v>0</v>
      </c>
      <c r="G9" s="16" t="n">
        <f aca="false">F9/(100+C9)*100</f>
        <v>0</v>
      </c>
      <c r="H9" s="16" t="n">
        <f aca="false">G9*C9/100</f>
        <v>0</v>
      </c>
      <c r="I9" s="17" t="n">
        <f aca="false">G9/$B$3</f>
        <v>0</v>
      </c>
      <c r="J9" s="17" t="n">
        <f aca="false">H9/$B$3</f>
        <v>0</v>
      </c>
      <c r="K9" s="18" t="n">
        <f aca="false">I9+J9</f>
        <v>0</v>
      </c>
    </row>
    <row r="10" customFormat="false" ht="15" hidden="false" customHeight="false" outlineLevel="0" collapsed="false">
      <c r="A10" s="15" t="s">
        <v>21</v>
      </c>
      <c r="B10" s="15" t="s">
        <v>22</v>
      </c>
      <c r="C10" s="15" t="n">
        <v>25</v>
      </c>
      <c r="D10" s="16" t="n">
        <v>22.59</v>
      </c>
      <c r="E10" s="16"/>
      <c r="F10" s="16" t="n">
        <f aca="false">D10-E10</f>
        <v>22.59</v>
      </c>
      <c r="G10" s="16" t="n">
        <f aca="false">F10/(100+C10)*100</f>
        <v>18.072</v>
      </c>
      <c r="H10" s="16" t="n">
        <f aca="false">G10*C10/100</f>
        <v>4.518</v>
      </c>
      <c r="I10" s="17" t="n">
        <f aca="false">G10/$B$3</f>
        <v>15.7353069220723</v>
      </c>
      <c r="J10" s="17" t="n">
        <f aca="false">H10/$B$3</f>
        <v>3.93382673051807</v>
      </c>
      <c r="K10" s="18" t="n">
        <f aca="false">I10+J10</f>
        <v>19.6691336525903</v>
      </c>
    </row>
    <row r="11" customFormat="false" ht="15" hidden="false" customHeight="false" outlineLevel="0" collapsed="false">
      <c r="A11" s="14" t="s">
        <v>23</v>
      </c>
      <c r="B11" s="15" t="s">
        <v>24</v>
      </c>
      <c r="C11" s="15" t="n">
        <v>19</v>
      </c>
      <c r="D11" s="16" t="n">
        <v>0</v>
      </c>
      <c r="E11" s="16"/>
      <c r="F11" s="16" t="n">
        <f aca="false">D11-E11</f>
        <v>0</v>
      </c>
      <c r="G11" s="16" t="n">
        <f aca="false">F11/(100+C11)*100</f>
        <v>0</v>
      </c>
      <c r="H11" s="16" t="n">
        <f aca="false">G11*C11/100</f>
        <v>0</v>
      </c>
      <c r="I11" s="17" t="n">
        <f aca="false">G11/$B$3</f>
        <v>0</v>
      </c>
      <c r="J11" s="17" t="n">
        <f aca="false">H11/$B$3</f>
        <v>0</v>
      </c>
      <c r="K11" s="18" t="n">
        <f aca="false">I11+J11</f>
        <v>0</v>
      </c>
    </row>
    <row r="12" customFormat="false" ht="15" hidden="false" customHeight="false" outlineLevel="0" collapsed="false">
      <c r="A12" s="14" t="s">
        <v>25</v>
      </c>
      <c r="B12" s="15" t="s">
        <v>26</v>
      </c>
      <c r="C12" s="15" t="n">
        <v>25</v>
      </c>
      <c r="D12" s="16" t="n">
        <v>0</v>
      </c>
      <c r="E12" s="16"/>
      <c r="F12" s="16" t="n">
        <f aca="false">D12-E12</f>
        <v>0</v>
      </c>
      <c r="G12" s="16" t="n">
        <f aca="false">F12/(100+C12)*100</f>
        <v>0</v>
      </c>
      <c r="H12" s="16" t="n">
        <f aca="false">G12*C12/100</f>
        <v>0</v>
      </c>
      <c r="I12" s="17" t="n">
        <f aca="false">G12/$B$3</f>
        <v>0</v>
      </c>
      <c r="J12" s="17" t="n">
        <f aca="false">H12/$B$3</f>
        <v>0</v>
      </c>
      <c r="K12" s="18" t="n">
        <f aca="false">I12+J12</f>
        <v>0</v>
      </c>
    </row>
    <row r="13" customFormat="false" ht="15" hidden="false" customHeight="false" outlineLevel="0" collapsed="false">
      <c r="A13" s="14" t="s">
        <v>27</v>
      </c>
      <c r="B13" s="15" t="s">
        <v>28</v>
      </c>
      <c r="C13" s="15" t="n">
        <v>24</v>
      </c>
      <c r="D13" s="16" t="n">
        <v>0</v>
      </c>
      <c r="E13" s="16"/>
      <c r="F13" s="16" t="n">
        <f aca="false">D13-E13</f>
        <v>0</v>
      </c>
      <c r="G13" s="16" t="n">
        <f aca="false">F13/(100+C13)*100</f>
        <v>0</v>
      </c>
      <c r="H13" s="16" t="n">
        <f aca="false">G13*C13/100</f>
        <v>0</v>
      </c>
      <c r="I13" s="17" t="n">
        <f aca="false">G13/$B$3</f>
        <v>0</v>
      </c>
      <c r="J13" s="17" t="n">
        <f aca="false">H13/$B$3</f>
        <v>0</v>
      </c>
      <c r="K13" s="18" t="n">
        <f aca="false">I13+J13</f>
        <v>0</v>
      </c>
    </row>
    <row r="14" customFormat="false" ht="15" hidden="false" customHeight="false" outlineLevel="0" collapsed="false">
      <c r="A14" s="14" t="s">
        <v>29</v>
      </c>
      <c r="B14" s="15" t="s">
        <v>30</v>
      </c>
      <c r="C14" s="15" t="n">
        <v>25.5</v>
      </c>
      <c r="D14" s="16" t="n">
        <v>0</v>
      </c>
      <c r="E14" s="16"/>
      <c r="F14" s="16" t="n">
        <f aca="false">D14-E14</f>
        <v>0</v>
      </c>
      <c r="G14" s="16" t="n">
        <f aca="false">F14/(100+C14)*100</f>
        <v>0</v>
      </c>
      <c r="H14" s="16" t="n">
        <f aca="false">G14*C14/100</f>
        <v>0</v>
      </c>
      <c r="I14" s="17" t="n">
        <f aca="false">G14/$B$3</f>
        <v>0</v>
      </c>
      <c r="J14" s="17" t="n">
        <f aca="false">H14/$B$3</f>
        <v>0</v>
      </c>
      <c r="K14" s="18" t="n">
        <f aca="false">I14+J14</f>
        <v>0</v>
      </c>
    </row>
    <row r="15" customFormat="false" ht="15" hidden="false" customHeight="false" outlineLevel="0" collapsed="false">
      <c r="A15" s="14" t="s">
        <v>31</v>
      </c>
      <c r="B15" s="15" t="s">
        <v>32</v>
      </c>
      <c r="C15" s="15" t="n">
        <v>20</v>
      </c>
      <c r="D15" s="16" t="n">
        <v>0</v>
      </c>
      <c r="E15" s="16"/>
      <c r="F15" s="16" t="n">
        <f aca="false">D15-E15</f>
        <v>0</v>
      </c>
      <c r="G15" s="16" t="n">
        <f aca="false">F15/(100+C15)*100</f>
        <v>0</v>
      </c>
      <c r="H15" s="16" t="n">
        <f aca="false">G15*C15/100</f>
        <v>0</v>
      </c>
      <c r="I15" s="17" t="n">
        <f aca="false">G15/$B$3</f>
        <v>0</v>
      </c>
      <c r="J15" s="17" t="n">
        <f aca="false">H15/$B$3</f>
        <v>0</v>
      </c>
      <c r="K15" s="18" t="n">
        <f aca="false">I15+J15</f>
        <v>0</v>
      </c>
    </row>
    <row r="16" customFormat="false" ht="15" hidden="false" customHeight="false" outlineLevel="0" collapsed="false">
      <c r="A16" s="14" t="s">
        <v>33</v>
      </c>
      <c r="B16" s="15" t="s">
        <v>34</v>
      </c>
      <c r="C16" s="15" t="n">
        <v>19</v>
      </c>
      <c r="D16" s="16" t="n">
        <v>0</v>
      </c>
      <c r="E16" s="16"/>
      <c r="F16" s="16" t="n">
        <f aca="false">D16-E16</f>
        <v>0</v>
      </c>
      <c r="G16" s="16" t="n">
        <f aca="false">F16/(100+C16)*100</f>
        <v>0</v>
      </c>
      <c r="H16" s="16" t="n">
        <f aca="false">G16*C16/100</f>
        <v>0</v>
      </c>
      <c r="I16" s="17" t="n">
        <f aca="false">G16/$B$3</f>
        <v>0</v>
      </c>
      <c r="J16" s="17" t="n">
        <f aca="false">H16/$B$3</f>
        <v>0</v>
      </c>
      <c r="K16" s="18" t="n">
        <f aca="false">I16+J16</f>
        <v>0</v>
      </c>
    </row>
    <row r="17" customFormat="false" ht="15" hidden="false" customHeight="false" outlineLevel="0" collapsed="false">
      <c r="A17" s="14" t="s">
        <v>35</v>
      </c>
      <c r="B17" s="15" t="s">
        <v>36</v>
      </c>
      <c r="C17" s="15" t="n">
        <v>24</v>
      </c>
      <c r="D17" s="16" t="n">
        <v>23.58</v>
      </c>
      <c r="E17" s="16"/>
      <c r="F17" s="16" t="n">
        <f aca="false">D17-E17</f>
        <v>23.58</v>
      </c>
      <c r="G17" s="16" t="n">
        <f aca="false">F17/(100+C17)*100</f>
        <v>19.0161290322581</v>
      </c>
      <c r="H17" s="16" t="n">
        <f aca="false">G17*C17/100</f>
        <v>4.56387096774194</v>
      </c>
      <c r="I17" s="17" t="n">
        <f aca="false">G17/$B$3</f>
        <v>16.5573609336161</v>
      </c>
      <c r="J17" s="17" t="n">
        <f aca="false">H17/$B$3</f>
        <v>3.97376662406786</v>
      </c>
      <c r="K17" s="18" t="n">
        <f aca="false">I17+J17</f>
        <v>20.5311275576839</v>
      </c>
    </row>
    <row r="18" customFormat="false" ht="15" hidden="false" customHeight="false" outlineLevel="0" collapsed="false">
      <c r="A18" s="14" t="s">
        <v>37</v>
      </c>
      <c r="B18" s="15" t="s">
        <v>38</v>
      </c>
      <c r="C18" s="15" t="n">
        <v>27</v>
      </c>
      <c r="D18" s="16" t="n">
        <v>40.9</v>
      </c>
      <c r="E18" s="16"/>
      <c r="F18" s="16" t="n">
        <f aca="false">D18-E18</f>
        <v>40.9</v>
      </c>
      <c r="G18" s="16" t="n">
        <f aca="false">F18/(100+C18)*100</f>
        <v>32.2047244094488</v>
      </c>
      <c r="H18" s="16" t="n">
        <f aca="false">G18*C18/100</f>
        <v>8.69527559055118</v>
      </c>
      <c r="I18" s="17" t="n">
        <f aca="false">G18/$B$3</f>
        <v>28.0406829860242</v>
      </c>
      <c r="J18" s="17" t="n">
        <f aca="false">H18/$B$3</f>
        <v>7.57098440622654</v>
      </c>
      <c r="K18" s="18" t="n">
        <f aca="false">I18+J18</f>
        <v>35.6116673922508</v>
      </c>
    </row>
    <row r="19" customFormat="false" ht="15" hidden="false" customHeight="false" outlineLevel="0" collapsed="false">
      <c r="A19" s="14" t="s">
        <v>39</v>
      </c>
      <c r="B19" s="15" t="s">
        <v>40</v>
      </c>
      <c r="C19" s="15" t="n">
        <v>23</v>
      </c>
      <c r="D19" s="16" t="n">
        <v>106.69</v>
      </c>
      <c r="E19" s="16"/>
      <c r="F19" s="16" t="n">
        <f aca="false">D19-E19</f>
        <v>106.69</v>
      </c>
      <c r="G19" s="16" t="n">
        <f aca="false">F19/(100+C19)*100</f>
        <v>86.739837398374</v>
      </c>
      <c r="H19" s="16" t="n">
        <f aca="false">G19*C19/100</f>
        <v>19.950162601626</v>
      </c>
      <c r="I19" s="17" t="n">
        <f aca="false">G19/$B$3</f>
        <v>75.5244557234427</v>
      </c>
      <c r="J19" s="17" t="n">
        <f aca="false">H19/$B$3</f>
        <v>17.3706248163918</v>
      </c>
      <c r="K19" s="18" t="n">
        <f aca="false">I19+J19</f>
        <v>92.8950805398346</v>
      </c>
    </row>
    <row r="20" customFormat="false" ht="15" hidden="false" customHeight="false" outlineLevel="0" collapsed="false">
      <c r="A20" s="14" t="s">
        <v>41</v>
      </c>
      <c r="B20" s="15" t="s">
        <v>42</v>
      </c>
      <c r="C20" s="15" t="n">
        <v>22</v>
      </c>
      <c r="D20" s="16" t="n">
        <v>0</v>
      </c>
      <c r="E20" s="16"/>
      <c r="F20" s="16" t="n">
        <f aca="false">D20-E20</f>
        <v>0</v>
      </c>
      <c r="G20" s="16" t="n">
        <f aca="false">F20/(100+C20)*100</f>
        <v>0</v>
      </c>
      <c r="H20" s="16" t="n">
        <f aca="false">G20*C20/100</f>
        <v>0</v>
      </c>
      <c r="I20" s="17" t="n">
        <f aca="false">G20/$B$3</f>
        <v>0</v>
      </c>
      <c r="J20" s="17" t="n">
        <f aca="false">H20/$B$3</f>
        <v>0</v>
      </c>
      <c r="K20" s="18" t="n">
        <f aca="false">I20+J20</f>
        <v>0</v>
      </c>
    </row>
    <row r="21" customFormat="false" ht="15" hidden="false" customHeight="false" outlineLevel="0" collapsed="false">
      <c r="A21" s="15" t="s">
        <v>43</v>
      </c>
      <c r="B21" s="15" t="s">
        <v>44</v>
      </c>
      <c r="C21" s="15" t="n">
        <v>21</v>
      </c>
      <c r="D21" s="16" t="n">
        <v>11.96</v>
      </c>
      <c r="E21" s="16"/>
      <c r="F21" s="16" t="n">
        <f aca="false">D21-E21</f>
        <v>11.96</v>
      </c>
      <c r="G21" s="16" t="n">
        <f aca="false">F21/(100+C21)*100</f>
        <v>9.88429752066116</v>
      </c>
      <c r="H21" s="16" t="n">
        <f aca="false">G21*C21/100</f>
        <v>2.07570247933884</v>
      </c>
      <c r="I21" s="17" t="n">
        <f aca="false">G21/$B$3</f>
        <v>8.6062668878199</v>
      </c>
      <c r="J21" s="17" t="n">
        <f aca="false">H21/$B$3</f>
        <v>1.80731604644218</v>
      </c>
      <c r="K21" s="18" t="n">
        <f aca="false">I21+J21</f>
        <v>10.4135829342621</v>
      </c>
    </row>
    <row r="22" customFormat="false" ht="15" hidden="false" customHeight="false" outlineLevel="0" collapsed="false">
      <c r="A22" s="14" t="s">
        <v>45</v>
      </c>
      <c r="B22" s="15" t="s">
        <v>46</v>
      </c>
      <c r="C22" s="15" t="n">
        <v>21</v>
      </c>
      <c r="D22" s="16" t="n">
        <v>0</v>
      </c>
      <c r="E22" s="16"/>
      <c r="F22" s="16" t="n">
        <f aca="false">D22-E22</f>
        <v>0</v>
      </c>
      <c r="G22" s="16" t="n">
        <f aca="false">F22/(100+C22)*100</f>
        <v>0</v>
      </c>
      <c r="H22" s="16" t="n">
        <f aca="false">G22*C22/100</f>
        <v>0</v>
      </c>
      <c r="I22" s="17" t="n">
        <f aca="false">G22/$B$3</f>
        <v>0</v>
      </c>
      <c r="J22" s="17" t="n">
        <f aca="false">H22/$B$3</f>
        <v>0</v>
      </c>
      <c r="K22" s="18" t="n">
        <f aca="false">I22+J22</f>
        <v>0</v>
      </c>
    </row>
    <row r="23" customFormat="false" ht="15" hidden="false" customHeight="false" outlineLevel="0" collapsed="false">
      <c r="A23" s="14" t="s">
        <v>47</v>
      </c>
      <c r="B23" s="15" t="s">
        <v>48</v>
      </c>
      <c r="C23" s="15" t="n">
        <v>17</v>
      </c>
      <c r="D23" s="16" t="n">
        <v>0</v>
      </c>
      <c r="E23" s="16"/>
      <c r="F23" s="16" t="n">
        <f aca="false">D23-E23</f>
        <v>0</v>
      </c>
      <c r="G23" s="16" t="n">
        <f aca="false">F23/(100+C23)*100</f>
        <v>0</v>
      </c>
      <c r="H23" s="16" t="n">
        <f aca="false">G23*C23/100</f>
        <v>0</v>
      </c>
      <c r="I23" s="17" t="n">
        <f aca="false">G23/$B$3</f>
        <v>0</v>
      </c>
      <c r="J23" s="17" t="n">
        <f aca="false">H23/$B$3</f>
        <v>0</v>
      </c>
      <c r="K23" s="18" t="n">
        <f aca="false">I23+J23</f>
        <v>0</v>
      </c>
    </row>
    <row r="24" customFormat="false" ht="15" hidden="false" customHeight="false" outlineLevel="0" collapsed="false">
      <c r="A24" s="15" t="s">
        <v>49</v>
      </c>
      <c r="B24" s="15" t="s">
        <v>50</v>
      </c>
      <c r="C24" s="15" t="n">
        <v>18</v>
      </c>
      <c r="D24" s="16" t="n">
        <v>0</v>
      </c>
      <c r="E24" s="16"/>
      <c r="F24" s="16" t="n">
        <f aca="false">D24-E24</f>
        <v>0</v>
      </c>
      <c r="G24" s="16" t="n">
        <f aca="false">F24/(100+C24)*100</f>
        <v>0</v>
      </c>
      <c r="H24" s="16" t="n">
        <f aca="false">G24*C24/100</f>
        <v>0</v>
      </c>
      <c r="I24" s="17" t="n">
        <f aca="false">G24/$B$3</f>
        <v>0</v>
      </c>
      <c r="J24" s="17" t="n">
        <f aca="false">H24/$B$3</f>
        <v>0</v>
      </c>
      <c r="K24" s="18" t="n">
        <f aca="false">I24+J24</f>
        <v>0</v>
      </c>
    </row>
    <row r="25" customFormat="false" ht="15" hidden="false" customHeight="false" outlineLevel="0" collapsed="false">
      <c r="A25" s="14" t="s">
        <v>51</v>
      </c>
      <c r="B25" s="15" t="s">
        <v>52</v>
      </c>
      <c r="C25" s="15" t="n">
        <v>21</v>
      </c>
      <c r="D25" s="16" t="n">
        <v>37.9</v>
      </c>
      <c r="E25" s="16"/>
      <c r="F25" s="16" t="n">
        <f aca="false">D25-E25</f>
        <v>37.9</v>
      </c>
      <c r="G25" s="16" t="n">
        <f aca="false">F25/(100+C25)*100</f>
        <v>31.3223140495868</v>
      </c>
      <c r="H25" s="16" t="n">
        <f aca="false">G25*C25/100</f>
        <v>6.57768595041322</v>
      </c>
      <c r="I25" s="17" t="n">
        <f aca="false">G25/$B$3</f>
        <v>27.2723674789611</v>
      </c>
      <c r="J25" s="17" t="n">
        <f aca="false">H25/$B$3</f>
        <v>5.72719717058182</v>
      </c>
      <c r="K25" s="18" t="n">
        <f aca="false">I25+J25</f>
        <v>32.9995646495429</v>
      </c>
    </row>
    <row r="26" customFormat="false" ht="15" hidden="false" customHeight="false" outlineLevel="0" collapsed="false">
      <c r="A26" s="14" t="s">
        <v>53</v>
      </c>
      <c r="B26" s="15" t="s">
        <v>54</v>
      </c>
      <c r="C26" s="15" t="n">
        <v>23</v>
      </c>
      <c r="D26" s="16" t="n">
        <v>112.14</v>
      </c>
      <c r="E26" s="16"/>
      <c r="F26" s="16" t="n">
        <f aca="false">D26-E26</f>
        <v>112.14</v>
      </c>
      <c r="G26" s="16" t="n">
        <f aca="false">F26/(100+C26)*100</f>
        <v>91.1707317073171</v>
      </c>
      <c r="H26" s="16" t="n">
        <f aca="false">G26*C26/100</f>
        <v>20.9692682926829</v>
      </c>
      <c r="I26" s="17" t="n">
        <f aca="false">G26/$B$3</f>
        <v>79.3824394491224</v>
      </c>
      <c r="J26" s="17" t="n">
        <f aca="false">H26/$B$3</f>
        <v>18.2579610732982</v>
      </c>
      <c r="K26" s="18" t="n">
        <f aca="false">I26+J26</f>
        <v>97.6404005224205</v>
      </c>
    </row>
    <row r="27" customFormat="false" ht="15" hidden="false" customHeight="false" outlineLevel="0" collapsed="false">
      <c r="A27" s="14" t="s">
        <v>55</v>
      </c>
      <c r="B27" s="15" t="s">
        <v>56</v>
      </c>
      <c r="C27" s="15" t="n">
        <v>23</v>
      </c>
      <c r="D27" s="16" t="n">
        <v>0</v>
      </c>
      <c r="E27" s="16"/>
      <c r="F27" s="16" t="n">
        <f aca="false">D27-E27</f>
        <v>0</v>
      </c>
      <c r="G27" s="16" t="n">
        <f aca="false">F27/(100+C27)*100</f>
        <v>0</v>
      </c>
      <c r="H27" s="16" t="n">
        <f aca="false">G27*C27/100</f>
        <v>0</v>
      </c>
      <c r="I27" s="17" t="n">
        <f aca="false">G27/$B$3</f>
        <v>0</v>
      </c>
      <c r="J27" s="17" t="n">
        <f aca="false">H27/$B$3</f>
        <v>0</v>
      </c>
      <c r="K27" s="18" t="n">
        <f aca="false">I27+J27</f>
        <v>0</v>
      </c>
    </row>
    <row r="28" customFormat="false" ht="15" hidden="false" customHeight="false" outlineLevel="0" collapsed="false">
      <c r="A28" s="14" t="s">
        <v>57</v>
      </c>
      <c r="B28" s="15" t="s">
        <v>58</v>
      </c>
      <c r="C28" s="15" t="n">
        <v>21</v>
      </c>
      <c r="D28" s="16" t="n">
        <v>23.03</v>
      </c>
      <c r="E28" s="16"/>
      <c r="F28" s="16" t="n">
        <f aca="false">D28-E28</f>
        <v>23.03</v>
      </c>
      <c r="G28" s="16" t="n">
        <f aca="false">F28/(100+C28)*100</f>
        <v>19.0330578512397</v>
      </c>
      <c r="H28" s="16" t="n">
        <f aca="false">G28*C28/100</f>
        <v>3.99694214876033</v>
      </c>
      <c r="I28" s="17" t="n">
        <f aca="false">G28/$B$3</f>
        <v>16.5721008717803</v>
      </c>
      <c r="J28" s="17" t="n">
        <f aca="false">H28/$B$3</f>
        <v>3.48014118307386</v>
      </c>
      <c r="K28" s="18" t="n">
        <f aca="false">I28+J28</f>
        <v>20.0522420548542</v>
      </c>
    </row>
    <row r="29" customFormat="false" ht="15" hidden="false" customHeight="false" outlineLevel="0" collapsed="false">
      <c r="A29" s="14" t="s">
        <v>59</v>
      </c>
      <c r="B29" s="15" t="s">
        <v>60</v>
      </c>
      <c r="C29" s="15" t="n">
        <v>23</v>
      </c>
      <c r="D29" s="16" t="n">
        <v>11.96</v>
      </c>
      <c r="E29" s="16"/>
      <c r="F29" s="16" t="n">
        <f aca="false">D29-E29</f>
        <v>11.96</v>
      </c>
      <c r="G29" s="16" t="n">
        <f aca="false">F29/(100+C29)*100</f>
        <v>9.72357723577236</v>
      </c>
      <c r="H29" s="16" t="n">
        <f aca="false">G29*C29/100</f>
        <v>2.23642276422764</v>
      </c>
      <c r="I29" s="17" t="n">
        <f aca="false">G29/$B$3</f>
        <v>8.46632758883096</v>
      </c>
      <c r="J29" s="17" t="n">
        <f aca="false">H29/$B$3</f>
        <v>1.94725534543112</v>
      </c>
      <c r="K29" s="18" t="n">
        <f aca="false">I29+J29</f>
        <v>10.4135829342621</v>
      </c>
    </row>
    <row r="30" customFormat="false" ht="15" hidden="false" customHeight="false" outlineLevel="0" collapsed="false">
      <c r="A30" s="14" t="s">
        <v>61</v>
      </c>
      <c r="B30" s="15" t="s">
        <v>62</v>
      </c>
      <c r="C30" s="15" t="n">
        <v>22</v>
      </c>
      <c r="D30" s="16" t="n">
        <v>2.55</v>
      </c>
      <c r="E30" s="16"/>
      <c r="F30" s="16" t="n">
        <f aca="false">D30-E30</f>
        <v>2.55</v>
      </c>
      <c r="G30" s="16" t="n">
        <f aca="false">F30/(100+C30)*100</f>
        <v>2.09016393442623</v>
      </c>
      <c r="H30" s="16" t="n">
        <f aca="false">G30*C30/100</f>
        <v>0.45983606557377</v>
      </c>
      <c r="I30" s="17" t="n">
        <f aca="false">G30/$B$3</f>
        <v>1.81990764860795</v>
      </c>
      <c r="J30" s="17" t="n">
        <f aca="false">H30/$B$3</f>
        <v>0.400379682693749</v>
      </c>
      <c r="K30" s="18" t="n">
        <f aca="false">I30+J30</f>
        <v>2.2202873313017</v>
      </c>
    </row>
    <row r="31" customFormat="false" ht="15" hidden="false" customHeight="false" outlineLevel="0" collapsed="false">
      <c r="A31" s="14" t="s">
        <v>63</v>
      </c>
      <c r="B31" s="15" t="s">
        <v>64</v>
      </c>
      <c r="C31" s="15" t="n">
        <v>21</v>
      </c>
      <c r="D31" s="16" t="n">
        <v>171.88</v>
      </c>
      <c r="E31" s="16"/>
      <c r="F31" s="16" t="n">
        <f aca="false">D31-E31</f>
        <v>171.88</v>
      </c>
      <c r="G31" s="16" t="n">
        <f aca="false">F31/(100+C31)*100</f>
        <v>142.04958677686</v>
      </c>
      <c r="H31" s="16" t="n">
        <f aca="false">G31*C31/100</f>
        <v>29.8304132231405</v>
      </c>
      <c r="I31" s="17" t="n">
        <f aca="false">G31/$B$3</f>
        <v>123.682705073452</v>
      </c>
      <c r="J31" s="17" t="n">
        <f aca="false">H31/$B$3</f>
        <v>25.9733680654249</v>
      </c>
      <c r="K31" s="18" t="n">
        <f aca="false">I31+J31</f>
        <v>149.656073138877</v>
      </c>
    </row>
    <row r="32" customFormat="false" ht="15" hidden="false" customHeight="false" outlineLevel="0" collapsed="false">
      <c r="A32" s="14" t="s">
        <v>65</v>
      </c>
      <c r="B32" s="15" t="s">
        <v>66</v>
      </c>
      <c r="C32" s="15" t="n">
        <v>25</v>
      </c>
      <c r="D32" s="16" t="n">
        <v>0</v>
      </c>
      <c r="E32" s="16"/>
      <c r="F32" s="16" t="n">
        <f aca="false">D32-E32</f>
        <v>0</v>
      </c>
      <c r="G32" s="16" t="n">
        <f aca="false">F32/(100+C32)*100</f>
        <v>0</v>
      </c>
      <c r="H32" s="16" t="n">
        <f aca="false">G32*C32/100</f>
        <v>0</v>
      </c>
      <c r="I32" s="17" t="n">
        <f aca="false">G32/$B$3</f>
        <v>0</v>
      </c>
      <c r="J32" s="17" t="n">
        <f aca="false">H32/$B$3</f>
        <v>0</v>
      </c>
      <c r="K32" s="18" t="n">
        <f aca="false">I32+J32</f>
        <v>0</v>
      </c>
    </row>
    <row r="33" customFormat="false" ht="15" hidden="false" customHeight="false" outlineLevel="0" collapsed="false">
      <c r="A33" s="19" t="s">
        <v>67</v>
      </c>
      <c r="B33" s="20" t="s">
        <v>68</v>
      </c>
      <c r="C33" s="20" t="n">
        <v>21</v>
      </c>
      <c r="D33" s="16" t="n">
        <v>0</v>
      </c>
      <c r="E33" s="16"/>
      <c r="F33" s="16" t="n">
        <f aca="false">D33-E33</f>
        <v>0</v>
      </c>
      <c r="G33" s="21" t="n">
        <f aca="false">F33/(100+C33)*100</f>
        <v>0</v>
      </c>
      <c r="H33" s="21" t="n">
        <f aca="false">G33*C33/100</f>
        <v>0</v>
      </c>
      <c r="I33" s="17" t="n">
        <f aca="false">G33/$B$3</f>
        <v>0</v>
      </c>
      <c r="J33" s="17" t="n">
        <f aca="false">H33/$B$3</f>
        <v>0</v>
      </c>
      <c r="K33" s="18" t="n">
        <f aca="false">I33+J33</f>
        <v>0</v>
      </c>
    </row>
    <row r="34" customFormat="false" ht="15" hidden="false" customHeight="false" outlineLevel="1" collapsed="false">
      <c r="A34" s="22" t="s">
        <v>69</v>
      </c>
      <c r="B34" s="1" t="s">
        <v>70</v>
      </c>
      <c r="D34" s="21" t="n">
        <v>0</v>
      </c>
      <c r="E34" s="16"/>
      <c r="F34" s="21"/>
      <c r="G34" s="21"/>
      <c r="H34" s="21"/>
      <c r="I34" s="17"/>
      <c r="J34" s="17"/>
      <c r="K34" s="17"/>
    </row>
    <row r="35" customFormat="false" ht="15" hidden="false" customHeight="false" outlineLevel="1" collapsed="false">
      <c r="A35" s="22" t="s">
        <v>71</v>
      </c>
      <c r="B35" s="1" t="s">
        <v>72</v>
      </c>
      <c r="D35" s="21" t="n">
        <v>2.99</v>
      </c>
      <c r="E35" s="16"/>
      <c r="F35" s="21"/>
      <c r="G35" s="21"/>
      <c r="H35" s="21"/>
      <c r="I35" s="17"/>
      <c r="J35" s="17"/>
      <c r="K35" s="17"/>
    </row>
    <row r="36" customFormat="false" ht="15" hidden="false" customHeight="false" outlineLevel="1" collapsed="false">
      <c r="A36" s="22" t="s">
        <v>73</v>
      </c>
      <c r="B36" s="1" t="s">
        <v>74</v>
      </c>
      <c r="D36" s="21" t="n">
        <v>132.77</v>
      </c>
      <c r="E36" s="16"/>
      <c r="F36" s="21"/>
      <c r="G36" s="21"/>
      <c r="H36" s="21"/>
      <c r="I36" s="17"/>
      <c r="J36" s="17"/>
      <c r="K36" s="17"/>
    </row>
    <row r="37" customFormat="false" ht="15" hidden="false" customHeight="false" outlineLevel="1" collapsed="false">
      <c r="A37" s="22" t="s">
        <v>75</v>
      </c>
      <c r="B37" s="1" t="s">
        <v>76</v>
      </c>
      <c r="D37" s="21" t="n">
        <v>0</v>
      </c>
      <c r="E37" s="16"/>
      <c r="F37" s="21"/>
      <c r="G37" s="21"/>
      <c r="H37" s="21"/>
      <c r="I37" s="17"/>
      <c r="J37" s="17"/>
      <c r="K37" s="17"/>
    </row>
    <row r="38" customFormat="false" ht="15" hidden="false" customHeight="false" outlineLevel="1" collapsed="false">
      <c r="A38" s="22" t="s">
        <v>77</v>
      </c>
      <c r="B38" s="1" t="s">
        <v>78</v>
      </c>
      <c r="D38" s="21" t="n">
        <v>0</v>
      </c>
      <c r="E38" s="16"/>
      <c r="F38" s="21"/>
      <c r="G38" s="21"/>
      <c r="H38" s="21"/>
      <c r="I38" s="17"/>
      <c r="J38" s="17"/>
      <c r="K38" s="17"/>
    </row>
    <row r="39" customFormat="false" ht="15" hidden="false" customHeight="false" outlineLevel="1" collapsed="false">
      <c r="A39" s="22" t="s">
        <v>79</v>
      </c>
      <c r="B39" s="1" t="s">
        <v>80</v>
      </c>
      <c r="D39" s="21" t="n">
        <v>59.85</v>
      </c>
      <c r="E39" s="16"/>
      <c r="F39" s="21"/>
      <c r="G39" s="21"/>
      <c r="H39" s="21"/>
      <c r="I39" s="17"/>
      <c r="J39" s="17"/>
      <c r="K39" s="17"/>
    </row>
    <row r="40" customFormat="false" ht="15" hidden="false" customHeight="false" outlineLevel="1" collapsed="false">
      <c r="A40" s="22" t="s">
        <v>81</v>
      </c>
      <c r="B40" s="1" t="s">
        <v>82</v>
      </c>
      <c r="D40" s="21" t="n">
        <v>0</v>
      </c>
      <c r="E40" s="16"/>
      <c r="F40" s="21"/>
      <c r="G40" s="21"/>
      <c r="H40" s="21"/>
      <c r="I40" s="17"/>
      <c r="J40" s="17"/>
      <c r="K40" s="17"/>
    </row>
    <row r="41" customFormat="false" ht="15" hidden="false" customHeight="false" outlineLevel="1" collapsed="false">
      <c r="A41" s="22" t="s">
        <v>83</v>
      </c>
      <c r="B41" s="1" t="s">
        <v>84</v>
      </c>
      <c r="D41" s="21" t="n">
        <v>199.46</v>
      </c>
      <c r="E41" s="16"/>
      <c r="F41" s="21"/>
      <c r="G41" s="21"/>
      <c r="H41" s="21"/>
      <c r="I41" s="17"/>
      <c r="J41" s="17"/>
      <c r="K41" s="17"/>
    </row>
    <row r="42" customFormat="false" ht="15" hidden="false" customHeight="false" outlineLevel="1" collapsed="false">
      <c r="A42" s="22" t="s">
        <v>85</v>
      </c>
      <c r="B42" s="1" t="s">
        <v>86</v>
      </c>
      <c r="D42" s="21" t="n">
        <v>58.86</v>
      </c>
      <c r="E42" s="16"/>
      <c r="F42" s="21"/>
      <c r="G42" s="21"/>
      <c r="H42" s="21"/>
      <c r="I42" s="17"/>
      <c r="J42" s="17"/>
      <c r="K42" s="17"/>
    </row>
    <row r="43" customFormat="false" ht="15" hidden="false" customHeight="false" outlineLevel="1" collapsed="false">
      <c r="A43" s="22" t="s">
        <v>87</v>
      </c>
      <c r="B43" s="1" t="s">
        <v>88</v>
      </c>
      <c r="D43" s="21" t="n">
        <v>0</v>
      </c>
      <c r="E43" s="16"/>
      <c r="F43" s="21"/>
      <c r="G43" s="21"/>
      <c r="H43" s="21"/>
      <c r="I43" s="17"/>
      <c r="J43" s="17"/>
      <c r="K43" s="17"/>
    </row>
    <row r="44" customFormat="false" ht="15" hidden="false" customHeight="false" outlineLevel="1" collapsed="false">
      <c r="A44" s="22" t="s">
        <v>89</v>
      </c>
      <c r="B44" s="1" t="s">
        <v>90</v>
      </c>
      <c r="D44" s="21" t="n">
        <v>81.71</v>
      </c>
      <c r="E44" s="16"/>
      <c r="F44" s="21"/>
      <c r="G44" s="21"/>
      <c r="H44" s="21"/>
      <c r="I44" s="17"/>
      <c r="J44" s="17"/>
      <c r="K44" s="17"/>
    </row>
    <row r="45" customFormat="false" ht="15" hidden="false" customHeight="false" outlineLevel="1" collapsed="false">
      <c r="A45" s="22" t="s">
        <v>91</v>
      </c>
      <c r="B45" s="1" t="s">
        <v>92</v>
      </c>
      <c r="D45" s="21" t="n">
        <v>0</v>
      </c>
      <c r="E45" s="16"/>
      <c r="F45" s="21"/>
      <c r="G45" s="21"/>
      <c r="H45" s="21"/>
      <c r="I45" s="17"/>
      <c r="J45" s="17"/>
      <c r="K45" s="17"/>
    </row>
    <row r="46" customFormat="false" ht="15" hidden="false" customHeight="false" outlineLevel="1" collapsed="false">
      <c r="A46" s="22" t="s">
        <v>93</v>
      </c>
      <c r="B46" s="1" t="s">
        <v>94</v>
      </c>
      <c r="D46" s="21" t="n">
        <v>6.38</v>
      </c>
      <c r="E46" s="16"/>
      <c r="F46" s="21"/>
      <c r="G46" s="21"/>
      <c r="H46" s="21"/>
      <c r="I46" s="17"/>
      <c r="J46" s="17"/>
      <c r="K46" s="17"/>
    </row>
    <row r="47" customFormat="false" ht="15" hidden="false" customHeight="false" outlineLevel="1" collapsed="false">
      <c r="A47" s="22" t="s">
        <v>95</v>
      </c>
      <c r="B47" s="1" t="s">
        <v>96</v>
      </c>
      <c r="D47" s="21" t="n">
        <v>0</v>
      </c>
      <c r="E47" s="16"/>
      <c r="F47" s="21"/>
      <c r="G47" s="21"/>
      <c r="H47" s="21"/>
      <c r="I47" s="17"/>
      <c r="J47" s="17"/>
      <c r="K47" s="17"/>
    </row>
    <row r="48" customFormat="false" ht="15" hidden="false" customHeight="false" outlineLevel="1" collapsed="false">
      <c r="A48" s="22" t="s">
        <v>97</v>
      </c>
      <c r="B48" s="1" t="s">
        <v>98</v>
      </c>
      <c r="D48" s="21" t="n">
        <v>0</v>
      </c>
      <c r="E48" s="16"/>
      <c r="F48" s="21"/>
      <c r="G48" s="21"/>
      <c r="H48" s="21"/>
      <c r="I48" s="17"/>
      <c r="J48" s="17"/>
      <c r="K48" s="17"/>
    </row>
    <row r="49" customFormat="false" ht="15" hidden="false" customHeight="false" outlineLevel="1" collapsed="false">
      <c r="A49" s="22" t="s">
        <v>99</v>
      </c>
      <c r="B49" s="1" t="s">
        <v>100</v>
      </c>
      <c r="D49" s="21" t="n">
        <v>13.4</v>
      </c>
      <c r="E49" s="16"/>
      <c r="F49" s="21"/>
      <c r="G49" s="21"/>
      <c r="H49" s="21"/>
      <c r="I49" s="17"/>
      <c r="J49" s="17"/>
      <c r="K49" s="17"/>
    </row>
    <row r="50" customFormat="false" ht="15" hidden="false" customHeight="false" outlineLevel="1" collapsed="false">
      <c r="A50" s="22" t="s">
        <v>101</v>
      </c>
      <c r="B50" s="1" t="s">
        <v>102</v>
      </c>
      <c r="D50" s="21" t="n">
        <v>0</v>
      </c>
      <c r="E50" s="16"/>
      <c r="F50" s="21"/>
      <c r="G50" s="21"/>
      <c r="H50" s="21"/>
      <c r="I50" s="17"/>
      <c r="J50" s="17"/>
      <c r="K50" s="17"/>
    </row>
    <row r="51" customFormat="false" ht="15" hidden="false" customHeight="false" outlineLevel="1" collapsed="false">
      <c r="A51" s="22" t="s">
        <v>103</v>
      </c>
      <c r="B51" s="1" t="s">
        <v>104</v>
      </c>
      <c r="D51" s="21" t="n">
        <v>0</v>
      </c>
      <c r="E51" s="16"/>
      <c r="F51" s="21"/>
      <c r="G51" s="21"/>
      <c r="H51" s="21"/>
      <c r="I51" s="17"/>
      <c r="J51" s="17"/>
      <c r="K51" s="17"/>
    </row>
    <row r="52" customFormat="false" ht="15" hidden="false" customHeight="false" outlineLevel="1" collapsed="false">
      <c r="A52" s="22" t="s">
        <v>105</v>
      </c>
      <c r="B52" s="1" t="s">
        <v>106</v>
      </c>
      <c r="D52" s="21" t="n">
        <v>75.46</v>
      </c>
      <c r="E52" s="16"/>
      <c r="F52" s="21"/>
      <c r="G52" s="21"/>
      <c r="H52" s="21"/>
      <c r="I52" s="17"/>
      <c r="J52" s="17"/>
      <c r="K52" s="17"/>
    </row>
    <row r="53" customFormat="false" ht="15" hidden="false" customHeight="false" outlineLevel="1" collapsed="false">
      <c r="A53" s="22" t="s">
        <v>107</v>
      </c>
      <c r="B53" s="1" t="s">
        <v>108</v>
      </c>
      <c r="D53" s="21" t="n">
        <v>378.9</v>
      </c>
      <c r="E53" s="16"/>
      <c r="F53" s="21"/>
      <c r="G53" s="21"/>
      <c r="H53" s="21"/>
      <c r="I53" s="17"/>
      <c r="J53" s="17"/>
      <c r="K53" s="17"/>
    </row>
    <row r="54" customFormat="false" ht="15" hidden="false" customHeight="false" outlineLevel="1" collapsed="false">
      <c r="A54" s="22" t="s">
        <v>109</v>
      </c>
      <c r="B54" s="1" t="s">
        <v>110</v>
      </c>
      <c r="D54" s="21" t="n">
        <v>0</v>
      </c>
      <c r="E54" s="16"/>
      <c r="F54" s="21"/>
      <c r="G54" s="21"/>
      <c r="H54" s="21"/>
      <c r="I54" s="17"/>
      <c r="J54" s="17"/>
      <c r="K54" s="17"/>
    </row>
    <row r="55" customFormat="false" ht="15" hidden="false" customHeight="false" outlineLevel="1" collapsed="false">
      <c r="A55" s="22" t="s">
        <v>111</v>
      </c>
      <c r="B55" s="1" t="s">
        <v>112</v>
      </c>
      <c r="D55" s="21" t="n">
        <v>0</v>
      </c>
      <c r="E55" s="16"/>
      <c r="F55" s="21"/>
      <c r="G55" s="21"/>
      <c r="H55" s="21"/>
      <c r="I55" s="17"/>
      <c r="J55" s="17"/>
      <c r="K55" s="17"/>
    </row>
    <row r="56" customFormat="false" ht="15" hidden="false" customHeight="false" outlineLevel="1" collapsed="false">
      <c r="A56" s="22" t="s">
        <v>113</v>
      </c>
      <c r="B56" s="1" t="s">
        <v>114</v>
      </c>
      <c r="D56" s="21" t="n">
        <v>0</v>
      </c>
      <c r="E56" s="16"/>
      <c r="F56" s="21"/>
      <c r="G56" s="21"/>
      <c r="H56" s="21"/>
      <c r="I56" s="17"/>
      <c r="J56" s="17"/>
      <c r="K56" s="17"/>
    </row>
    <row r="57" customFormat="false" ht="15" hidden="false" customHeight="false" outlineLevel="1" collapsed="false">
      <c r="A57" s="22" t="s">
        <v>115</v>
      </c>
      <c r="B57" s="1" t="s">
        <v>116</v>
      </c>
      <c r="D57" s="21" t="n">
        <v>0</v>
      </c>
      <c r="E57" s="16"/>
      <c r="F57" s="21"/>
      <c r="G57" s="21"/>
      <c r="H57" s="21"/>
      <c r="I57" s="17"/>
      <c r="J57" s="17"/>
      <c r="K57" s="17"/>
    </row>
    <row r="58" customFormat="false" ht="15" hidden="false" customHeight="false" outlineLevel="1" collapsed="false">
      <c r="A58" s="22" t="s">
        <v>117</v>
      </c>
      <c r="B58" s="1" t="s">
        <v>118</v>
      </c>
      <c r="D58" s="21" t="n">
        <v>0</v>
      </c>
      <c r="E58" s="16"/>
      <c r="F58" s="21"/>
      <c r="G58" s="21"/>
      <c r="H58" s="21"/>
      <c r="I58" s="17"/>
      <c r="J58" s="17"/>
      <c r="K58" s="17"/>
    </row>
    <row r="59" customFormat="false" ht="15" hidden="false" customHeight="false" outlineLevel="1" collapsed="false">
      <c r="A59" s="22" t="s">
        <v>119</v>
      </c>
      <c r="B59" s="1" t="s">
        <v>120</v>
      </c>
      <c r="D59" s="21" t="n">
        <v>0</v>
      </c>
      <c r="E59" s="16"/>
      <c r="F59" s="21"/>
      <c r="G59" s="21"/>
      <c r="H59" s="21"/>
      <c r="I59" s="17"/>
      <c r="J59" s="17"/>
      <c r="K59" s="17"/>
    </row>
    <row r="60" customFormat="false" ht="15" hidden="false" customHeight="false" outlineLevel="1" collapsed="false">
      <c r="A60" s="22" t="s">
        <v>121</v>
      </c>
      <c r="B60" s="1" t="s">
        <v>122</v>
      </c>
      <c r="D60" s="21" t="n">
        <v>171.24</v>
      </c>
      <c r="E60" s="16"/>
      <c r="F60" s="21"/>
      <c r="G60" s="21"/>
      <c r="H60" s="21"/>
      <c r="I60" s="17"/>
      <c r="J60" s="17"/>
      <c r="K60" s="17"/>
    </row>
    <row r="61" customFormat="false" ht="15" hidden="false" customHeight="false" outlineLevel="1" collapsed="false">
      <c r="A61" s="22" t="s">
        <v>123</v>
      </c>
      <c r="B61" s="1" t="s">
        <v>124</v>
      </c>
      <c r="D61" s="21" t="n">
        <v>0</v>
      </c>
      <c r="E61" s="16"/>
      <c r="F61" s="21"/>
      <c r="G61" s="21"/>
      <c r="H61" s="21"/>
      <c r="I61" s="17"/>
      <c r="J61" s="17"/>
      <c r="K61" s="17"/>
    </row>
    <row r="62" customFormat="false" ht="15" hidden="false" customHeight="false" outlineLevel="1" collapsed="false">
      <c r="A62" s="22" t="s">
        <v>125</v>
      </c>
      <c r="B62" s="1" t="s">
        <v>126</v>
      </c>
      <c r="D62" s="21" t="n">
        <v>5.99</v>
      </c>
      <c r="E62" s="16"/>
      <c r="F62" s="21"/>
      <c r="G62" s="21"/>
      <c r="H62" s="21"/>
      <c r="I62" s="17"/>
      <c r="J62" s="17"/>
      <c r="K62" s="17"/>
    </row>
    <row r="63" customFormat="false" ht="15" hidden="false" customHeight="false" outlineLevel="1" collapsed="false">
      <c r="A63" s="22" t="s">
        <v>127</v>
      </c>
      <c r="B63" s="1" t="s">
        <v>128</v>
      </c>
      <c r="D63" s="21" t="n">
        <v>0</v>
      </c>
      <c r="E63" s="16"/>
      <c r="F63" s="21"/>
      <c r="G63" s="21"/>
      <c r="H63" s="21"/>
      <c r="I63" s="17"/>
      <c r="J63" s="17"/>
      <c r="K63" s="17"/>
    </row>
    <row r="64" customFormat="false" ht="15" hidden="false" customHeight="false" outlineLevel="1" collapsed="false">
      <c r="A64" s="22" t="s">
        <v>129</v>
      </c>
      <c r="B64" s="1" t="s">
        <v>130</v>
      </c>
      <c r="D64" s="21" t="n">
        <v>0</v>
      </c>
      <c r="E64" s="16"/>
      <c r="F64" s="21"/>
      <c r="G64" s="21"/>
      <c r="H64" s="21"/>
      <c r="I64" s="17"/>
      <c r="J64" s="17"/>
      <c r="K64" s="17"/>
    </row>
    <row r="65" customFormat="false" ht="15" hidden="false" customHeight="false" outlineLevel="1" collapsed="false">
      <c r="A65" s="22" t="s">
        <v>131</v>
      </c>
      <c r="B65" s="1" t="s">
        <v>132</v>
      </c>
      <c r="D65" s="21" t="n">
        <v>204.05</v>
      </c>
      <c r="E65" s="16"/>
      <c r="F65" s="21"/>
      <c r="G65" s="21"/>
      <c r="H65" s="21"/>
      <c r="I65" s="17"/>
      <c r="J65" s="17"/>
      <c r="K65" s="17"/>
    </row>
    <row r="66" customFormat="false" ht="15" hidden="false" customHeight="false" outlineLevel="1" collapsed="false">
      <c r="A66" s="22" t="s">
        <v>133</v>
      </c>
      <c r="B66" s="1" t="s">
        <v>134</v>
      </c>
      <c r="D66" s="21" t="n">
        <v>0</v>
      </c>
      <c r="E66" s="16"/>
      <c r="F66" s="21"/>
      <c r="G66" s="21"/>
      <c r="H66" s="21"/>
      <c r="I66" s="17"/>
      <c r="J66" s="17"/>
      <c r="K66" s="17"/>
    </row>
    <row r="67" customFormat="false" ht="15" hidden="false" customHeight="false" outlineLevel="1" collapsed="false">
      <c r="A67" s="22" t="s">
        <v>135</v>
      </c>
      <c r="B67" s="1" t="s">
        <v>136</v>
      </c>
      <c r="D67" s="21" t="n">
        <v>0</v>
      </c>
      <c r="E67" s="16"/>
      <c r="F67" s="21"/>
      <c r="G67" s="21"/>
      <c r="H67" s="21"/>
      <c r="I67" s="17"/>
      <c r="J67" s="17"/>
      <c r="K67" s="17"/>
    </row>
    <row r="68" customFormat="false" ht="15" hidden="false" customHeight="false" outlineLevel="1" collapsed="false">
      <c r="A68" s="22" t="s">
        <v>137</v>
      </c>
      <c r="B68" s="1" t="s">
        <v>138</v>
      </c>
      <c r="D68" s="21" t="n">
        <v>0</v>
      </c>
      <c r="E68" s="16"/>
      <c r="F68" s="21"/>
      <c r="G68" s="21"/>
      <c r="H68" s="21"/>
      <c r="I68" s="17"/>
      <c r="J68" s="17"/>
      <c r="K68" s="17"/>
    </row>
    <row r="69" customFormat="false" ht="15" hidden="false" customHeight="false" outlineLevel="1" collapsed="false">
      <c r="A69" s="22" t="s">
        <v>139</v>
      </c>
      <c r="B69" s="1" t="s">
        <v>140</v>
      </c>
      <c r="D69" s="21" t="n">
        <v>0</v>
      </c>
      <c r="E69" s="16"/>
      <c r="F69" s="21"/>
      <c r="G69" s="21"/>
      <c r="H69" s="21"/>
      <c r="I69" s="17"/>
      <c r="J69" s="17"/>
      <c r="K69" s="17"/>
    </row>
    <row r="70" customFormat="false" ht="15" hidden="false" customHeight="false" outlineLevel="1" collapsed="false">
      <c r="A70" s="22" t="s">
        <v>141</v>
      </c>
      <c r="B70" s="1" t="s">
        <v>142</v>
      </c>
      <c r="D70" s="21" t="n">
        <v>0</v>
      </c>
      <c r="E70" s="16"/>
      <c r="F70" s="21"/>
      <c r="G70" s="21"/>
      <c r="H70" s="21"/>
      <c r="I70" s="17"/>
      <c r="J70" s="17"/>
      <c r="K70" s="17"/>
    </row>
    <row r="71" customFormat="false" ht="15" hidden="false" customHeight="false" outlineLevel="1" collapsed="false">
      <c r="A71" s="22" t="s">
        <v>143</v>
      </c>
      <c r="B71" s="1" t="s">
        <v>144</v>
      </c>
      <c r="D71" s="21" t="n">
        <v>0</v>
      </c>
      <c r="E71" s="16"/>
      <c r="F71" s="21"/>
      <c r="G71" s="21"/>
      <c r="H71" s="21"/>
      <c r="I71" s="17"/>
      <c r="J71" s="17"/>
      <c r="K71" s="17"/>
    </row>
    <row r="72" customFormat="false" ht="15" hidden="false" customHeight="false" outlineLevel="1" collapsed="false">
      <c r="A72" s="22" t="s">
        <v>145</v>
      </c>
      <c r="B72" s="1" t="s">
        <v>146</v>
      </c>
      <c r="D72" s="21" t="n">
        <v>0</v>
      </c>
      <c r="E72" s="16"/>
      <c r="F72" s="21"/>
      <c r="G72" s="21"/>
      <c r="H72" s="21"/>
      <c r="I72" s="17"/>
      <c r="J72" s="17"/>
      <c r="K72" s="17"/>
    </row>
    <row r="73" customFormat="false" ht="15" hidden="false" customHeight="false" outlineLevel="1" collapsed="false">
      <c r="A73" s="22" t="s">
        <v>147</v>
      </c>
      <c r="B73" s="1" t="s">
        <v>148</v>
      </c>
      <c r="D73" s="21" t="n">
        <v>0</v>
      </c>
      <c r="E73" s="16"/>
      <c r="F73" s="21"/>
      <c r="G73" s="21"/>
      <c r="H73" s="21"/>
      <c r="I73" s="17"/>
      <c r="J73" s="17"/>
      <c r="K73" s="17"/>
    </row>
    <row r="74" customFormat="false" ht="15" hidden="false" customHeight="false" outlineLevel="1" collapsed="false">
      <c r="A74" s="22" t="s">
        <v>149</v>
      </c>
      <c r="B74" s="1" t="s">
        <v>150</v>
      </c>
      <c r="D74" s="21" t="n">
        <v>0</v>
      </c>
      <c r="E74" s="16"/>
      <c r="F74" s="21"/>
      <c r="G74" s="21"/>
      <c r="H74" s="21"/>
      <c r="I74" s="17"/>
      <c r="J74" s="17"/>
      <c r="K74" s="17"/>
    </row>
    <row r="75" customFormat="false" ht="15" hidden="false" customHeight="false" outlineLevel="1" collapsed="false">
      <c r="A75" s="22" t="s">
        <v>151</v>
      </c>
      <c r="B75" s="1" t="s">
        <v>152</v>
      </c>
      <c r="D75" s="21" t="n">
        <v>0</v>
      </c>
      <c r="E75" s="16"/>
      <c r="F75" s="21"/>
      <c r="G75" s="21"/>
      <c r="H75" s="21"/>
      <c r="I75" s="17"/>
      <c r="J75" s="17"/>
      <c r="K75" s="17"/>
    </row>
    <row r="76" customFormat="false" ht="15" hidden="false" customHeight="false" outlineLevel="1" collapsed="false">
      <c r="A76" s="22" t="s">
        <v>153</v>
      </c>
      <c r="B76" s="1" t="s">
        <v>154</v>
      </c>
      <c r="D76" s="21" t="n">
        <v>0</v>
      </c>
      <c r="E76" s="16"/>
      <c r="F76" s="21"/>
      <c r="G76" s="21"/>
      <c r="H76" s="21"/>
      <c r="I76" s="17"/>
      <c r="J76" s="17"/>
      <c r="K76" s="17"/>
    </row>
    <row r="77" customFormat="false" ht="15" hidden="false" customHeight="false" outlineLevel="1" collapsed="false">
      <c r="A77" s="22" t="s">
        <v>155</v>
      </c>
      <c r="B77" s="1" t="s">
        <v>156</v>
      </c>
      <c r="D77" s="21" t="n">
        <v>0</v>
      </c>
      <c r="E77" s="16"/>
      <c r="F77" s="21"/>
      <c r="G77" s="21"/>
      <c r="H77" s="21"/>
      <c r="I77" s="17"/>
      <c r="J77" s="17"/>
      <c r="K77" s="17"/>
    </row>
    <row r="78" customFormat="false" ht="15" hidden="false" customHeight="false" outlineLevel="1" collapsed="false">
      <c r="A78" s="22" t="s">
        <v>157</v>
      </c>
      <c r="B78" s="1" t="s">
        <v>158</v>
      </c>
      <c r="D78" s="21" t="n">
        <v>76.87</v>
      </c>
      <c r="E78" s="16"/>
      <c r="F78" s="21"/>
      <c r="G78" s="21"/>
      <c r="H78" s="21"/>
      <c r="I78" s="17"/>
      <c r="J78" s="17"/>
      <c r="K78" s="17"/>
    </row>
    <row r="79" customFormat="false" ht="15" hidden="false" customHeight="false" outlineLevel="1" collapsed="false">
      <c r="A79" s="22" t="s">
        <v>159</v>
      </c>
      <c r="B79" s="1" t="s">
        <v>160</v>
      </c>
      <c r="D79" s="21" t="n">
        <v>0</v>
      </c>
      <c r="E79" s="16"/>
      <c r="F79" s="21"/>
      <c r="G79" s="21"/>
      <c r="H79" s="21"/>
      <c r="I79" s="17"/>
      <c r="J79" s="17"/>
      <c r="K79" s="17"/>
    </row>
    <row r="80" customFormat="false" ht="15" hidden="false" customHeight="false" outlineLevel="1" collapsed="false">
      <c r="A80" s="22" t="s">
        <v>161</v>
      </c>
      <c r="B80" s="1" t="s">
        <v>162</v>
      </c>
      <c r="D80" s="21" t="n">
        <v>0</v>
      </c>
      <c r="E80" s="16"/>
      <c r="F80" s="21"/>
      <c r="G80" s="21"/>
      <c r="H80" s="21"/>
      <c r="I80" s="17"/>
      <c r="J80" s="17"/>
      <c r="K80" s="17"/>
    </row>
    <row r="81" customFormat="false" ht="15" hidden="false" customHeight="false" outlineLevel="1" collapsed="false">
      <c r="A81" s="22" t="s">
        <v>163</v>
      </c>
      <c r="B81" s="1" t="s">
        <v>164</v>
      </c>
      <c r="D81" s="21" t="n">
        <v>0</v>
      </c>
      <c r="E81" s="16"/>
      <c r="F81" s="21"/>
      <c r="G81" s="21"/>
      <c r="H81" s="21"/>
      <c r="I81" s="17"/>
      <c r="J81" s="17"/>
      <c r="K81" s="17"/>
    </row>
    <row r="82" customFormat="false" ht="15" hidden="false" customHeight="false" outlineLevel="1" collapsed="false">
      <c r="A82" s="22" t="s">
        <v>165</v>
      </c>
      <c r="B82" s="1" t="s">
        <v>166</v>
      </c>
      <c r="D82" s="21" t="n">
        <v>0</v>
      </c>
      <c r="E82" s="16"/>
      <c r="F82" s="21"/>
      <c r="G82" s="21"/>
      <c r="H82" s="21"/>
      <c r="I82" s="17"/>
      <c r="J82" s="17"/>
      <c r="K82" s="17"/>
    </row>
    <row r="83" customFormat="false" ht="15" hidden="false" customHeight="false" outlineLevel="1" collapsed="false">
      <c r="A83" s="22" t="s">
        <v>167</v>
      </c>
      <c r="B83" s="1" t="s">
        <v>168</v>
      </c>
      <c r="D83" s="21" t="n">
        <v>0</v>
      </c>
      <c r="E83" s="16"/>
      <c r="F83" s="21"/>
      <c r="G83" s="21"/>
      <c r="H83" s="21"/>
      <c r="I83" s="17"/>
      <c r="J83" s="17"/>
      <c r="K83" s="17"/>
    </row>
    <row r="84" customFormat="false" ht="15" hidden="false" customHeight="false" outlineLevel="1" collapsed="false">
      <c r="A84" s="22" t="s">
        <v>169</v>
      </c>
      <c r="B84" s="1" t="s">
        <v>170</v>
      </c>
      <c r="D84" s="21" t="n">
        <v>0</v>
      </c>
      <c r="E84" s="16"/>
      <c r="F84" s="21"/>
      <c r="G84" s="21"/>
      <c r="H84" s="21"/>
      <c r="I84" s="17"/>
      <c r="J84" s="17"/>
      <c r="K84" s="17"/>
    </row>
    <row r="85" customFormat="false" ht="15" hidden="false" customHeight="false" outlineLevel="1" collapsed="false">
      <c r="A85" s="22" t="s">
        <v>171</v>
      </c>
      <c r="B85" s="1" t="s">
        <v>172</v>
      </c>
      <c r="D85" s="21" t="n">
        <v>0</v>
      </c>
      <c r="E85" s="16"/>
      <c r="F85" s="21"/>
      <c r="G85" s="21"/>
      <c r="H85" s="21"/>
      <c r="I85" s="17"/>
      <c r="J85" s="17"/>
      <c r="K85" s="17"/>
    </row>
    <row r="86" customFormat="false" ht="15" hidden="false" customHeight="false" outlineLevel="1" collapsed="false">
      <c r="A86" s="22" t="s">
        <v>173</v>
      </c>
      <c r="B86" s="1" t="s">
        <v>174</v>
      </c>
      <c r="D86" s="21" t="n">
        <v>0</v>
      </c>
      <c r="E86" s="16"/>
      <c r="F86" s="21"/>
      <c r="G86" s="21"/>
      <c r="H86" s="21"/>
      <c r="I86" s="17"/>
      <c r="J86" s="17"/>
      <c r="K86" s="17"/>
    </row>
    <row r="87" customFormat="false" ht="15" hidden="false" customHeight="false" outlineLevel="1" collapsed="false">
      <c r="A87" s="22" t="s">
        <v>175</v>
      </c>
      <c r="B87" s="1" t="s">
        <v>176</v>
      </c>
      <c r="D87" s="21" t="n">
        <v>0</v>
      </c>
      <c r="E87" s="16"/>
      <c r="F87" s="21"/>
      <c r="G87" s="21"/>
      <c r="H87" s="21"/>
      <c r="I87" s="17"/>
      <c r="J87" s="17"/>
      <c r="K87" s="17"/>
    </row>
    <row r="88" customFormat="false" ht="15" hidden="false" customHeight="false" outlineLevel="1" collapsed="false">
      <c r="A88" s="22" t="s">
        <v>177</v>
      </c>
      <c r="B88" s="1" t="s">
        <v>178</v>
      </c>
      <c r="D88" s="21" t="n">
        <v>0</v>
      </c>
      <c r="E88" s="16"/>
      <c r="F88" s="21"/>
      <c r="G88" s="21"/>
      <c r="H88" s="21"/>
      <c r="I88" s="17"/>
      <c r="J88" s="17"/>
      <c r="K88" s="17"/>
    </row>
    <row r="89" customFormat="false" ht="15" hidden="false" customHeight="false" outlineLevel="1" collapsed="false">
      <c r="A89" s="22" t="s">
        <v>179</v>
      </c>
      <c r="B89" s="1" t="s">
        <v>180</v>
      </c>
      <c r="D89" s="21" t="n">
        <v>0</v>
      </c>
      <c r="E89" s="16"/>
      <c r="F89" s="21"/>
      <c r="G89" s="21"/>
      <c r="H89" s="21"/>
      <c r="I89" s="17"/>
      <c r="J89" s="17"/>
      <c r="K89" s="17"/>
    </row>
    <row r="90" customFormat="false" ht="15" hidden="false" customHeight="false" outlineLevel="1" collapsed="false">
      <c r="A90" s="22" t="s">
        <v>181</v>
      </c>
      <c r="B90" s="1" t="s">
        <v>182</v>
      </c>
      <c r="D90" s="21" t="n">
        <v>0</v>
      </c>
      <c r="E90" s="16"/>
      <c r="F90" s="21"/>
      <c r="G90" s="21"/>
      <c r="H90" s="21"/>
      <c r="I90" s="17"/>
      <c r="J90" s="17"/>
      <c r="K90" s="17"/>
    </row>
    <row r="91" customFormat="false" ht="15" hidden="false" customHeight="false" outlineLevel="1" collapsed="false">
      <c r="A91" s="22" t="s">
        <v>183</v>
      </c>
      <c r="B91" s="1" t="s">
        <v>184</v>
      </c>
      <c r="D91" s="21" t="n">
        <v>0</v>
      </c>
      <c r="E91" s="16"/>
      <c r="F91" s="21"/>
      <c r="G91" s="21"/>
      <c r="H91" s="21"/>
      <c r="I91" s="17"/>
      <c r="J91" s="17"/>
      <c r="K91" s="17"/>
    </row>
    <row r="92" customFormat="false" ht="15" hidden="false" customHeight="false" outlineLevel="1" collapsed="false">
      <c r="A92" s="22" t="s">
        <v>185</v>
      </c>
      <c r="B92" s="1" t="s">
        <v>186</v>
      </c>
      <c r="D92" s="21" t="n">
        <v>0</v>
      </c>
      <c r="E92" s="16"/>
      <c r="F92" s="21"/>
      <c r="G92" s="21"/>
      <c r="H92" s="21"/>
      <c r="I92" s="17"/>
      <c r="J92" s="17"/>
      <c r="K92" s="17"/>
    </row>
    <row r="93" customFormat="false" ht="15" hidden="false" customHeight="false" outlineLevel="1" collapsed="false">
      <c r="A93" s="22" t="s">
        <v>187</v>
      </c>
      <c r="B93" s="1" t="s">
        <v>188</v>
      </c>
      <c r="D93" s="21" t="n">
        <v>0</v>
      </c>
      <c r="E93" s="16"/>
      <c r="F93" s="21"/>
      <c r="G93" s="21"/>
      <c r="H93" s="21"/>
      <c r="I93" s="17"/>
      <c r="J93" s="17"/>
      <c r="K93" s="17"/>
    </row>
    <row r="94" customFormat="false" ht="15" hidden="false" customHeight="false" outlineLevel="1" collapsed="false">
      <c r="A94" s="22" t="s">
        <v>189</v>
      </c>
      <c r="B94" s="1" t="s">
        <v>190</v>
      </c>
      <c r="D94" s="21" t="n">
        <v>0</v>
      </c>
      <c r="E94" s="16"/>
      <c r="F94" s="21"/>
      <c r="G94" s="21"/>
      <c r="H94" s="21"/>
      <c r="I94" s="17"/>
      <c r="J94" s="17"/>
      <c r="K94" s="17"/>
    </row>
    <row r="95" customFormat="false" ht="15" hidden="false" customHeight="false" outlineLevel="1" collapsed="false">
      <c r="A95" s="22" t="s">
        <v>191</v>
      </c>
      <c r="B95" s="1" t="s">
        <v>192</v>
      </c>
      <c r="D95" s="21" t="n">
        <v>0</v>
      </c>
      <c r="E95" s="16"/>
      <c r="F95" s="21"/>
      <c r="G95" s="21"/>
      <c r="H95" s="21"/>
      <c r="I95" s="17"/>
      <c r="J95" s="17"/>
      <c r="K95" s="17"/>
    </row>
    <row r="96" customFormat="false" ht="15" hidden="false" customHeight="false" outlineLevel="1" collapsed="false">
      <c r="A96" s="22" t="s">
        <v>193</v>
      </c>
      <c r="B96" s="1" t="s">
        <v>194</v>
      </c>
      <c r="D96" s="21" t="n">
        <v>0</v>
      </c>
      <c r="E96" s="16"/>
      <c r="F96" s="21"/>
      <c r="G96" s="21"/>
      <c r="H96" s="21"/>
      <c r="I96" s="17"/>
      <c r="J96" s="17"/>
      <c r="K96" s="17"/>
    </row>
    <row r="97" customFormat="false" ht="15" hidden="false" customHeight="false" outlineLevel="1" collapsed="false">
      <c r="A97" s="22" t="s">
        <v>195</v>
      </c>
      <c r="B97" s="1" t="s">
        <v>196</v>
      </c>
      <c r="D97" s="21" t="n">
        <v>3.98</v>
      </c>
      <c r="E97" s="16"/>
      <c r="F97" s="21"/>
      <c r="G97" s="21"/>
      <c r="H97" s="21"/>
      <c r="I97" s="17"/>
      <c r="J97" s="17"/>
      <c r="K97" s="17"/>
    </row>
    <row r="98" customFormat="false" ht="15" hidden="false" customHeight="false" outlineLevel="1" collapsed="false">
      <c r="A98" s="22" t="s">
        <v>197</v>
      </c>
      <c r="B98" s="1" t="s">
        <v>198</v>
      </c>
      <c r="D98" s="21" t="n">
        <v>0</v>
      </c>
      <c r="E98" s="16"/>
      <c r="F98" s="21"/>
      <c r="G98" s="21"/>
      <c r="H98" s="21"/>
      <c r="I98" s="17"/>
      <c r="J98" s="17"/>
      <c r="K98" s="17"/>
    </row>
    <row r="99" customFormat="false" ht="15" hidden="false" customHeight="false" outlineLevel="1" collapsed="false">
      <c r="A99" s="22" t="s">
        <v>199</v>
      </c>
      <c r="B99" s="1" t="s">
        <v>200</v>
      </c>
      <c r="D99" s="21" t="n">
        <v>15.98</v>
      </c>
      <c r="E99" s="16"/>
      <c r="F99" s="21"/>
      <c r="G99" s="21"/>
      <c r="H99" s="21"/>
      <c r="I99" s="17"/>
      <c r="J99" s="17"/>
      <c r="K99" s="17"/>
    </row>
    <row r="100" customFormat="false" ht="15" hidden="false" customHeight="false" outlineLevel="1" collapsed="false">
      <c r="A100" s="22" t="s">
        <v>201</v>
      </c>
      <c r="B100" s="1" t="s">
        <v>202</v>
      </c>
      <c r="D100" s="21" t="n">
        <v>0</v>
      </c>
      <c r="E100" s="16"/>
      <c r="F100" s="21"/>
      <c r="G100" s="21"/>
      <c r="H100" s="21"/>
      <c r="I100" s="17"/>
      <c r="J100" s="17"/>
      <c r="K100" s="17"/>
    </row>
    <row r="101" customFormat="false" ht="15" hidden="false" customHeight="false" outlineLevel="1" collapsed="false">
      <c r="A101" s="22" t="s">
        <v>203</v>
      </c>
      <c r="B101" s="1" t="s">
        <v>204</v>
      </c>
      <c r="D101" s="21" t="n">
        <v>0</v>
      </c>
      <c r="E101" s="16"/>
      <c r="F101" s="21"/>
      <c r="G101" s="21"/>
      <c r="H101" s="21"/>
      <c r="I101" s="17"/>
      <c r="J101" s="17"/>
      <c r="K101" s="17"/>
    </row>
    <row r="102" customFormat="false" ht="15" hidden="false" customHeight="false" outlineLevel="1" collapsed="false">
      <c r="A102" s="22" t="s">
        <v>205</v>
      </c>
      <c r="B102" s="1" t="s">
        <v>206</v>
      </c>
      <c r="D102" s="21" t="n">
        <v>0</v>
      </c>
      <c r="E102" s="16"/>
      <c r="F102" s="21"/>
      <c r="G102" s="21"/>
      <c r="H102" s="21"/>
      <c r="I102" s="17"/>
      <c r="J102" s="17"/>
      <c r="K102" s="17"/>
    </row>
    <row r="103" customFormat="false" ht="15" hidden="false" customHeight="false" outlineLevel="1" collapsed="false">
      <c r="A103" s="22" t="s">
        <v>207</v>
      </c>
      <c r="B103" s="1" t="s">
        <v>208</v>
      </c>
      <c r="D103" s="21" t="n">
        <v>0</v>
      </c>
      <c r="E103" s="16"/>
      <c r="F103" s="21"/>
      <c r="G103" s="21"/>
      <c r="H103" s="21"/>
      <c r="I103" s="17"/>
      <c r="J103" s="17"/>
      <c r="K103" s="17"/>
    </row>
    <row r="104" customFormat="false" ht="15" hidden="false" customHeight="false" outlineLevel="1" collapsed="false">
      <c r="A104" s="22" t="s">
        <v>209</v>
      </c>
      <c r="B104" s="1" t="s">
        <v>210</v>
      </c>
      <c r="D104" s="21" t="n">
        <v>0</v>
      </c>
      <c r="E104" s="16"/>
      <c r="F104" s="21"/>
      <c r="G104" s="21"/>
      <c r="H104" s="21"/>
      <c r="I104" s="17"/>
      <c r="J104" s="17"/>
      <c r="K104" s="17"/>
    </row>
    <row r="105" customFormat="false" ht="15" hidden="false" customHeight="false" outlineLevel="1" collapsed="false">
      <c r="A105" s="22" t="s">
        <v>211</v>
      </c>
      <c r="B105" s="1" t="s">
        <v>212</v>
      </c>
      <c r="D105" s="21" t="n">
        <v>0</v>
      </c>
      <c r="E105" s="16"/>
      <c r="F105" s="21"/>
      <c r="G105" s="21"/>
      <c r="H105" s="21"/>
      <c r="I105" s="17"/>
      <c r="J105" s="17"/>
      <c r="K105" s="17"/>
    </row>
    <row r="106" customFormat="false" ht="15" hidden="false" customHeight="false" outlineLevel="1" collapsed="false">
      <c r="A106" s="22" t="s">
        <v>213</v>
      </c>
      <c r="B106" s="1" t="s">
        <v>214</v>
      </c>
      <c r="D106" s="21" t="n">
        <v>0</v>
      </c>
      <c r="E106" s="16"/>
      <c r="F106" s="21"/>
      <c r="G106" s="21"/>
      <c r="H106" s="21"/>
      <c r="I106" s="17"/>
      <c r="J106" s="17"/>
      <c r="K106" s="17"/>
    </row>
    <row r="107" customFormat="false" ht="15" hidden="false" customHeight="false" outlineLevel="1" collapsed="false">
      <c r="A107" s="22" t="s">
        <v>215</v>
      </c>
      <c r="B107" s="1" t="s">
        <v>216</v>
      </c>
      <c r="D107" s="21" t="n">
        <v>0</v>
      </c>
      <c r="E107" s="16"/>
      <c r="F107" s="21"/>
      <c r="G107" s="21"/>
      <c r="H107" s="21"/>
      <c r="I107" s="17"/>
      <c r="J107" s="17"/>
      <c r="K107" s="17"/>
    </row>
    <row r="108" customFormat="false" ht="15" hidden="false" customHeight="false" outlineLevel="1" collapsed="false">
      <c r="A108" s="22" t="s">
        <v>217</v>
      </c>
      <c r="B108" s="1" t="s">
        <v>218</v>
      </c>
      <c r="D108" s="21" t="n">
        <v>0</v>
      </c>
      <c r="E108" s="16"/>
      <c r="F108" s="21"/>
      <c r="G108" s="21"/>
      <c r="H108" s="21"/>
      <c r="I108" s="17"/>
      <c r="J108" s="17"/>
      <c r="K108" s="17"/>
    </row>
    <row r="109" customFormat="false" ht="15" hidden="false" customHeight="false" outlineLevel="1" collapsed="false">
      <c r="A109" s="22" t="s">
        <v>219</v>
      </c>
      <c r="B109" s="1" t="s">
        <v>220</v>
      </c>
      <c r="D109" s="21" t="n">
        <v>0</v>
      </c>
      <c r="E109" s="16"/>
      <c r="F109" s="21"/>
      <c r="G109" s="21"/>
      <c r="H109" s="21"/>
      <c r="I109" s="17"/>
      <c r="J109" s="17"/>
      <c r="K109" s="17"/>
    </row>
    <row r="110" customFormat="false" ht="15" hidden="false" customHeight="false" outlineLevel="1" collapsed="false">
      <c r="A110" s="22" t="s">
        <v>221</v>
      </c>
      <c r="B110" s="1" t="s">
        <v>222</v>
      </c>
      <c r="D110" s="21" t="n">
        <v>0</v>
      </c>
      <c r="E110" s="16"/>
      <c r="F110" s="21"/>
      <c r="G110" s="21"/>
      <c r="H110" s="21"/>
      <c r="I110" s="17"/>
      <c r="J110" s="17"/>
      <c r="K110" s="17"/>
    </row>
    <row r="111" customFormat="false" ht="15" hidden="false" customHeight="false" outlineLevel="1" collapsed="false">
      <c r="A111" s="22" t="s">
        <v>223</v>
      </c>
      <c r="B111" s="1" t="s">
        <v>224</v>
      </c>
      <c r="D111" s="21" t="n">
        <v>0</v>
      </c>
      <c r="E111" s="16"/>
      <c r="F111" s="21"/>
      <c r="G111" s="21"/>
      <c r="H111" s="21"/>
      <c r="I111" s="17"/>
      <c r="J111" s="17"/>
      <c r="K111" s="17"/>
    </row>
    <row r="112" customFormat="false" ht="15" hidden="false" customHeight="false" outlineLevel="1" collapsed="false">
      <c r="A112" s="22" t="s">
        <v>225</v>
      </c>
      <c r="B112" s="1" t="s">
        <v>226</v>
      </c>
      <c r="D112" s="21" t="n">
        <v>0</v>
      </c>
      <c r="E112" s="16"/>
      <c r="F112" s="21"/>
      <c r="G112" s="21"/>
      <c r="H112" s="21"/>
      <c r="I112" s="17"/>
      <c r="J112" s="17"/>
      <c r="K112" s="17"/>
    </row>
    <row r="113" customFormat="false" ht="15" hidden="false" customHeight="false" outlineLevel="1" collapsed="false">
      <c r="A113" s="22" t="s">
        <v>227</v>
      </c>
      <c r="B113" s="1" t="s">
        <v>228</v>
      </c>
      <c r="D113" s="21" t="n">
        <v>0</v>
      </c>
      <c r="E113" s="16"/>
      <c r="F113" s="21"/>
      <c r="G113" s="21"/>
      <c r="H113" s="21"/>
      <c r="I113" s="17"/>
      <c r="J113" s="17"/>
      <c r="K113" s="17"/>
    </row>
    <row r="114" customFormat="false" ht="15" hidden="false" customHeight="false" outlineLevel="1" collapsed="false">
      <c r="A114" s="22" t="s">
        <v>229</v>
      </c>
      <c r="B114" s="1" t="s">
        <v>230</v>
      </c>
      <c r="D114" s="21" t="n">
        <v>0</v>
      </c>
      <c r="E114" s="16"/>
      <c r="F114" s="21"/>
      <c r="G114" s="21"/>
      <c r="H114" s="21"/>
      <c r="I114" s="17"/>
      <c r="J114" s="17"/>
      <c r="K114" s="17"/>
    </row>
    <row r="115" customFormat="false" ht="15" hidden="false" customHeight="false" outlineLevel="1" collapsed="false">
      <c r="A115" s="22" t="s">
        <v>231</v>
      </c>
      <c r="B115" s="1" t="s">
        <v>232</v>
      </c>
      <c r="D115" s="21" t="n">
        <v>33.08</v>
      </c>
      <c r="E115" s="16"/>
      <c r="F115" s="21"/>
      <c r="G115" s="21"/>
      <c r="H115" s="21"/>
      <c r="I115" s="17"/>
      <c r="J115" s="17"/>
      <c r="K115" s="17"/>
    </row>
    <row r="116" customFormat="false" ht="15" hidden="false" customHeight="false" outlineLevel="1" collapsed="false">
      <c r="A116" s="22" t="s">
        <v>233</v>
      </c>
      <c r="B116" s="1" t="s">
        <v>234</v>
      </c>
      <c r="D116" s="21" t="n">
        <v>0</v>
      </c>
      <c r="E116" s="16"/>
      <c r="F116" s="21"/>
      <c r="G116" s="21"/>
      <c r="H116" s="21"/>
      <c r="I116" s="17"/>
      <c r="J116" s="17"/>
      <c r="K116" s="17"/>
    </row>
    <row r="117" customFormat="false" ht="15" hidden="false" customHeight="false" outlineLevel="1" collapsed="false">
      <c r="A117" s="22" t="s">
        <v>235</v>
      </c>
      <c r="B117" s="1" t="s">
        <v>236</v>
      </c>
      <c r="D117" s="21" t="n">
        <v>0</v>
      </c>
      <c r="E117" s="16"/>
      <c r="F117" s="21"/>
      <c r="G117" s="21"/>
      <c r="H117" s="21"/>
      <c r="I117" s="17"/>
      <c r="J117" s="17"/>
      <c r="K117" s="17"/>
    </row>
    <row r="118" customFormat="false" ht="15" hidden="false" customHeight="false" outlineLevel="1" collapsed="false">
      <c r="A118" s="22" t="s">
        <v>237</v>
      </c>
      <c r="B118" s="1" t="s">
        <v>238</v>
      </c>
      <c r="D118" s="21" t="n">
        <v>0</v>
      </c>
      <c r="E118" s="16"/>
      <c r="F118" s="21"/>
      <c r="G118" s="21"/>
      <c r="H118" s="21"/>
      <c r="I118" s="17"/>
      <c r="J118" s="17"/>
      <c r="K118" s="17"/>
    </row>
    <row r="119" customFormat="false" ht="15" hidden="false" customHeight="false" outlineLevel="1" collapsed="false">
      <c r="A119" s="22" t="s">
        <v>239</v>
      </c>
      <c r="B119" s="1" t="s">
        <v>240</v>
      </c>
      <c r="D119" s="21" t="n">
        <v>0</v>
      </c>
      <c r="E119" s="16"/>
      <c r="F119" s="21"/>
      <c r="G119" s="21"/>
      <c r="H119" s="21"/>
      <c r="I119" s="17"/>
      <c r="J119" s="17"/>
      <c r="K119" s="17"/>
    </row>
    <row r="120" customFormat="false" ht="15" hidden="false" customHeight="false" outlineLevel="1" collapsed="false">
      <c r="A120" s="22" t="s">
        <v>241</v>
      </c>
      <c r="B120" s="1" t="s">
        <v>242</v>
      </c>
      <c r="D120" s="21" t="n">
        <v>0</v>
      </c>
      <c r="E120" s="16"/>
      <c r="F120" s="21"/>
      <c r="G120" s="21"/>
      <c r="H120" s="21"/>
      <c r="I120" s="17"/>
      <c r="J120" s="17"/>
      <c r="K120" s="17"/>
    </row>
    <row r="121" customFormat="false" ht="15" hidden="false" customHeight="false" outlineLevel="1" collapsed="false">
      <c r="A121" s="22" t="s">
        <v>243</v>
      </c>
      <c r="B121" s="1" t="s">
        <v>244</v>
      </c>
      <c r="D121" s="21" t="n">
        <v>0</v>
      </c>
      <c r="E121" s="16"/>
      <c r="F121" s="21"/>
      <c r="G121" s="21"/>
      <c r="H121" s="21"/>
      <c r="I121" s="17"/>
      <c r="J121" s="17"/>
      <c r="K121" s="17"/>
    </row>
    <row r="122" customFormat="false" ht="15" hidden="false" customHeight="false" outlineLevel="1" collapsed="false">
      <c r="A122" s="22" t="s">
        <v>245</v>
      </c>
      <c r="B122" s="1" t="s">
        <v>246</v>
      </c>
      <c r="D122" s="21" t="n">
        <v>0</v>
      </c>
      <c r="E122" s="16"/>
      <c r="F122" s="21"/>
      <c r="G122" s="21"/>
      <c r="H122" s="21"/>
      <c r="I122" s="17"/>
      <c r="J122" s="17"/>
      <c r="K122" s="17"/>
    </row>
    <row r="123" customFormat="false" ht="15" hidden="false" customHeight="false" outlineLevel="1" collapsed="false">
      <c r="A123" s="22" t="s">
        <v>247</v>
      </c>
      <c r="B123" s="1" t="s">
        <v>248</v>
      </c>
      <c r="D123" s="21" t="n">
        <v>0</v>
      </c>
      <c r="E123" s="16"/>
      <c r="F123" s="21"/>
      <c r="G123" s="21"/>
      <c r="H123" s="21"/>
      <c r="I123" s="17"/>
      <c r="J123" s="17"/>
      <c r="K123" s="17"/>
    </row>
    <row r="124" customFormat="false" ht="15" hidden="false" customHeight="false" outlineLevel="1" collapsed="false">
      <c r="A124" s="22" t="s">
        <v>249</v>
      </c>
      <c r="B124" s="1" t="s">
        <v>250</v>
      </c>
      <c r="D124" s="21" t="n">
        <v>0</v>
      </c>
      <c r="E124" s="16"/>
      <c r="F124" s="21"/>
      <c r="G124" s="21"/>
      <c r="H124" s="21"/>
      <c r="I124" s="17"/>
      <c r="J124" s="17"/>
      <c r="K124" s="17"/>
    </row>
    <row r="125" customFormat="false" ht="15" hidden="false" customHeight="false" outlineLevel="1" collapsed="false">
      <c r="A125" s="22" t="s">
        <v>251</v>
      </c>
      <c r="B125" s="1" t="s">
        <v>252</v>
      </c>
      <c r="D125" s="21" t="n">
        <v>0</v>
      </c>
      <c r="E125" s="16"/>
      <c r="F125" s="21"/>
      <c r="G125" s="21"/>
      <c r="H125" s="21"/>
      <c r="I125" s="17"/>
      <c r="J125" s="17"/>
      <c r="K125" s="17"/>
    </row>
    <row r="126" customFormat="false" ht="15" hidden="false" customHeight="false" outlineLevel="1" collapsed="false">
      <c r="A126" s="22" t="s">
        <v>253</v>
      </c>
      <c r="B126" s="1" t="s">
        <v>254</v>
      </c>
      <c r="D126" s="21" t="n">
        <v>0</v>
      </c>
      <c r="E126" s="16"/>
      <c r="F126" s="21"/>
      <c r="G126" s="21"/>
      <c r="H126" s="21"/>
      <c r="I126" s="17"/>
      <c r="J126" s="17"/>
      <c r="K126" s="17"/>
    </row>
    <row r="127" customFormat="false" ht="15" hidden="false" customHeight="false" outlineLevel="1" collapsed="false">
      <c r="A127" s="22" t="s">
        <v>255</v>
      </c>
      <c r="B127" s="1" t="s">
        <v>256</v>
      </c>
      <c r="D127" s="21" t="n">
        <v>0</v>
      </c>
      <c r="E127" s="16"/>
      <c r="F127" s="21"/>
      <c r="G127" s="21"/>
      <c r="H127" s="21"/>
      <c r="I127" s="17"/>
      <c r="J127" s="17"/>
      <c r="K127" s="17"/>
    </row>
    <row r="128" customFormat="false" ht="15" hidden="false" customHeight="false" outlineLevel="1" collapsed="false">
      <c r="A128" s="22" t="s">
        <v>257</v>
      </c>
      <c r="B128" s="1" t="s">
        <v>258</v>
      </c>
      <c r="D128" s="21" t="n">
        <v>7.28</v>
      </c>
      <c r="E128" s="16"/>
      <c r="F128" s="21"/>
      <c r="G128" s="21"/>
      <c r="H128" s="21"/>
      <c r="I128" s="17"/>
      <c r="J128" s="17"/>
      <c r="K128" s="17"/>
    </row>
    <row r="129" customFormat="false" ht="15" hidden="false" customHeight="false" outlineLevel="1" collapsed="false">
      <c r="A129" s="22" t="s">
        <v>259</v>
      </c>
      <c r="B129" s="1" t="s">
        <v>260</v>
      </c>
      <c r="D129" s="21" t="n">
        <v>0</v>
      </c>
      <c r="E129" s="16"/>
      <c r="F129" s="21"/>
      <c r="G129" s="21"/>
      <c r="H129" s="21"/>
      <c r="I129" s="17"/>
      <c r="J129" s="17"/>
      <c r="K129" s="17"/>
    </row>
    <row r="130" customFormat="false" ht="15" hidden="false" customHeight="false" outlineLevel="1" collapsed="false">
      <c r="A130" s="22" t="s">
        <v>261</v>
      </c>
      <c r="B130" s="1" t="s">
        <v>262</v>
      </c>
      <c r="D130" s="21" t="n">
        <v>0</v>
      </c>
      <c r="E130" s="16"/>
      <c r="F130" s="21"/>
      <c r="G130" s="21"/>
      <c r="H130" s="21"/>
      <c r="I130" s="17"/>
      <c r="J130" s="17"/>
      <c r="K130" s="17"/>
    </row>
    <row r="131" customFormat="false" ht="15" hidden="false" customHeight="false" outlineLevel="1" collapsed="false">
      <c r="A131" s="22" t="s">
        <v>263</v>
      </c>
      <c r="B131" s="1" t="s">
        <v>264</v>
      </c>
      <c r="D131" s="21" t="n">
        <v>0</v>
      </c>
      <c r="E131" s="16"/>
      <c r="F131" s="21"/>
      <c r="G131" s="21"/>
      <c r="H131" s="21"/>
      <c r="I131" s="17"/>
      <c r="J131" s="17"/>
      <c r="K131" s="17"/>
    </row>
    <row r="132" customFormat="false" ht="15" hidden="false" customHeight="false" outlineLevel="1" collapsed="false">
      <c r="A132" s="22" t="s">
        <v>265</v>
      </c>
      <c r="B132" s="1" t="s">
        <v>266</v>
      </c>
      <c r="D132" s="21" t="n">
        <v>0</v>
      </c>
      <c r="E132" s="16"/>
      <c r="F132" s="21"/>
      <c r="G132" s="21"/>
      <c r="H132" s="21"/>
      <c r="I132" s="17"/>
      <c r="J132" s="17"/>
      <c r="K132" s="17"/>
    </row>
    <row r="133" customFormat="false" ht="15" hidden="false" customHeight="false" outlineLevel="1" collapsed="false">
      <c r="A133" s="22" t="s">
        <v>267</v>
      </c>
      <c r="B133" s="1" t="s">
        <v>268</v>
      </c>
      <c r="D133" s="21" t="n">
        <v>0</v>
      </c>
      <c r="E133" s="16"/>
      <c r="F133" s="21"/>
      <c r="G133" s="21"/>
      <c r="H133" s="21"/>
      <c r="I133" s="17"/>
      <c r="J133" s="17"/>
      <c r="K133" s="17"/>
    </row>
    <row r="134" customFormat="false" ht="15" hidden="false" customHeight="false" outlineLevel="1" collapsed="false">
      <c r="A134" s="22" t="s">
        <v>269</v>
      </c>
      <c r="B134" s="1" t="s">
        <v>270</v>
      </c>
      <c r="D134" s="21" t="n">
        <v>0</v>
      </c>
      <c r="E134" s="16"/>
      <c r="F134" s="21"/>
      <c r="G134" s="21"/>
      <c r="H134" s="21"/>
      <c r="I134" s="17"/>
      <c r="J134" s="17"/>
      <c r="K134" s="17"/>
    </row>
    <row r="135" customFormat="false" ht="15" hidden="false" customHeight="false" outlineLevel="1" collapsed="false">
      <c r="A135" s="22" t="s">
        <v>271</v>
      </c>
      <c r="B135" s="1" t="s">
        <v>272</v>
      </c>
      <c r="D135" s="21" t="n">
        <v>0</v>
      </c>
      <c r="E135" s="16"/>
      <c r="F135" s="21"/>
      <c r="G135" s="21"/>
      <c r="H135" s="21"/>
      <c r="I135" s="17"/>
      <c r="J135" s="17"/>
      <c r="K135" s="17"/>
    </row>
    <row r="136" customFormat="false" ht="15" hidden="false" customHeight="false" outlineLevel="1" collapsed="false">
      <c r="A136" s="22" t="s">
        <v>273</v>
      </c>
      <c r="B136" s="1" t="s">
        <v>274</v>
      </c>
      <c r="D136" s="21" t="n">
        <v>0</v>
      </c>
      <c r="E136" s="16"/>
      <c r="F136" s="21"/>
      <c r="G136" s="21"/>
      <c r="H136" s="21"/>
      <c r="I136" s="17"/>
      <c r="J136" s="17"/>
      <c r="K136" s="17"/>
    </row>
    <row r="137" customFormat="false" ht="15" hidden="false" customHeight="false" outlineLevel="1" collapsed="false">
      <c r="A137" s="22" t="s">
        <v>275</v>
      </c>
      <c r="B137" s="1" t="s">
        <v>276</v>
      </c>
      <c r="D137" s="21" t="n">
        <v>0</v>
      </c>
      <c r="E137" s="16"/>
      <c r="F137" s="21"/>
      <c r="G137" s="21"/>
      <c r="H137" s="21"/>
      <c r="I137" s="17"/>
      <c r="J137" s="17"/>
      <c r="K137" s="17"/>
    </row>
    <row r="138" customFormat="false" ht="15" hidden="false" customHeight="false" outlineLevel="1" collapsed="false">
      <c r="A138" s="22" t="s">
        <v>277</v>
      </c>
      <c r="B138" s="1" t="s">
        <v>278</v>
      </c>
      <c r="D138" s="21" t="n">
        <v>0</v>
      </c>
      <c r="E138" s="16"/>
      <c r="F138" s="21"/>
      <c r="G138" s="21"/>
      <c r="H138" s="21"/>
      <c r="I138" s="17"/>
      <c r="J138" s="17"/>
      <c r="K138" s="17"/>
    </row>
    <row r="139" customFormat="false" ht="15" hidden="false" customHeight="false" outlineLevel="1" collapsed="false">
      <c r="A139" s="22" t="s">
        <v>279</v>
      </c>
      <c r="B139" s="1" t="s">
        <v>280</v>
      </c>
      <c r="D139" s="21" t="n">
        <v>0</v>
      </c>
      <c r="E139" s="16"/>
      <c r="F139" s="21"/>
      <c r="G139" s="21"/>
      <c r="H139" s="21"/>
      <c r="I139" s="17"/>
      <c r="J139" s="17"/>
      <c r="K139" s="17"/>
    </row>
    <row r="140" customFormat="false" ht="15" hidden="false" customHeight="false" outlineLevel="1" collapsed="false">
      <c r="A140" s="22" t="s">
        <v>281</v>
      </c>
      <c r="B140" s="1" t="s">
        <v>282</v>
      </c>
      <c r="D140" s="21" t="n">
        <v>0</v>
      </c>
      <c r="E140" s="16"/>
      <c r="F140" s="21"/>
      <c r="G140" s="21"/>
      <c r="H140" s="21"/>
      <c r="I140" s="17"/>
      <c r="J140" s="17"/>
      <c r="K140" s="17"/>
    </row>
    <row r="141" customFormat="false" ht="15" hidden="false" customHeight="false" outlineLevel="1" collapsed="false">
      <c r="A141" s="22" t="s">
        <v>283</v>
      </c>
      <c r="B141" s="1" t="s">
        <v>284</v>
      </c>
      <c r="D141" s="21" t="n">
        <v>0</v>
      </c>
      <c r="E141" s="16"/>
      <c r="F141" s="21"/>
      <c r="G141" s="21"/>
      <c r="H141" s="21"/>
      <c r="I141" s="17"/>
      <c r="J141" s="17"/>
      <c r="K141" s="17"/>
    </row>
    <row r="142" customFormat="false" ht="15" hidden="false" customHeight="false" outlineLevel="1" collapsed="false">
      <c r="A142" s="22" t="s">
        <v>285</v>
      </c>
      <c r="B142" s="1" t="s">
        <v>286</v>
      </c>
      <c r="D142" s="21" t="n">
        <v>0</v>
      </c>
      <c r="E142" s="16"/>
      <c r="F142" s="21"/>
      <c r="G142" s="21"/>
      <c r="H142" s="21"/>
      <c r="I142" s="17"/>
      <c r="J142" s="17"/>
      <c r="K142" s="17"/>
    </row>
    <row r="143" customFormat="false" ht="15" hidden="false" customHeight="false" outlineLevel="1" collapsed="false">
      <c r="A143" s="22" t="s">
        <v>287</v>
      </c>
      <c r="B143" s="1" t="s">
        <v>288</v>
      </c>
      <c r="D143" s="21" t="n">
        <v>11.96</v>
      </c>
      <c r="E143" s="16"/>
      <c r="F143" s="21"/>
      <c r="G143" s="21"/>
      <c r="H143" s="21"/>
      <c r="I143" s="17"/>
      <c r="J143" s="17"/>
      <c r="K143" s="17"/>
    </row>
    <row r="144" customFormat="false" ht="15" hidden="false" customHeight="false" outlineLevel="1" collapsed="false">
      <c r="A144" s="22" t="s">
        <v>289</v>
      </c>
      <c r="B144" s="1" t="s">
        <v>290</v>
      </c>
      <c r="D144" s="21" t="n">
        <v>0</v>
      </c>
      <c r="E144" s="16"/>
      <c r="F144" s="21"/>
      <c r="G144" s="21"/>
      <c r="H144" s="21"/>
      <c r="I144" s="17"/>
      <c r="J144" s="17"/>
      <c r="K144" s="17"/>
    </row>
    <row r="145" customFormat="false" ht="15" hidden="false" customHeight="false" outlineLevel="1" collapsed="false">
      <c r="A145" s="22" t="s">
        <v>291</v>
      </c>
      <c r="B145" s="1" t="s">
        <v>292</v>
      </c>
      <c r="D145" s="21" t="n">
        <v>0</v>
      </c>
      <c r="E145" s="16"/>
      <c r="F145" s="21"/>
      <c r="G145" s="21"/>
      <c r="H145" s="21"/>
      <c r="I145" s="17"/>
      <c r="J145" s="17"/>
      <c r="K145" s="17"/>
    </row>
    <row r="146" customFormat="false" ht="15" hidden="false" customHeight="false" outlineLevel="1" collapsed="false">
      <c r="A146" s="22" t="s">
        <v>293</v>
      </c>
      <c r="B146" s="1" t="s">
        <v>294</v>
      </c>
      <c r="D146" s="21" t="n">
        <v>0</v>
      </c>
      <c r="E146" s="16"/>
      <c r="F146" s="21"/>
      <c r="G146" s="21"/>
      <c r="H146" s="21"/>
      <c r="I146" s="17"/>
      <c r="J146" s="17"/>
      <c r="K146" s="17"/>
    </row>
    <row r="147" customFormat="false" ht="15" hidden="false" customHeight="false" outlineLevel="1" collapsed="false">
      <c r="A147" s="22" t="s">
        <v>295</v>
      </c>
      <c r="B147" s="1" t="s">
        <v>296</v>
      </c>
      <c r="D147" s="21" t="n">
        <v>0</v>
      </c>
      <c r="E147" s="16"/>
      <c r="F147" s="21"/>
      <c r="G147" s="21"/>
      <c r="H147" s="21"/>
      <c r="I147" s="17"/>
      <c r="J147" s="17"/>
      <c r="K147" s="17"/>
    </row>
    <row r="148" customFormat="false" ht="15" hidden="false" customHeight="false" outlineLevel="1" collapsed="false">
      <c r="A148" s="22" t="s">
        <v>297</v>
      </c>
      <c r="B148" s="1" t="s">
        <v>298</v>
      </c>
      <c r="D148" s="21" t="n">
        <v>0</v>
      </c>
      <c r="E148" s="16"/>
      <c r="F148" s="21"/>
      <c r="G148" s="21"/>
      <c r="H148" s="21"/>
      <c r="I148" s="17"/>
      <c r="J148" s="17"/>
      <c r="K148" s="17"/>
    </row>
    <row r="149" customFormat="false" ht="15" hidden="false" customHeight="false" outlineLevel="1" collapsed="false">
      <c r="A149" s="22" t="s">
        <v>299</v>
      </c>
      <c r="B149" s="1" t="s">
        <v>300</v>
      </c>
      <c r="D149" s="21" t="n">
        <v>0</v>
      </c>
      <c r="E149" s="16"/>
      <c r="F149" s="21"/>
      <c r="G149" s="21"/>
      <c r="H149" s="21"/>
      <c r="I149" s="17"/>
      <c r="J149" s="17"/>
      <c r="K149" s="17"/>
    </row>
    <row r="150" customFormat="false" ht="15" hidden="false" customHeight="false" outlineLevel="1" collapsed="false">
      <c r="A150" s="22" t="s">
        <v>301</v>
      </c>
      <c r="B150" s="1" t="s">
        <v>302</v>
      </c>
      <c r="D150" s="21" t="n">
        <v>0</v>
      </c>
      <c r="E150" s="16"/>
      <c r="F150" s="21"/>
      <c r="G150" s="21"/>
      <c r="H150" s="21"/>
      <c r="I150" s="17"/>
      <c r="J150" s="17"/>
      <c r="K150" s="17"/>
    </row>
    <row r="151" customFormat="false" ht="15" hidden="false" customHeight="false" outlineLevel="1" collapsed="false">
      <c r="A151" s="22" t="s">
        <v>303</v>
      </c>
      <c r="B151" s="1" t="s">
        <v>304</v>
      </c>
      <c r="D151" s="21" t="n">
        <v>0</v>
      </c>
      <c r="E151" s="16"/>
      <c r="F151" s="21"/>
      <c r="G151" s="21"/>
      <c r="H151" s="21"/>
      <c r="I151" s="17"/>
      <c r="J151" s="17"/>
      <c r="K151" s="17"/>
    </row>
    <row r="152" customFormat="false" ht="15" hidden="false" customHeight="false" outlineLevel="1" collapsed="false">
      <c r="A152" s="22" t="s">
        <v>305</v>
      </c>
      <c r="B152" s="1" t="s">
        <v>306</v>
      </c>
      <c r="D152" s="21" t="n">
        <v>0</v>
      </c>
      <c r="E152" s="16"/>
      <c r="F152" s="21"/>
      <c r="G152" s="21"/>
      <c r="H152" s="21"/>
      <c r="I152" s="17"/>
      <c r="J152" s="17"/>
      <c r="K152" s="17"/>
    </row>
    <row r="153" customFormat="false" ht="15" hidden="false" customHeight="false" outlineLevel="1" collapsed="false">
      <c r="A153" s="22" t="s">
        <v>307</v>
      </c>
      <c r="B153" s="1" t="s">
        <v>308</v>
      </c>
      <c r="D153" s="21" t="n">
        <v>0</v>
      </c>
      <c r="E153" s="16"/>
      <c r="F153" s="21"/>
      <c r="G153" s="21"/>
      <c r="H153" s="21"/>
      <c r="I153" s="17"/>
      <c r="J153" s="17"/>
      <c r="K153" s="17"/>
    </row>
    <row r="154" customFormat="false" ht="15" hidden="false" customHeight="false" outlineLevel="1" collapsed="false">
      <c r="A154" s="22" t="s">
        <v>309</v>
      </c>
      <c r="B154" s="1" t="s">
        <v>310</v>
      </c>
      <c r="D154" s="21" t="n">
        <v>0</v>
      </c>
      <c r="E154" s="16"/>
      <c r="F154" s="21"/>
      <c r="G154" s="21"/>
      <c r="H154" s="21"/>
      <c r="I154" s="17"/>
      <c r="J154" s="17"/>
      <c r="K154" s="17"/>
    </row>
    <row r="155" customFormat="false" ht="15" hidden="false" customHeight="false" outlineLevel="1" collapsed="false">
      <c r="A155" s="22" t="s">
        <v>311</v>
      </c>
      <c r="B155" s="1" t="s">
        <v>312</v>
      </c>
      <c r="D155" s="21" t="n">
        <v>8.97</v>
      </c>
      <c r="E155" s="16"/>
      <c r="F155" s="21"/>
      <c r="G155" s="21"/>
      <c r="H155" s="21"/>
      <c r="I155" s="17"/>
      <c r="J155" s="17"/>
      <c r="K155" s="17"/>
    </row>
    <row r="156" customFormat="false" ht="15" hidden="false" customHeight="false" outlineLevel="1" collapsed="false">
      <c r="A156" s="22" t="s">
        <v>313</v>
      </c>
      <c r="B156" s="1" t="s">
        <v>314</v>
      </c>
      <c r="D156" s="21" t="n">
        <v>0</v>
      </c>
      <c r="E156" s="16"/>
      <c r="F156" s="21"/>
      <c r="G156" s="21"/>
      <c r="H156" s="21"/>
      <c r="I156" s="17"/>
      <c r="J156" s="17"/>
      <c r="K156" s="17"/>
    </row>
    <row r="157" customFormat="false" ht="15" hidden="false" customHeight="false" outlineLevel="1" collapsed="false">
      <c r="A157" s="22" t="s">
        <v>315</v>
      </c>
      <c r="B157" s="1" t="s">
        <v>316</v>
      </c>
      <c r="D157" s="21" t="n">
        <v>0</v>
      </c>
      <c r="E157" s="16"/>
      <c r="F157" s="21"/>
      <c r="G157" s="21"/>
      <c r="H157" s="21"/>
      <c r="I157" s="17"/>
      <c r="J157" s="17"/>
      <c r="K157" s="17"/>
    </row>
    <row r="158" customFormat="false" ht="15" hidden="false" customHeight="false" outlineLevel="1" collapsed="false">
      <c r="A158" s="22" t="s">
        <v>317</v>
      </c>
      <c r="B158" s="1" t="s">
        <v>318</v>
      </c>
      <c r="D158" s="21" t="n">
        <v>0</v>
      </c>
      <c r="E158" s="16"/>
      <c r="F158" s="21"/>
      <c r="G158" s="21"/>
      <c r="H158" s="21"/>
      <c r="I158" s="17"/>
      <c r="J158" s="17"/>
      <c r="K158" s="17"/>
    </row>
    <row r="159" customFormat="false" ht="15" hidden="false" customHeight="false" outlineLevel="1" collapsed="false">
      <c r="A159" s="22" t="s">
        <v>319</v>
      </c>
      <c r="B159" s="1" t="s">
        <v>320</v>
      </c>
      <c r="D159" s="21" t="n">
        <v>0</v>
      </c>
      <c r="E159" s="16"/>
      <c r="F159" s="21"/>
      <c r="G159" s="21"/>
      <c r="H159" s="21"/>
      <c r="I159" s="17"/>
      <c r="J159" s="17"/>
      <c r="K159" s="17"/>
    </row>
    <row r="160" customFormat="false" ht="15" hidden="false" customHeight="false" outlineLevel="1" collapsed="false">
      <c r="A160" s="22" t="s">
        <v>321</v>
      </c>
      <c r="B160" s="1" t="s">
        <v>322</v>
      </c>
      <c r="D160" s="21" t="n">
        <v>0</v>
      </c>
      <c r="E160" s="16"/>
      <c r="F160" s="21"/>
      <c r="G160" s="21"/>
      <c r="H160" s="21"/>
      <c r="I160" s="17"/>
      <c r="J160" s="17"/>
      <c r="K160" s="17"/>
    </row>
    <row r="161" customFormat="false" ht="15" hidden="false" customHeight="false" outlineLevel="1" collapsed="false">
      <c r="A161" s="22" t="s">
        <v>323</v>
      </c>
      <c r="B161" s="1" t="s">
        <v>324</v>
      </c>
      <c r="D161" s="21" t="n">
        <v>0</v>
      </c>
      <c r="E161" s="16"/>
      <c r="F161" s="21"/>
      <c r="G161" s="21"/>
      <c r="H161" s="21"/>
      <c r="I161" s="17"/>
      <c r="J161" s="17"/>
      <c r="K161" s="17"/>
    </row>
    <row r="162" customFormat="false" ht="15" hidden="false" customHeight="false" outlineLevel="1" collapsed="false">
      <c r="A162" s="22" t="s">
        <v>325</v>
      </c>
      <c r="B162" s="1" t="s">
        <v>326</v>
      </c>
      <c r="D162" s="21" t="n">
        <v>0</v>
      </c>
      <c r="E162" s="16"/>
      <c r="F162" s="21"/>
      <c r="G162" s="21"/>
      <c r="H162" s="21"/>
      <c r="I162" s="17"/>
      <c r="J162" s="17"/>
      <c r="K162" s="17"/>
    </row>
    <row r="163" customFormat="false" ht="15" hidden="false" customHeight="false" outlineLevel="1" collapsed="false">
      <c r="A163" s="22" t="s">
        <v>327</v>
      </c>
      <c r="B163" s="1" t="s">
        <v>328</v>
      </c>
      <c r="D163" s="21" t="n">
        <v>0</v>
      </c>
      <c r="E163" s="16"/>
      <c r="F163" s="21"/>
      <c r="G163" s="21"/>
      <c r="H163" s="21"/>
      <c r="I163" s="17"/>
      <c r="J163" s="17"/>
      <c r="K163" s="17"/>
    </row>
    <row r="164" customFormat="false" ht="15" hidden="false" customHeight="false" outlineLevel="1" collapsed="false">
      <c r="A164" s="22" t="s">
        <v>329</v>
      </c>
      <c r="B164" s="1" t="s">
        <v>330</v>
      </c>
      <c r="D164" s="21" t="n">
        <v>0</v>
      </c>
      <c r="E164" s="16"/>
      <c r="F164" s="21"/>
      <c r="G164" s="21"/>
      <c r="H164" s="21"/>
      <c r="I164" s="17"/>
      <c r="J164" s="17"/>
      <c r="K164" s="17"/>
    </row>
    <row r="165" customFormat="false" ht="15" hidden="false" customHeight="false" outlineLevel="1" collapsed="false">
      <c r="A165" s="22" t="s">
        <v>331</v>
      </c>
      <c r="B165" s="1" t="s">
        <v>332</v>
      </c>
      <c r="D165" s="21" t="n">
        <v>0</v>
      </c>
      <c r="E165" s="16"/>
      <c r="F165" s="21"/>
      <c r="G165" s="21"/>
      <c r="H165" s="21"/>
      <c r="I165" s="17"/>
      <c r="J165" s="17"/>
      <c r="K165" s="17"/>
    </row>
    <row r="166" customFormat="false" ht="15" hidden="false" customHeight="false" outlineLevel="1" collapsed="false">
      <c r="A166" s="22" t="s">
        <v>333</v>
      </c>
      <c r="B166" s="1" t="s">
        <v>334</v>
      </c>
      <c r="D166" s="21" t="n">
        <v>0</v>
      </c>
      <c r="E166" s="16"/>
      <c r="F166" s="21"/>
      <c r="G166" s="21"/>
      <c r="H166" s="21"/>
      <c r="I166" s="17"/>
      <c r="J166" s="17"/>
      <c r="K166" s="17"/>
    </row>
    <row r="167" customFormat="false" ht="15" hidden="false" customHeight="false" outlineLevel="1" collapsed="false">
      <c r="A167" s="22" t="s">
        <v>335</v>
      </c>
      <c r="B167" s="1" t="s">
        <v>336</v>
      </c>
      <c r="D167" s="21" t="n">
        <v>0</v>
      </c>
      <c r="E167" s="16"/>
      <c r="F167" s="21"/>
      <c r="G167" s="21"/>
      <c r="H167" s="21"/>
      <c r="I167" s="17"/>
      <c r="J167" s="17"/>
      <c r="K167" s="17"/>
    </row>
    <row r="168" customFormat="false" ht="15" hidden="false" customHeight="false" outlineLevel="1" collapsed="false">
      <c r="A168" s="22" t="s">
        <v>337</v>
      </c>
      <c r="B168" s="1" t="s">
        <v>338</v>
      </c>
      <c r="D168" s="21" t="n">
        <v>0</v>
      </c>
      <c r="E168" s="16"/>
      <c r="F168" s="21"/>
      <c r="G168" s="21"/>
      <c r="H168" s="21"/>
      <c r="I168" s="17"/>
      <c r="J168" s="17"/>
      <c r="K168" s="17"/>
    </row>
    <row r="169" customFormat="false" ht="15" hidden="false" customHeight="false" outlineLevel="1" collapsed="false">
      <c r="A169" s="22" t="s">
        <v>339</v>
      </c>
      <c r="B169" s="1" t="s">
        <v>340</v>
      </c>
      <c r="D169" s="21" t="n">
        <v>0</v>
      </c>
      <c r="E169" s="16"/>
      <c r="F169" s="21"/>
      <c r="G169" s="21"/>
      <c r="H169" s="21"/>
      <c r="I169" s="17"/>
      <c r="J169" s="17"/>
      <c r="K169" s="17"/>
    </row>
    <row r="170" customFormat="false" ht="15" hidden="false" customHeight="false" outlineLevel="1" collapsed="false">
      <c r="A170" s="22" t="s">
        <v>341</v>
      </c>
      <c r="B170" s="1" t="s">
        <v>342</v>
      </c>
      <c r="D170" s="21" t="n">
        <v>0</v>
      </c>
      <c r="E170" s="16"/>
      <c r="F170" s="21"/>
      <c r="G170" s="21"/>
      <c r="H170" s="21"/>
      <c r="I170" s="17"/>
      <c r="J170" s="17"/>
      <c r="K170" s="17"/>
    </row>
    <row r="171" customFormat="false" ht="15" hidden="false" customHeight="false" outlineLevel="1" collapsed="false">
      <c r="A171" s="22" t="s">
        <v>343</v>
      </c>
      <c r="B171" s="1" t="s">
        <v>344</v>
      </c>
      <c r="D171" s="21" t="n">
        <v>0</v>
      </c>
      <c r="E171" s="16"/>
      <c r="F171" s="21"/>
      <c r="G171" s="21"/>
      <c r="H171" s="21"/>
      <c r="I171" s="17"/>
      <c r="J171" s="17"/>
      <c r="K171" s="17"/>
    </row>
    <row r="172" customFormat="false" ht="15" hidden="false" customHeight="false" outlineLevel="1" collapsed="false">
      <c r="A172" s="22" t="s">
        <v>345</v>
      </c>
      <c r="B172" s="1" t="s">
        <v>346</v>
      </c>
      <c r="D172" s="21" t="n">
        <v>0</v>
      </c>
      <c r="E172" s="16"/>
      <c r="F172" s="21"/>
      <c r="G172" s="21"/>
      <c r="H172" s="21"/>
      <c r="I172" s="17"/>
      <c r="J172" s="17"/>
      <c r="K172" s="17"/>
    </row>
    <row r="173" customFormat="false" ht="15" hidden="false" customHeight="false" outlineLevel="1" collapsed="false">
      <c r="A173" s="22" t="s">
        <v>347</v>
      </c>
      <c r="B173" s="1" t="s">
        <v>348</v>
      </c>
      <c r="D173" s="21" t="n">
        <v>0</v>
      </c>
      <c r="E173" s="16"/>
      <c r="F173" s="21"/>
      <c r="G173" s="21"/>
      <c r="H173" s="21"/>
      <c r="I173" s="17"/>
      <c r="J173" s="17"/>
      <c r="K173" s="17"/>
    </row>
    <row r="174" customFormat="false" ht="15" hidden="false" customHeight="false" outlineLevel="1" collapsed="false">
      <c r="A174" s="22" t="s">
        <v>349</v>
      </c>
      <c r="B174" s="1" t="s">
        <v>350</v>
      </c>
      <c r="D174" s="21" t="n">
        <v>0</v>
      </c>
      <c r="E174" s="16"/>
      <c r="F174" s="21"/>
      <c r="G174" s="21"/>
      <c r="H174" s="21"/>
      <c r="I174" s="17"/>
      <c r="J174" s="17"/>
      <c r="K174" s="17"/>
    </row>
    <row r="175" customFormat="false" ht="15" hidden="false" customHeight="false" outlineLevel="1" collapsed="false">
      <c r="A175" s="22" t="s">
        <v>351</v>
      </c>
      <c r="B175" s="1" t="s">
        <v>352</v>
      </c>
      <c r="D175" s="21" t="n">
        <v>0</v>
      </c>
      <c r="E175" s="16"/>
      <c r="F175" s="21"/>
      <c r="G175" s="21"/>
      <c r="H175" s="21"/>
      <c r="I175" s="17"/>
      <c r="J175" s="17"/>
      <c r="K175" s="17"/>
    </row>
    <row r="176" customFormat="false" ht="15" hidden="false" customHeight="false" outlineLevel="1" collapsed="false">
      <c r="A176" s="22" t="s">
        <v>353</v>
      </c>
      <c r="B176" s="1" t="s">
        <v>354</v>
      </c>
      <c r="D176" s="21" t="n">
        <v>0</v>
      </c>
      <c r="E176" s="16"/>
      <c r="F176" s="21"/>
      <c r="G176" s="21"/>
      <c r="H176" s="21"/>
      <c r="I176" s="17"/>
      <c r="J176" s="17"/>
      <c r="K176" s="17"/>
    </row>
    <row r="177" customFormat="false" ht="15" hidden="false" customHeight="false" outlineLevel="1" collapsed="false">
      <c r="A177" s="22" t="s">
        <v>355</v>
      </c>
      <c r="B177" s="1" t="s">
        <v>356</v>
      </c>
      <c r="D177" s="21" t="n">
        <v>0</v>
      </c>
      <c r="E177" s="16"/>
      <c r="F177" s="21"/>
      <c r="G177" s="21"/>
      <c r="H177" s="21"/>
      <c r="I177" s="17"/>
      <c r="J177" s="17"/>
      <c r="K177" s="17"/>
    </row>
    <row r="178" customFormat="false" ht="15" hidden="false" customHeight="false" outlineLevel="1" collapsed="false">
      <c r="A178" s="22" t="s">
        <v>357</v>
      </c>
      <c r="B178" s="1" t="s">
        <v>358</v>
      </c>
      <c r="D178" s="21" t="n">
        <v>0</v>
      </c>
      <c r="E178" s="16"/>
      <c r="F178" s="21"/>
      <c r="G178" s="21"/>
      <c r="H178" s="21"/>
      <c r="I178" s="17"/>
      <c r="J178" s="17"/>
      <c r="K178" s="17"/>
    </row>
    <row r="179" customFormat="false" ht="15" hidden="false" customHeight="false" outlineLevel="1" collapsed="false">
      <c r="A179" s="1" t="s">
        <v>359</v>
      </c>
      <c r="B179" s="1" t="s">
        <v>360</v>
      </c>
      <c r="D179" s="21" t="n">
        <v>0</v>
      </c>
      <c r="E179" s="16"/>
      <c r="F179" s="21"/>
      <c r="G179" s="21"/>
      <c r="H179" s="21"/>
      <c r="I179" s="17"/>
      <c r="J179" s="17"/>
      <c r="K179" s="17"/>
    </row>
    <row r="180" customFormat="false" ht="15" hidden="false" customHeight="false" outlineLevel="1" collapsed="false">
      <c r="A180" s="1" t="s">
        <v>361</v>
      </c>
      <c r="B180" s="1" t="s">
        <v>362</v>
      </c>
      <c r="D180" s="21" t="n">
        <v>78.45</v>
      </c>
      <c r="E180" s="16"/>
      <c r="F180" s="21"/>
      <c r="G180" s="21"/>
      <c r="H180" s="21"/>
      <c r="I180" s="17"/>
      <c r="J180" s="17"/>
      <c r="K180" s="17"/>
    </row>
    <row r="181" customFormat="false" ht="15" hidden="false" customHeight="false" outlineLevel="1" collapsed="false">
      <c r="A181" s="1" t="s">
        <v>363</v>
      </c>
      <c r="B181" s="1" t="s">
        <v>364</v>
      </c>
      <c r="D181" s="21" t="n">
        <v>0</v>
      </c>
      <c r="E181" s="16"/>
      <c r="F181" s="21"/>
      <c r="G181" s="21"/>
      <c r="H181" s="21"/>
      <c r="I181" s="17"/>
      <c r="J181" s="17"/>
      <c r="K181" s="17"/>
    </row>
    <row r="182" customFormat="false" ht="15" hidden="false" customHeight="false" outlineLevel="1" collapsed="false">
      <c r="A182" s="1" t="s">
        <v>365</v>
      </c>
      <c r="B182" s="1" t="s">
        <v>366</v>
      </c>
      <c r="D182" s="21" t="n">
        <v>0</v>
      </c>
      <c r="E182" s="16"/>
      <c r="F182" s="21"/>
      <c r="G182" s="21"/>
      <c r="H182" s="21"/>
      <c r="I182" s="17"/>
      <c r="J182" s="17"/>
      <c r="K182" s="17"/>
    </row>
    <row r="183" customFormat="false" ht="15" hidden="false" customHeight="false" outlineLevel="1" collapsed="false">
      <c r="A183" s="1" t="s">
        <v>367</v>
      </c>
      <c r="B183" s="1" t="s">
        <v>368</v>
      </c>
      <c r="D183" s="21" t="n">
        <v>0</v>
      </c>
      <c r="E183" s="16"/>
      <c r="F183" s="21"/>
      <c r="G183" s="21"/>
      <c r="H183" s="21"/>
      <c r="I183" s="17"/>
      <c r="J183" s="17"/>
      <c r="K183" s="17"/>
    </row>
    <row r="184" customFormat="false" ht="15" hidden="false" customHeight="false" outlineLevel="1" collapsed="false">
      <c r="A184" s="1" t="s">
        <v>369</v>
      </c>
      <c r="B184" s="1" t="s">
        <v>370</v>
      </c>
      <c r="D184" s="21" t="n">
        <v>0</v>
      </c>
      <c r="E184" s="16"/>
      <c r="F184" s="21"/>
      <c r="G184" s="21"/>
      <c r="H184" s="21"/>
      <c r="I184" s="17"/>
      <c r="J184" s="17"/>
      <c r="K184" s="17"/>
    </row>
    <row r="185" customFormat="false" ht="15" hidden="false" customHeight="false" outlineLevel="1" collapsed="false">
      <c r="A185" s="1" t="s">
        <v>371</v>
      </c>
      <c r="B185" s="1" t="s">
        <v>372</v>
      </c>
      <c r="D185" s="21" t="n">
        <v>0</v>
      </c>
      <c r="E185" s="16"/>
      <c r="F185" s="21"/>
      <c r="G185" s="21"/>
      <c r="H185" s="21"/>
      <c r="I185" s="17"/>
      <c r="J185" s="17"/>
      <c r="K185" s="17"/>
    </row>
    <row r="186" customFormat="false" ht="15" hidden="false" customHeight="false" outlineLevel="1" collapsed="false">
      <c r="A186" s="22" t="s">
        <v>373</v>
      </c>
      <c r="B186" s="1" t="s">
        <v>374</v>
      </c>
      <c r="D186" s="21" t="n">
        <v>0</v>
      </c>
      <c r="E186" s="16"/>
      <c r="F186" s="21"/>
      <c r="G186" s="21"/>
      <c r="H186" s="21"/>
      <c r="I186" s="17"/>
      <c r="J186" s="17"/>
      <c r="K186" s="17"/>
    </row>
    <row r="187" customFormat="false" ht="15" hidden="false" customHeight="false" outlineLevel="1" collapsed="false">
      <c r="A187" s="22" t="s">
        <v>375</v>
      </c>
      <c r="B187" s="1" t="s">
        <v>376</v>
      </c>
      <c r="D187" s="21" t="n">
        <v>0</v>
      </c>
      <c r="E187" s="16"/>
      <c r="F187" s="21"/>
      <c r="G187" s="21"/>
      <c r="H187" s="21"/>
      <c r="I187" s="17"/>
      <c r="J187" s="17"/>
      <c r="K187" s="17"/>
    </row>
    <row r="188" customFormat="false" ht="15" hidden="false" customHeight="false" outlineLevel="1" collapsed="false">
      <c r="A188" s="22" t="s">
        <v>377</v>
      </c>
      <c r="B188" s="1" t="s">
        <v>378</v>
      </c>
      <c r="D188" s="21" t="n">
        <v>0</v>
      </c>
      <c r="E188" s="16"/>
      <c r="F188" s="21"/>
      <c r="G188" s="21"/>
      <c r="H188" s="21"/>
      <c r="I188" s="17"/>
      <c r="J188" s="17"/>
      <c r="K188" s="17"/>
    </row>
    <row r="189" customFormat="false" ht="15" hidden="false" customHeight="false" outlineLevel="1" collapsed="false">
      <c r="A189" s="22" t="s">
        <v>379</v>
      </c>
      <c r="B189" s="1" t="s">
        <v>380</v>
      </c>
      <c r="D189" s="21" t="n">
        <v>0</v>
      </c>
      <c r="E189" s="16"/>
      <c r="F189" s="21"/>
      <c r="G189" s="21"/>
      <c r="H189" s="21"/>
      <c r="I189" s="17"/>
      <c r="J189" s="17"/>
      <c r="K189" s="17"/>
    </row>
    <row r="190" customFormat="false" ht="15" hidden="false" customHeight="false" outlineLevel="1" collapsed="false">
      <c r="A190" s="22" t="s">
        <v>381</v>
      </c>
      <c r="B190" s="1" t="s">
        <v>382</v>
      </c>
      <c r="D190" s="21" t="n">
        <v>0</v>
      </c>
      <c r="E190" s="16"/>
      <c r="F190" s="21"/>
      <c r="G190" s="21"/>
      <c r="H190" s="21"/>
      <c r="I190" s="17"/>
      <c r="J190" s="17"/>
      <c r="K190" s="17"/>
    </row>
    <row r="191" customFormat="false" ht="15" hidden="false" customHeight="false" outlineLevel="1" collapsed="false">
      <c r="A191" s="22" t="s">
        <v>383</v>
      </c>
      <c r="B191" s="1" t="s">
        <v>384</v>
      </c>
      <c r="D191" s="21" t="n">
        <v>0</v>
      </c>
      <c r="E191" s="16"/>
      <c r="F191" s="21"/>
      <c r="G191" s="21"/>
      <c r="H191" s="21"/>
      <c r="I191" s="17"/>
      <c r="J191" s="17"/>
      <c r="K191" s="17"/>
    </row>
    <row r="192" customFormat="false" ht="15" hidden="false" customHeight="false" outlineLevel="1" collapsed="false">
      <c r="A192" s="22" t="s">
        <v>385</v>
      </c>
      <c r="B192" s="1" t="s">
        <v>386</v>
      </c>
      <c r="D192" s="21" t="n">
        <v>0</v>
      </c>
      <c r="E192" s="16"/>
      <c r="F192" s="21"/>
      <c r="G192" s="21"/>
      <c r="H192" s="21"/>
      <c r="I192" s="17"/>
      <c r="J192" s="17"/>
      <c r="K192" s="17"/>
    </row>
    <row r="193" customFormat="false" ht="15" hidden="false" customHeight="false" outlineLevel="1" collapsed="false">
      <c r="A193" s="1" t="s">
        <v>387</v>
      </c>
      <c r="B193" s="1" t="s">
        <v>388</v>
      </c>
      <c r="D193" s="21" t="n">
        <v>11.98</v>
      </c>
      <c r="E193" s="16"/>
      <c r="F193" s="21"/>
      <c r="G193" s="21"/>
      <c r="H193" s="16"/>
      <c r="I193" s="17"/>
      <c r="J193" s="17"/>
      <c r="K193" s="17"/>
    </row>
    <row r="194" customFormat="false" ht="15" hidden="false" customHeight="false" outlineLevel="1" collapsed="false">
      <c r="A194" s="22" t="s">
        <v>389</v>
      </c>
      <c r="B194" s="1" t="s">
        <v>390</v>
      </c>
      <c r="D194" s="21" t="n">
        <v>0</v>
      </c>
      <c r="E194" s="16"/>
      <c r="F194" s="21"/>
      <c r="G194" s="21"/>
      <c r="H194" s="21"/>
      <c r="I194" s="17"/>
      <c r="J194" s="17"/>
      <c r="K194" s="17"/>
      <c r="Q194" s="23"/>
    </row>
    <row r="195" customFormat="false" ht="15" hidden="false" customHeight="false" outlineLevel="1" collapsed="false">
      <c r="A195" s="22" t="s">
        <v>391</v>
      </c>
      <c r="B195" s="1" t="s">
        <v>392</v>
      </c>
      <c r="D195" s="21" t="n">
        <v>0</v>
      </c>
      <c r="E195" s="16"/>
      <c r="F195" s="21"/>
      <c r="G195" s="21"/>
      <c r="H195" s="21"/>
      <c r="I195" s="17"/>
      <c r="J195" s="17"/>
      <c r="K195" s="17"/>
      <c r="Q195" s="23"/>
    </row>
    <row r="196" customFormat="false" ht="15" hidden="false" customHeight="false" outlineLevel="1" collapsed="false">
      <c r="A196" s="22" t="s">
        <v>393</v>
      </c>
      <c r="B196" s="1" t="s">
        <v>394</v>
      </c>
      <c r="D196" s="21" t="n">
        <v>7.96</v>
      </c>
      <c r="E196" s="16"/>
      <c r="F196" s="21"/>
      <c r="G196" s="21"/>
      <c r="H196" s="21"/>
      <c r="I196" s="17"/>
      <c r="J196" s="17"/>
      <c r="K196" s="17"/>
      <c r="P196" s="23"/>
      <c r="Q196" s="23"/>
    </row>
    <row r="197" customFormat="false" ht="15" hidden="false" customHeight="false" outlineLevel="1" collapsed="false">
      <c r="A197" s="1" t="s">
        <v>395</v>
      </c>
      <c r="B197" s="1" t="s">
        <v>396</v>
      </c>
      <c r="D197" s="21" t="n">
        <v>0</v>
      </c>
      <c r="E197" s="16"/>
      <c r="F197" s="21"/>
      <c r="G197" s="21"/>
      <c r="H197" s="21"/>
      <c r="I197" s="17"/>
      <c r="J197" s="17"/>
      <c r="K197" s="17"/>
    </row>
    <row r="198" customFormat="false" ht="15" hidden="false" customHeight="false" outlineLevel="1" collapsed="false">
      <c r="A198" s="1" t="s">
        <v>397</v>
      </c>
      <c r="B198" s="1" t="s">
        <v>398</v>
      </c>
      <c r="D198" s="21" t="n">
        <v>0</v>
      </c>
      <c r="E198" s="16"/>
      <c r="F198" s="21"/>
      <c r="G198" s="21"/>
      <c r="H198" s="21"/>
      <c r="I198" s="17"/>
      <c r="J198" s="17"/>
      <c r="K198" s="17"/>
    </row>
    <row r="199" customFormat="false" ht="15" hidden="false" customHeight="false" outlineLevel="1" collapsed="false">
      <c r="A199" s="1" t="s">
        <v>399</v>
      </c>
      <c r="B199" s="1" t="s">
        <v>400</v>
      </c>
      <c r="D199" s="21" t="n">
        <v>50.83</v>
      </c>
      <c r="E199" s="16"/>
      <c r="F199" s="21"/>
      <c r="G199" s="21"/>
      <c r="H199" s="21"/>
      <c r="I199" s="17"/>
      <c r="J199" s="17"/>
      <c r="K199" s="17"/>
    </row>
    <row r="200" customFormat="false" ht="15" hidden="false" customHeight="false" outlineLevel="1" collapsed="false">
      <c r="A200" s="22" t="s">
        <v>401</v>
      </c>
      <c r="B200" s="1" t="s">
        <v>402</v>
      </c>
      <c r="D200" s="21" t="n">
        <v>1869.45000000001</v>
      </c>
      <c r="E200" s="16"/>
      <c r="F200" s="21"/>
      <c r="G200" s="21"/>
      <c r="H200" s="21"/>
      <c r="I200" s="17"/>
      <c r="J200" s="17"/>
      <c r="K200" s="17"/>
    </row>
    <row r="201" customFormat="false" ht="15" hidden="false" customHeight="false" outlineLevel="1" collapsed="false">
      <c r="A201" s="22" t="s">
        <v>403</v>
      </c>
      <c r="B201" s="1" t="s">
        <v>404</v>
      </c>
      <c r="D201" s="21" t="n">
        <v>0</v>
      </c>
      <c r="E201" s="16"/>
      <c r="F201" s="21"/>
      <c r="G201" s="21"/>
      <c r="H201" s="21"/>
      <c r="I201" s="17"/>
      <c r="J201" s="17"/>
      <c r="K201" s="17"/>
    </row>
    <row r="202" customFormat="false" ht="15" hidden="false" customHeight="false" outlineLevel="1" collapsed="false">
      <c r="A202" s="1" t="s">
        <v>405</v>
      </c>
      <c r="B202" s="1" t="s">
        <v>406</v>
      </c>
      <c r="D202" s="21" t="n">
        <v>0</v>
      </c>
      <c r="E202" s="16"/>
      <c r="F202" s="21"/>
      <c r="G202" s="21"/>
      <c r="H202" s="21"/>
      <c r="I202" s="17"/>
      <c r="J202" s="17"/>
      <c r="K202" s="17"/>
    </row>
    <row r="203" customFormat="false" ht="15" hidden="false" customHeight="false" outlineLevel="1" collapsed="false">
      <c r="A203" s="1" t="s">
        <v>407</v>
      </c>
      <c r="B203" s="1" t="s">
        <v>408</v>
      </c>
      <c r="D203" s="21" t="n">
        <v>0</v>
      </c>
      <c r="E203" s="16"/>
      <c r="F203" s="21"/>
      <c r="G203" s="21"/>
      <c r="H203" s="21"/>
      <c r="I203" s="17"/>
      <c r="J203" s="17"/>
      <c r="K203" s="17"/>
    </row>
    <row r="204" customFormat="false" ht="15" hidden="false" customHeight="false" outlineLevel="1" collapsed="false">
      <c r="A204" s="22" t="s">
        <v>409</v>
      </c>
      <c r="B204" s="1" t="s">
        <v>410</v>
      </c>
      <c r="D204" s="21" t="n">
        <v>0</v>
      </c>
      <c r="E204" s="16"/>
      <c r="F204" s="21"/>
      <c r="G204" s="21"/>
      <c r="H204" s="21"/>
      <c r="I204" s="17"/>
      <c r="J204" s="17"/>
      <c r="K204" s="17"/>
    </row>
    <row r="205" customFormat="false" ht="15" hidden="false" customHeight="false" outlineLevel="1" collapsed="false">
      <c r="A205" s="1" t="s">
        <v>411</v>
      </c>
      <c r="B205" s="1" t="s">
        <v>412</v>
      </c>
      <c r="D205" s="21" t="n">
        <v>0</v>
      </c>
      <c r="E205" s="16"/>
      <c r="F205" s="21"/>
      <c r="G205" s="21"/>
      <c r="H205" s="21"/>
      <c r="I205" s="17"/>
      <c r="J205" s="17"/>
      <c r="K205" s="17"/>
    </row>
    <row r="206" customFormat="false" ht="15" hidden="false" customHeight="false" outlineLevel="1" collapsed="false">
      <c r="A206" s="1" t="s">
        <v>413</v>
      </c>
      <c r="B206" s="1" t="s">
        <v>414</v>
      </c>
      <c r="D206" s="21" t="n">
        <v>0</v>
      </c>
      <c r="E206" s="16"/>
      <c r="F206" s="21"/>
      <c r="G206" s="21"/>
      <c r="H206" s="21"/>
      <c r="I206" s="17"/>
      <c r="J206" s="17"/>
      <c r="K206" s="17"/>
    </row>
    <row r="207" customFormat="false" ht="15" hidden="false" customHeight="false" outlineLevel="1" collapsed="false">
      <c r="A207" s="1" t="s">
        <v>415</v>
      </c>
      <c r="B207" s="1" t="s">
        <v>416</v>
      </c>
      <c r="D207" s="21" t="n">
        <v>0</v>
      </c>
      <c r="E207" s="16"/>
      <c r="F207" s="21"/>
      <c r="G207" s="21"/>
      <c r="H207" s="21"/>
      <c r="I207" s="17"/>
      <c r="J207" s="17"/>
      <c r="K207" s="17"/>
    </row>
    <row r="208" customFormat="false" ht="15" hidden="false" customHeight="false" outlineLevel="1" collapsed="false">
      <c r="A208" s="1" t="s">
        <v>417</v>
      </c>
      <c r="B208" s="1" t="s">
        <v>418</v>
      </c>
      <c r="D208" s="21" t="n">
        <v>0</v>
      </c>
      <c r="E208" s="16"/>
      <c r="F208" s="21"/>
      <c r="G208" s="21"/>
      <c r="H208" s="21"/>
      <c r="I208" s="17"/>
      <c r="J208" s="17"/>
      <c r="K208" s="17"/>
    </row>
    <row r="209" customFormat="false" ht="15" hidden="false" customHeight="false" outlineLevel="1" collapsed="false">
      <c r="A209" s="1" t="s">
        <v>419</v>
      </c>
      <c r="B209" s="1" t="s">
        <v>420</v>
      </c>
      <c r="D209" s="21" t="n">
        <v>0</v>
      </c>
      <c r="E209" s="16"/>
      <c r="F209" s="21"/>
      <c r="G209" s="21"/>
      <c r="H209" s="21"/>
      <c r="I209" s="17"/>
      <c r="J209" s="17"/>
      <c r="K209" s="17"/>
    </row>
    <row r="210" customFormat="false" ht="15" hidden="false" customHeight="false" outlineLevel="1" collapsed="false">
      <c r="A210" s="22" t="s">
        <v>421</v>
      </c>
      <c r="B210" s="1" t="s">
        <v>422</v>
      </c>
      <c r="D210" s="21" t="n">
        <v>0</v>
      </c>
      <c r="E210" s="16"/>
      <c r="F210" s="21"/>
      <c r="G210" s="21"/>
      <c r="H210" s="21"/>
      <c r="I210" s="17"/>
      <c r="J210" s="17"/>
      <c r="K210" s="17"/>
    </row>
    <row r="211" customFormat="false" ht="15" hidden="false" customHeight="false" outlineLevel="1" collapsed="false">
      <c r="A211" s="22" t="s">
        <v>423</v>
      </c>
      <c r="B211" s="1" t="s">
        <v>424</v>
      </c>
      <c r="D211" s="21" t="n">
        <v>0</v>
      </c>
      <c r="E211" s="16"/>
      <c r="F211" s="21"/>
      <c r="G211" s="21"/>
      <c r="H211" s="21"/>
      <c r="I211" s="17"/>
      <c r="J211" s="17"/>
      <c r="K211" s="17"/>
    </row>
    <row r="212" customFormat="false" ht="15" hidden="false" customHeight="false" outlineLevel="1" collapsed="false">
      <c r="A212" s="22" t="s">
        <v>425</v>
      </c>
      <c r="B212" s="1" t="s">
        <v>426</v>
      </c>
      <c r="D212" s="21" t="n">
        <v>0</v>
      </c>
      <c r="E212" s="16"/>
      <c r="F212" s="21"/>
      <c r="G212" s="21"/>
      <c r="H212" s="21"/>
      <c r="I212" s="17"/>
      <c r="J212" s="17"/>
      <c r="K212" s="17"/>
    </row>
    <row r="213" customFormat="false" ht="15" hidden="false" customHeight="false" outlineLevel="1" collapsed="false">
      <c r="A213" s="22" t="s">
        <v>427</v>
      </c>
      <c r="B213" s="1" t="s">
        <v>428</v>
      </c>
      <c r="D213" s="21" t="n">
        <v>0</v>
      </c>
      <c r="E213" s="16"/>
      <c r="F213" s="21"/>
      <c r="G213" s="21"/>
      <c r="H213" s="21"/>
      <c r="I213" s="17"/>
      <c r="J213" s="17"/>
      <c r="K213" s="17"/>
    </row>
    <row r="214" customFormat="false" ht="15" hidden="false" customHeight="false" outlineLevel="1" collapsed="false">
      <c r="A214" s="22" t="s">
        <v>429</v>
      </c>
      <c r="B214" s="1" t="s">
        <v>430</v>
      </c>
      <c r="D214" s="21" t="n">
        <v>0</v>
      </c>
      <c r="E214" s="16"/>
      <c r="F214" s="21"/>
      <c r="G214" s="21"/>
      <c r="H214" s="21"/>
      <c r="I214" s="17"/>
      <c r="J214" s="17"/>
      <c r="K214" s="17"/>
    </row>
    <row r="215" customFormat="false" ht="15" hidden="false" customHeight="false" outlineLevel="1" collapsed="false">
      <c r="A215" s="22" t="s">
        <v>431</v>
      </c>
      <c r="B215" s="1" t="s">
        <v>432</v>
      </c>
      <c r="D215" s="21" t="n">
        <v>0</v>
      </c>
      <c r="E215" s="16"/>
      <c r="F215" s="21"/>
      <c r="G215" s="21"/>
      <c r="H215" s="21"/>
      <c r="I215" s="17"/>
      <c r="J215" s="17"/>
      <c r="K215" s="17"/>
      <c r="N215" s="23"/>
    </row>
    <row r="216" customFormat="false" ht="15" hidden="false" customHeight="false" outlineLevel="1" collapsed="false">
      <c r="A216" s="22" t="s">
        <v>433</v>
      </c>
      <c r="B216" s="1" t="s">
        <v>434</v>
      </c>
      <c r="D216" s="21" t="n">
        <v>0</v>
      </c>
      <c r="E216" s="16"/>
      <c r="F216" s="21"/>
      <c r="G216" s="21"/>
      <c r="H216" s="21"/>
      <c r="I216" s="17"/>
      <c r="J216" s="17"/>
      <c r="K216" s="17"/>
      <c r="N216" s="23"/>
    </row>
    <row r="217" customFormat="false" ht="15" hidden="false" customHeight="false" outlineLevel="1" collapsed="false">
      <c r="A217" s="22" t="s">
        <v>435</v>
      </c>
      <c r="B217" s="1" t="s">
        <v>436</v>
      </c>
      <c r="D217" s="21" t="n">
        <v>0</v>
      </c>
      <c r="E217" s="16"/>
      <c r="F217" s="21"/>
      <c r="G217" s="21"/>
      <c r="H217" s="21"/>
      <c r="I217" s="17"/>
      <c r="J217" s="17"/>
      <c r="K217" s="17"/>
      <c r="N217" s="23"/>
    </row>
    <row r="218" customFormat="false" ht="15" hidden="false" customHeight="false" outlineLevel="1" collapsed="false">
      <c r="A218" s="1" t="s">
        <v>437</v>
      </c>
      <c r="B218" s="1" t="s">
        <v>438</v>
      </c>
      <c r="D218" s="21" t="n">
        <v>0</v>
      </c>
      <c r="E218" s="16"/>
      <c r="F218" s="21"/>
      <c r="G218" s="21"/>
      <c r="H218" s="21"/>
      <c r="I218" s="17"/>
      <c r="J218" s="17"/>
      <c r="K218" s="17"/>
    </row>
    <row r="219" customFormat="false" ht="15" hidden="false" customHeight="false" outlineLevel="1" collapsed="false">
      <c r="A219" s="1" t="s">
        <v>439</v>
      </c>
      <c r="B219" s="1" t="s">
        <v>440</v>
      </c>
      <c r="D219" s="21" t="n">
        <v>0</v>
      </c>
      <c r="E219" s="16"/>
      <c r="F219" s="21"/>
      <c r="G219" s="21"/>
      <c r="H219" s="21"/>
      <c r="I219" s="17"/>
      <c r="J219" s="17"/>
      <c r="K219" s="17"/>
    </row>
    <row r="220" customFormat="false" ht="15" hidden="false" customHeight="false" outlineLevel="1" collapsed="false">
      <c r="A220" s="22" t="s">
        <v>441</v>
      </c>
      <c r="B220" s="1" t="s">
        <v>442</v>
      </c>
      <c r="D220" s="21" t="n">
        <v>0</v>
      </c>
      <c r="E220" s="16"/>
      <c r="F220" s="21"/>
      <c r="G220" s="21"/>
      <c r="H220" s="21"/>
      <c r="I220" s="17"/>
      <c r="J220" s="17"/>
      <c r="K220" s="17"/>
    </row>
    <row r="221" customFormat="false" ht="15" hidden="false" customHeight="false" outlineLevel="1" collapsed="false">
      <c r="A221" s="22" t="s">
        <v>443</v>
      </c>
      <c r="B221" s="1" t="s">
        <v>444</v>
      </c>
      <c r="D221" s="21" t="n">
        <v>0</v>
      </c>
      <c r="E221" s="16"/>
      <c r="F221" s="21"/>
      <c r="G221" s="21"/>
      <c r="H221" s="21"/>
      <c r="I221" s="17"/>
      <c r="J221" s="17"/>
      <c r="K221" s="17"/>
    </row>
    <row r="222" customFormat="false" ht="15" hidden="false" customHeight="false" outlineLevel="1" collapsed="false">
      <c r="A222" s="22" t="s">
        <v>445</v>
      </c>
      <c r="B222" s="1" t="s">
        <v>446</v>
      </c>
      <c r="D222" s="21" t="n">
        <v>0</v>
      </c>
      <c r="E222" s="16"/>
      <c r="F222" s="21"/>
      <c r="G222" s="21"/>
      <c r="H222" s="21"/>
      <c r="I222" s="17"/>
      <c r="J222" s="17"/>
      <c r="K222" s="17"/>
    </row>
    <row r="223" customFormat="false" ht="15" hidden="false" customHeight="false" outlineLevel="1" collapsed="false">
      <c r="A223" s="22" t="s">
        <v>447</v>
      </c>
      <c r="B223" s="1" t="s">
        <v>448</v>
      </c>
      <c r="D223" s="21" t="n">
        <v>0</v>
      </c>
      <c r="E223" s="16"/>
      <c r="F223" s="21"/>
      <c r="G223" s="21"/>
      <c r="H223" s="21"/>
      <c r="I223" s="17"/>
      <c r="J223" s="17"/>
      <c r="K223" s="17"/>
    </row>
    <row r="224" customFormat="false" ht="15" hidden="false" customHeight="false" outlineLevel="1" collapsed="false">
      <c r="A224" s="22" t="s">
        <v>449</v>
      </c>
      <c r="B224" s="1" t="s">
        <v>450</v>
      </c>
      <c r="D224" s="21" t="n">
        <v>0</v>
      </c>
      <c r="E224" s="16"/>
      <c r="F224" s="21"/>
      <c r="G224" s="21"/>
      <c r="H224" s="21"/>
      <c r="I224" s="17"/>
      <c r="J224" s="17"/>
      <c r="K224" s="17"/>
    </row>
    <row r="225" customFormat="false" ht="15" hidden="false" customHeight="false" outlineLevel="1" collapsed="false">
      <c r="A225" s="1" t="s">
        <v>451</v>
      </c>
      <c r="B225" s="1" t="s">
        <v>452</v>
      </c>
      <c r="D225" s="21" t="n">
        <v>0</v>
      </c>
      <c r="E225" s="16"/>
      <c r="F225" s="21"/>
      <c r="G225" s="21"/>
      <c r="H225" s="21"/>
      <c r="I225" s="17"/>
      <c r="J225" s="17"/>
      <c r="K225" s="17"/>
    </row>
    <row r="226" customFormat="false" ht="15" hidden="false" customHeight="false" outlineLevel="1" collapsed="false">
      <c r="A226" s="1" t="s">
        <v>453</v>
      </c>
      <c r="B226" s="1" t="s">
        <v>454</v>
      </c>
      <c r="D226" s="21" t="n">
        <v>0</v>
      </c>
      <c r="E226" s="16"/>
      <c r="F226" s="21"/>
      <c r="G226" s="21"/>
      <c r="H226" s="21"/>
      <c r="I226" s="17"/>
      <c r="J226" s="17"/>
      <c r="K226" s="17"/>
    </row>
    <row r="227" customFormat="false" ht="15" hidden="false" customHeight="false" outlineLevel="1" collapsed="false">
      <c r="A227" s="1" t="s">
        <v>455</v>
      </c>
      <c r="B227" s="1" t="s">
        <v>456</v>
      </c>
      <c r="D227" s="21" t="n">
        <v>0</v>
      </c>
      <c r="E227" s="16"/>
      <c r="F227" s="21"/>
      <c r="G227" s="21"/>
      <c r="H227" s="21"/>
      <c r="I227" s="17"/>
      <c r="J227" s="17"/>
      <c r="K227" s="17"/>
    </row>
    <row r="228" customFormat="false" ht="15" hidden="false" customHeight="false" outlineLevel="1" collapsed="false">
      <c r="A228" s="22" t="s">
        <v>457</v>
      </c>
      <c r="B228" s="1" t="s">
        <v>458</v>
      </c>
      <c r="D228" s="21" t="n">
        <v>0</v>
      </c>
      <c r="E228" s="16"/>
      <c r="F228" s="21"/>
      <c r="G228" s="21"/>
      <c r="H228" s="21"/>
      <c r="I228" s="17"/>
      <c r="J228" s="17"/>
      <c r="K228" s="17"/>
    </row>
    <row r="229" customFormat="false" ht="15" hidden="false" customHeight="false" outlineLevel="1" collapsed="false">
      <c r="A229" s="22" t="s">
        <v>459</v>
      </c>
      <c r="B229" s="1" t="s">
        <v>460</v>
      </c>
      <c r="D229" s="21" t="n">
        <v>0</v>
      </c>
      <c r="E229" s="16"/>
      <c r="F229" s="21"/>
      <c r="G229" s="21"/>
      <c r="H229" s="21"/>
      <c r="I229" s="17"/>
      <c r="J229" s="17"/>
      <c r="K229" s="17"/>
    </row>
    <row r="230" customFormat="false" ht="15" hidden="false" customHeight="false" outlineLevel="1" collapsed="false">
      <c r="A230" s="22" t="s">
        <v>461</v>
      </c>
      <c r="B230" s="1" t="s">
        <v>462</v>
      </c>
      <c r="D230" s="21" t="n">
        <v>0</v>
      </c>
      <c r="E230" s="16"/>
      <c r="F230" s="21"/>
      <c r="G230" s="21"/>
      <c r="H230" s="21"/>
      <c r="I230" s="17"/>
      <c r="J230" s="17"/>
      <c r="K230" s="17"/>
    </row>
    <row r="231" customFormat="false" ht="15" hidden="false" customHeight="false" outlineLevel="1" collapsed="false">
      <c r="A231" s="1" t="s">
        <v>463</v>
      </c>
      <c r="B231" s="1" t="s">
        <v>464</v>
      </c>
      <c r="D231" s="21" t="n">
        <v>0</v>
      </c>
      <c r="E231" s="16"/>
      <c r="F231" s="21"/>
      <c r="G231" s="21"/>
      <c r="H231" s="21"/>
      <c r="I231" s="17"/>
      <c r="J231" s="17"/>
      <c r="K231" s="17"/>
    </row>
    <row r="232" customFormat="false" ht="15" hidden="false" customHeight="false" outlineLevel="1" collapsed="false">
      <c r="A232" s="1" t="s">
        <v>465</v>
      </c>
      <c r="B232" s="1" t="s">
        <v>466</v>
      </c>
      <c r="D232" s="21" t="n">
        <v>0</v>
      </c>
      <c r="E232" s="16"/>
      <c r="F232" s="21"/>
      <c r="G232" s="21"/>
      <c r="H232" s="21"/>
      <c r="I232" s="17"/>
      <c r="J232" s="17"/>
      <c r="K232" s="17"/>
    </row>
    <row r="233" customFormat="false" ht="15" hidden="false" customHeight="false" outlineLevel="1" collapsed="false">
      <c r="A233" s="1" t="s">
        <v>467</v>
      </c>
      <c r="B233" s="1" t="s">
        <v>468</v>
      </c>
      <c r="D233" s="21" t="n">
        <v>2.99</v>
      </c>
      <c r="E233" s="16"/>
      <c r="F233" s="21"/>
      <c r="G233" s="21"/>
      <c r="H233" s="21"/>
      <c r="I233" s="17"/>
      <c r="J233" s="17"/>
      <c r="K233" s="17"/>
    </row>
    <row r="234" customFormat="false" ht="15" hidden="false" customHeight="false" outlineLevel="1" collapsed="false">
      <c r="A234" s="22" t="s">
        <v>469</v>
      </c>
      <c r="B234" s="1" t="s">
        <v>470</v>
      </c>
      <c r="D234" s="21" t="n">
        <v>0</v>
      </c>
      <c r="E234" s="16"/>
      <c r="F234" s="21"/>
      <c r="G234" s="21"/>
      <c r="H234" s="21"/>
      <c r="I234" s="17"/>
      <c r="J234" s="17"/>
      <c r="K234" s="17"/>
    </row>
    <row r="235" customFormat="false" ht="15" hidden="false" customHeight="false" outlineLevel="1" collapsed="false">
      <c r="A235" s="22" t="s">
        <v>471</v>
      </c>
      <c r="B235" s="1" t="s">
        <v>472</v>
      </c>
      <c r="D235" s="21" t="n">
        <v>0</v>
      </c>
      <c r="E235" s="16"/>
      <c r="F235" s="21"/>
      <c r="G235" s="21"/>
      <c r="H235" s="21"/>
      <c r="I235" s="17"/>
      <c r="J235" s="17"/>
      <c r="K235" s="17"/>
    </row>
    <row r="236" customFormat="false" ht="15" hidden="false" customHeight="false" outlineLevel="1" collapsed="false">
      <c r="A236" s="22" t="s">
        <v>473</v>
      </c>
      <c r="B236" s="1" t="s">
        <v>474</v>
      </c>
      <c r="D236" s="21" t="n">
        <v>0</v>
      </c>
      <c r="E236" s="16"/>
      <c r="F236" s="21"/>
      <c r="G236" s="21"/>
      <c r="H236" s="21"/>
      <c r="I236" s="17"/>
      <c r="J236" s="17"/>
      <c r="K236" s="17"/>
    </row>
    <row r="237" customFormat="false" ht="15" hidden="false" customHeight="false" outlineLevel="1" collapsed="false">
      <c r="A237" s="22" t="s">
        <v>475</v>
      </c>
      <c r="B237" s="1" t="s">
        <v>476</v>
      </c>
      <c r="D237" s="21" t="n">
        <v>0</v>
      </c>
      <c r="E237" s="16"/>
      <c r="F237" s="21"/>
      <c r="G237" s="21"/>
      <c r="H237" s="21"/>
      <c r="I237" s="17"/>
      <c r="J237" s="17"/>
      <c r="K237" s="17"/>
    </row>
    <row r="238" customFormat="false" ht="15" hidden="false" customHeight="false" outlineLevel="1" collapsed="false">
      <c r="A238" s="22" t="s">
        <v>477</v>
      </c>
      <c r="B238" s="1" t="s">
        <v>478</v>
      </c>
      <c r="D238" s="21" t="n">
        <v>0</v>
      </c>
      <c r="E238" s="16"/>
      <c r="F238" s="21"/>
      <c r="G238" s="21"/>
      <c r="H238" s="21"/>
      <c r="I238" s="17"/>
      <c r="J238" s="17"/>
      <c r="K238" s="17"/>
    </row>
    <row r="239" customFormat="false" ht="15" hidden="false" customHeight="false" outlineLevel="1" collapsed="false">
      <c r="A239" s="22" t="s">
        <v>479</v>
      </c>
      <c r="B239" s="1" t="s">
        <v>480</v>
      </c>
      <c r="D239" s="21" t="n">
        <v>0</v>
      </c>
      <c r="E239" s="16"/>
      <c r="F239" s="21"/>
      <c r="G239" s="21"/>
      <c r="H239" s="21"/>
      <c r="I239" s="17"/>
      <c r="J239" s="17"/>
      <c r="K239" s="17"/>
    </row>
    <row r="240" customFormat="false" ht="15" hidden="false" customHeight="false" outlineLevel="1" collapsed="false">
      <c r="A240" s="22" t="s">
        <v>481</v>
      </c>
      <c r="B240" s="1" t="s">
        <v>482</v>
      </c>
      <c r="D240" s="21" t="n">
        <v>0</v>
      </c>
      <c r="E240" s="16"/>
      <c r="F240" s="21"/>
      <c r="G240" s="21"/>
      <c r="H240" s="21"/>
      <c r="I240" s="17"/>
      <c r="J240" s="17"/>
      <c r="K240" s="17"/>
    </row>
    <row r="241" customFormat="false" ht="15" hidden="false" customHeight="false" outlineLevel="1" collapsed="false">
      <c r="A241" s="1" t="s">
        <v>483</v>
      </c>
      <c r="B241" s="1" t="s">
        <v>484</v>
      </c>
      <c r="D241" s="21" t="n">
        <v>0</v>
      </c>
      <c r="E241" s="16"/>
      <c r="F241" s="21"/>
      <c r="G241" s="21"/>
      <c r="H241" s="21"/>
      <c r="I241" s="17"/>
      <c r="J241" s="17"/>
      <c r="K241" s="17"/>
    </row>
    <row r="242" customFormat="false" ht="15" hidden="false" customHeight="false" outlineLevel="1" collapsed="false">
      <c r="A242" s="22" t="s">
        <v>485</v>
      </c>
      <c r="B242" s="1" t="s">
        <v>486</v>
      </c>
      <c r="D242" s="21" t="n">
        <v>0</v>
      </c>
      <c r="E242" s="16"/>
      <c r="F242" s="21"/>
      <c r="G242" s="21"/>
      <c r="H242" s="21"/>
      <c r="I242" s="17"/>
      <c r="J242" s="17"/>
      <c r="K242" s="17"/>
    </row>
    <row r="243" customFormat="false" ht="15" hidden="false" customHeight="false" outlineLevel="1" collapsed="false">
      <c r="A243" s="22" t="s">
        <v>487</v>
      </c>
      <c r="B243" s="1" t="s">
        <v>488</v>
      </c>
      <c r="D243" s="21" t="n">
        <v>3.73</v>
      </c>
      <c r="E243" s="16"/>
      <c r="F243" s="21"/>
      <c r="G243" s="21"/>
      <c r="H243" s="21"/>
      <c r="I243" s="17"/>
      <c r="J243" s="17"/>
      <c r="K243" s="17"/>
    </row>
    <row r="244" customFormat="false" ht="15" hidden="false" customHeight="false" outlineLevel="1" collapsed="false">
      <c r="A244" s="22" t="s">
        <v>489</v>
      </c>
      <c r="B244" s="1" t="s">
        <v>490</v>
      </c>
      <c r="D244" s="21" t="n">
        <v>0</v>
      </c>
      <c r="E244" s="16"/>
      <c r="F244" s="21"/>
      <c r="G244" s="21"/>
      <c r="H244" s="21"/>
      <c r="I244" s="17"/>
      <c r="J244" s="17"/>
      <c r="K244" s="17"/>
    </row>
    <row r="245" customFormat="false" ht="15" hidden="false" customHeight="false" outlineLevel="1" collapsed="false">
      <c r="A245" s="1" t="s">
        <v>491</v>
      </c>
      <c r="B245" s="1" t="s">
        <v>492</v>
      </c>
      <c r="D245" s="21" t="n">
        <v>0</v>
      </c>
      <c r="E245" s="16"/>
      <c r="F245" s="21"/>
      <c r="G245" s="21"/>
      <c r="H245" s="21"/>
      <c r="I245" s="17"/>
      <c r="J245" s="17"/>
      <c r="K245" s="17"/>
    </row>
    <row r="246" customFormat="false" ht="15" hidden="false" customHeight="false" outlineLevel="1" collapsed="false">
      <c r="A246" s="1" t="s">
        <v>493</v>
      </c>
      <c r="B246" s="1" t="s">
        <v>494</v>
      </c>
      <c r="D246" s="21" t="n">
        <v>0</v>
      </c>
      <c r="E246" s="16"/>
      <c r="F246" s="21"/>
      <c r="G246" s="21"/>
      <c r="H246" s="21"/>
      <c r="I246" s="17"/>
      <c r="J246" s="17"/>
      <c r="K246" s="17"/>
    </row>
    <row r="247" customFormat="false" ht="15" hidden="false" customHeight="false" outlineLevel="1" collapsed="false">
      <c r="A247" s="22" t="s">
        <v>495</v>
      </c>
      <c r="B247" s="1" t="s">
        <v>496</v>
      </c>
      <c r="D247" s="21" t="n">
        <v>0</v>
      </c>
      <c r="E247" s="16"/>
      <c r="F247" s="21"/>
      <c r="G247" s="21"/>
      <c r="H247" s="21"/>
      <c r="I247" s="17"/>
      <c r="J247" s="17"/>
      <c r="K247" s="17"/>
    </row>
    <row r="248" customFormat="false" ht="15" hidden="false" customHeight="false" outlineLevel="1" collapsed="false">
      <c r="A248" s="22" t="s">
        <v>497</v>
      </c>
      <c r="B248" s="1" t="s">
        <v>498</v>
      </c>
      <c r="D248" s="21" t="n">
        <v>0</v>
      </c>
      <c r="E248" s="16"/>
      <c r="F248" s="21"/>
      <c r="G248" s="21"/>
      <c r="H248" s="21"/>
      <c r="I248" s="17"/>
      <c r="J248" s="17"/>
      <c r="K248" s="17"/>
    </row>
    <row r="249" customFormat="false" ht="15" hidden="false" customHeight="false" outlineLevel="1" collapsed="false">
      <c r="A249" s="22" t="s">
        <v>499</v>
      </c>
      <c r="B249" s="1" t="s">
        <v>500</v>
      </c>
      <c r="D249" s="21" t="n">
        <v>0</v>
      </c>
      <c r="E249" s="16"/>
      <c r="F249" s="21"/>
      <c r="G249" s="21"/>
      <c r="H249" s="21"/>
      <c r="I249" s="17"/>
      <c r="J249" s="17"/>
      <c r="K249" s="17"/>
    </row>
    <row r="250" customFormat="false" ht="15" hidden="false" customHeight="false" outlineLevel="1" collapsed="false">
      <c r="A250" s="22" t="s">
        <v>501</v>
      </c>
      <c r="B250" s="1" t="s">
        <v>502</v>
      </c>
      <c r="D250" s="21" t="n">
        <v>0</v>
      </c>
      <c r="E250" s="16"/>
      <c r="F250" s="21"/>
      <c r="G250" s="21"/>
      <c r="H250" s="21"/>
      <c r="I250" s="17"/>
      <c r="J250" s="17"/>
      <c r="K250" s="17"/>
    </row>
    <row r="251" customFormat="false" ht="15" hidden="false" customHeight="false" outlineLevel="1" collapsed="false">
      <c r="A251" s="1" t="s">
        <v>503</v>
      </c>
      <c r="B251" s="1" t="s">
        <v>504</v>
      </c>
      <c r="D251" s="21" t="n">
        <v>0</v>
      </c>
      <c r="E251" s="16"/>
      <c r="F251" s="21"/>
      <c r="G251" s="21"/>
      <c r="H251" s="21"/>
      <c r="I251" s="17"/>
      <c r="J251" s="17"/>
      <c r="K251" s="17"/>
    </row>
    <row r="252" customFormat="false" ht="15" hidden="false" customHeight="false" outlineLevel="1" collapsed="false">
      <c r="A252" s="22" t="s">
        <v>505</v>
      </c>
      <c r="B252" s="1" t="s">
        <v>506</v>
      </c>
      <c r="D252" s="21" t="n">
        <v>0</v>
      </c>
      <c r="E252" s="16"/>
      <c r="F252" s="21"/>
      <c r="G252" s="21"/>
      <c r="H252" s="21"/>
      <c r="I252" s="17"/>
      <c r="J252" s="17"/>
      <c r="K252" s="17"/>
    </row>
    <row r="253" customFormat="false" ht="15" hidden="false" customHeight="false" outlineLevel="1" collapsed="false">
      <c r="A253" s="22" t="s">
        <v>507</v>
      </c>
      <c r="B253" s="1" t="s">
        <v>508</v>
      </c>
      <c r="D253" s="21" t="n">
        <v>0</v>
      </c>
      <c r="E253" s="16"/>
      <c r="F253" s="21"/>
      <c r="G253" s="21"/>
      <c r="H253" s="21"/>
      <c r="I253" s="17"/>
      <c r="J253" s="17"/>
      <c r="K253" s="17"/>
    </row>
    <row r="254" customFormat="false" ht="15" hidden="false" customHeight="false" outlineLevel="1" collapsed="false">
      <c r="A254" s="22" t="s">
        <v>509</v>
      </c>
      <c r="B254" s="1" t="s">
        <v>510</v>
      </c>
      <c r="D254" s="21" t="n">
        <v>0</v>
      </c>
      <c r="E254" s="16"/>
      <c r="F254" s="21"/>
      <c r="G254" s="21"/>
      <c r="H254" s="21"/>
      <c r="I254" s="17"/>
      <c r="J254" s="17"/>
      <c r="K254" s="17"/>
    </row>
    <row r="255" customFormat="false" ht="15" hidden="false" customHeight="false" outlineLevel="1" collapsed="false">
      <c r="A255" s="22" t="s">
        <v>511</v>
      </c>
      <c r="B255" s="1" t="s">
        <v>512</v>
      </c>
      <c r="D255" s="21" t="n">
        <v>0</v>
      </c>
      <c r="E255" s="16"/>
      <c r="F255" s="21"/>
      <c r="G255" s="21"/>
      <c r="H255" s="21"/>
      <c r="I255" s="17"/>
      <c r="J255" s="17"/>
      <c r="K255" s="17"/>
    </row>
    <row r="256" customFormat="false" ht="15" hidden="false" customHeight="false" outlineLevel="0" collapsed="false">
      <c r="A256" s="24" t="s">
        <v>513</v>
      </c>
      <c r="B256" s="24"/>
      <c r="C256" s="24"/>
      <c r="D256" s="25" t="n">
        <f aca="false">SUM(D34:D255)</f>
        <v>3574.57000000001</v>
      </c>
      <c r="E256" s="25" t="n">
        <f aca="false">SUM(E34:E255)</f>
        <v>0</v>
      </c>
      <c r="F256" s="25"/>
      <c r="G256" s="25"/>
      <c r="H256" s="25"/>
      <c r="I256" s="25"/>
      <c r="J256" s="25"/>
      <c r="K256" s="25"/>
    </row>
    <row r="257" customFormat="false" ht="15" hidden="false" customHeight="false" outlineLevel="0" collapsed="false">
      <c r="A257" s="7" t="s">
        <v>514</v>
      </c>
      <c r="B257" s="7"/>
      <c r="C257" s="7"/>
      <c r="D257" s="17" t="n">
        <f aca="false">SUM(D7:D32)</f>
        <v>568.91</v>
      </c>
      <c r="E257" s="17" t="n">
        <f aca="false">SUM(E7:E32)</f>
        <v>0</v>
      </c>
      <c r="F257" s="17" t="n">
        <f aca="false">SUM(F7:F32)</f>
        <v>568.91</v>
      </c>
      <c r="G257" s="17" t="n">
        <f aca="false">SUM(G7:G32)</f>
        <v>464.389064544043</v>
      </c>
      <c r="H257" s="17" t="n">
        <f aca="false">SUM(H7:H32)</f>
        <v>104.520935455957</v>
      </c>
      <c r="I257" s="17" t="n">
        <f aca="false">SUM(I7:I32)</f>
        <v>404.34398305968</v>
      </c>
      <c r="J257" s="17" t="n">
        <f aca="false">SUM(J7:J32)</f>
        <v>91.0064740582997</v>
      </c>
      <c r="K257" s="17" t="n">
        <f aca="false">SUM(K7:K32)</f>
        <v>495.35045711798</v>
      </c>
    </row>
    <row r="258" customFormat="false" ht="15" hidden="false" customHeight="false" outlineLevel="0" collapsed="false">
      <c r="A258" s="26" t="s">
        <v>515</v>
      </c>
      <c r="B258" s="26"/>
      <c r="C258" s="26"/>
      <c r="D258" s="27" t="n">
        <f aca="false">SUM(D33)</f>
        <v>0</v>
      </c>
      <c r="E258" s="27"/>
      <c r="F258" s="27"/>
      <c r="G258" s="27"/>
      <c r="H258" s="27"/>
      <c r="I258" s="27" t="n">
        <f aca="false">SUM(I33)</f>
        <v>0</v>
      </c>
      <c r="J258" s="27" t="n">
        <f aca="false">SUM(J33)</f>
        <v>0</v>
      </c>
      <c r="K258" s="27" t="n">
        <f aca="false">SUM(K33)</f>
        <v>0</v>
      </c>
    </row>
    <row r="259" customFormat="false" ht="15" hidden="false" customHeight="false" outlineLevel="0" collapsed="false">
      <c r="A259" s="1" t="s">
        <v>516</v>
      </c>
      <c r="D259" s="28"/>
      <c r="E259" s="28"/>
      <c r="F259" s="28"/>
      <c r="G259" s="21"/>
      <c r="H259" s="21"/>
      <c r="I259" s="21" t="n">
        <f aca="false">SUM(I256:I258)</f>
        <v>404.34398305968</v>
      </c>
      <c r="J259" s="21" t="n">
        <f aca="false">SUM(J256:J258)</f>
        <v>91.0064740582997</v>
      </c>
      <c r="K259" s="21" t="n">
        <f aca="false">SUM(K256:K258)</f>
        <v>495.35045711798</v>
      </c>
    </row>
    <row r="260" customFormat="false" ht="15" hidden="false" customHeight="false" outlineLevel="0" collapsed="false">
      <c r="A260" s="29" t="s">
        <v>517</v>
      </c>
      <c r="D260" s="22" t="n">
        <f aca="false">SUM(D256:D259)</f>
        <v>4143.48000000001</v>
      </c>
      <c r="E260" s="22"/>
    </row>
  </sheetData>
  <autoFilter ref="A6:Q260"/>
  <mergeCells count="4">
    <mergeCell ref="C3:J3"/>
    <mergeCell ref="D4:H4"/>
    <mergeCell ref="I4:J4"/>
    <mergeCell ref="I5:J5"/>
  </mergeCells>
  <hyperlinks>
    <hyperlink ref="C3" r:id="rId1" display="https://www.ecb.europa.eu/stats/policy_and_exchange_rates/euro_reference_exchange_rates/html/index.en.html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Александр Мацегора</dc:creator>
  <dc:description/>
  <dc:language>cs-CZ</dc:language>
  <cp:lastModifiedBy>Ольга Бел</cp:lastModifiedBy>
  <cp:lastPrinted>2021-12-22T13:40:27Z</cp:lastPrinted>
  <dcterms:modified xsi:type="dcterms:W3CDTF">2026-08-05T12:01:21Z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