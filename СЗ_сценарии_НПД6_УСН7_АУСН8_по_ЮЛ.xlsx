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ПД 6%, УСН 7%, АУСН 8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808080"/>
      <sz val="10"/>
    </font>
    <font>
      <name val="Arial"/>
      <b val="1"/>
      <sz val="11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7FB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165" fontId="12" fillId="0" borderId="1" pivotButton="0" quotePrefix="0" xfId="0"/>
    <xf numFmtId="164" fontId="8" fillId="0" borderId="0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5" fontId="4" fillId="5" borderId="1" pivotButton="0" quotePrefix="0" xfId="0"/>
    <xf numFmtId="165" fontId="9" fillId="5" borderId="1" pivotButton="0" quotePrefix="0" xfId="0"/>
    <xf numFmtId="165" fontId="10" fillId="5" borderId="1" pivotButton="0" quotePrefix="0" xfId="0"/>
    <xf numFmtId="165" fontId="11" fillId="5" borderId="1" pivotButton="0" quotePrefix="0" xfId="0"/>
    <xf numFmtId="165" fontId="12" fillId="5" borderId="1" pivotButton="0" quotePrefix="0" xfId="0"/>
    <xf numFmtId="0" fontId="0" fillId="6" borderId="1" pivotButton="0" quotePrefix="0" xfId="0"/>
    <xf numFmtId="0" fontId="3" fillId="6" borderId="1" pivotButton="0" quotePrefix="0" xfId="0"/>
    <xf numFmtId="165" fontId="3" fillId="6" borderId="1" pivotButton="0" quotePrefix="0" xfId="0"/>
    <xf numFmtId="0" fontId="0" fillId="7" borderId="1" pivotButton="0" quotePrefix="0" xfId="0"/>
    <xf numFmtId="0" fontId="13" fillId="7" borderId="1" pivotButton="0" quotePrefix="0" xfId="0"/>
    <xf numFmtId="165" fontId="13" fillId="7" borderId="1" pivotButton="0" quotePrefix="0" xfId="0"/>
    <xf numFmtId="0" fontId="13" fillId="0" borderId="0" pivotButton="0" quotePrefix="0" xfId="0"/>
    <xf numFmtId="0" fontId="3" fillId="8" borderId="1" pivotButton="0" quotePrefix="0" xfId="0"/>
    <xf numFmtId="0" fontId="4" fillId="8" borderId="1" applyAlignment="1" pivotButton="0" quotePrefix="0" xfId="0">
      <alignment horizontal="center"/>
    </xf>
    <xf numFmtId="165" fontId="4" fillId="8" borderId="1" pivotButton="0" quotePrefix="0" xfId="0"/>
    <xf numFmtId="165" fontId="3" fillId="8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7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5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6" customWidth="1" min="15" max="15"/>
    <col width="18" customWidth="1" min="16" max="16"/>
    <col width="16" customWidth="1" min="17" max="17"/>
    <col width="18" customWidth="1" min="18" max="18"/>
    <col width="16" customWidth="1" min="19" max="19"/>
    <col width="18" customWidth="1" min="20" max="20"/>
    <col width="18" customWidth="1" min="21" max="21"/>
    <col width="18" customWidth="1" min="22" max="22"/>
    <col width="18" customWidth="1" min="23" max="23"/>
    <col hidden="1" width="13" customWidth="1" min="25" max="25"/>
  </cols>
  <sheetData>
    <row r="1">
      <c r="A1" s="1" t="inlineStr">
        <is>
          <t>Сравнение режимов: НПД 6% (текущий), ИП на УСН 7%, ИП на АУСН 8%. Те же 20 человек, группировка по юр. лицу</t>
        </is>
      </c>
    </row>
    <row r="2">
      <c r="A2" s="2" t="inlineStr">
        <is>
          <t>Источник данных: таблица «СЗ_длительные_выплаты_по_ЮЛ_2022-2026». Столбцы 2022–2026 — фактическое «Итого к выплате» в режиме НПД, ₽.</t>
        </is>
      </c>
    </row>
    <row r="3">
      <c r="A3" s="2" t="inlineStr">
        <is>
          <t>Отбор тот же: статус «активен», выплаты продолжаются в 2026. Внутри каждого ЮЛ: по стажу по убыванию, далее по общей сумме по убыванию.</t>
        </is>
      </c>
    </row>
    <row r="4">
      <c r="A4" s="3" t="inlineStr">
        <is>
          <t>ДОПУЩЕНИЯ (синие ячейки — можно менять, всё пересчитается):</t>
        </is>
      </c>
    </row>
    <row r="5">
      <c r="B5" s="4" t="inlineStr">
        <is>
          <t>Выплат в 2026 (мес.)</t>
        </is>
      </c>
      <c r="C5" s="5" t="n">
        <v>7</v>
      </c>
      <c r="D5" s="2" t="inlineStr">
        <is>
          <t>← 16.01, 13.02, 13.03, 15.04, 15.05, 15.06, 15.07</t>
        </is>
      </c>
    </row>
    <row r="6">
      <c r="B6" s="4" t="inlineStr">
        <is>
          <t>Ставка НПД (самозанятый)</t>
        </is>
      </c>
      <c r="C6" s="6" t="n">
        <v>0.06</v>
      </c>
      <c r="D6" s="2" t="inlineStr">
        <is>
          <t>← налог сверху: выплата = на руки ÷ (1 − 6%) — действующий режим</t>
        </is>
      </c>
    </row>
    <row r="7">
      <c r="B7" s="4" t="inlineStr">
        <is>
          <t>Ставка УСН «доходы»</t>
        </is>
      </c>
      <c r="C7" s="6" t="n">
        <v>0.07000000000000001</v>
      </c>
      <c r="D7" s="2" t="inlineStr">
        <is>
          <t>← налог сверху: выплата = на руки ÷ (1 − 7%)</t>
        </is>
      </c>
    </row>
    <row r="8">
      <c r="B8" s="4" t="inlineStr">
        <is>
          <t>Ставка АУСН «доходы»</t>
        </is>
      </c>
      <c r="C8" s="6" t="n">
        <v>0.08</v>
      </c>
      <c r="D8" s="2" t="inlineStr">
        <is>
          <t>← налог сверху: выплата = на руки ÷ (1 − 8%)</t>
        </is>
      </c>
    </row>
    <row r="10" ht="48" customHeight="1">
      <c r="A10" s="7" t="inlineStr">
        <is>
          <t>№</t>
        </is>
      </c>
      <c r="B10" s="7" t="inlineStr">
        <is>
          <t>ФИО</t>
        </is>
      </c>
      <c r="C10" s="7" t="inlineStr">
        <is>
          <t>Проект</t>
        </is>
      </c>
      <c r="D10" s="7" t="inlineStr">
        <is>
          <t>ЮЛ</t>
        </is>
      </c>
      <c r="E10" s="7" t="inlineStr">
        <is>
          <t>Статус</t>
        </is>
      </c>
      <c r="F10" s="7" t="inlineStr">
        <is>
          <t>Период выплат</t>
        </is>
      </c>
      <c r="G10" s="7" t="inlineStr">
        <is>
          <t>Лет</t>
        </is>
      </c>
      <c r="H10" s="7" t="inlineStr">
        <is>
          <t>2022</t>
        </is>
      </c>
      <c r="I10" s="7" t="inlineStr">
        <is>
          <t>2023</t>
        </is>
      </c>
      <c r="J10" s="7" t="inlineStr">
        <is>
          <t>2024</t>
        </is>
      </c>
      <c r="K10" s="7" t="inlineStr">
        <is>
          <t>2025</t>
        </is>
      </c>
      <c r="L10" s="7" t="inlineStr">
        <is>
          <t>2026</t>
        </is>
      </c>
      <c r="M10" s="7" t="inlineStr">
        <is>
          <t>Итого 2022–2026</t>
        </is>
      </c>
      <c r="N10" s="7" t="inlineStr">
        <is>
          <t>Среднемес. на руки 2026</t>
        </is>
      </c>
      <c r="O10" s="7" t="inlineStr">
        <is>
          <t>НПД 6%: налог в месяц</t>
        </is>
      </c>
      <c r="P10" s="7" t="inlineStr">
        <is>
          <t>НПД 6%: выплата в месяц</t>
        </is>
      </c>
      <c r="Q10" s="7" t="inlineStr">
        <is>
          <t>УСН 7%: налог в месяц</t>
        </is>
      </c>
      <c r="R10" s="7" t="inlineStr">
        <is>
          <t>УСН 7%: выплата ИП в месяц</t>
        </is>
      </c>
      <c r="S10" s="7" t="inlineStr">
        <is>
          <t>АУСН 8%: налог в месяц</t>
        </is>
      </c>
      <c r="T10" s="7" t="inlineStr">
        <is>
          <t>АУСН 8%: выплата ИП в месяц</t>
        </is>
      </c>
      <c r="U10" s="7" t="inlineStr">
        <is>
          <t>Разница УСН − НПД, в месяц</t>
        </is>
      </c>
      <c r="V10" s="7" t="inlineStr">
        <is>
          <t>Разница АУСН − НПД, в месяц</t>
        </is>
      </c>
      <c r="W10" s="7" t="inlineStr">
        <is>
          <t>Разница АУСН − УСН, в месяц</t>
        </is>
      </c>
    </row>
    <row r="11">
      <c r="A11" s="8" t="inlineStr">
        <is>
          <t>БВ — 15 чел.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s="10" t="n">
        <v>1</v>
      </c>
      <c r="B12" s="11" t="inlineStr">
        <is>
          <t>Глубокая Яна Ярославовна</t>
        </is>
      </c>
      <c r="C12" s="11" t="inlineStr">
        <is>
          <t>ТФМ (ПО)</t>
        </is>
      </c>
      <c r="D12" s="10" t="inlineStr">
        <is>
          <t>БВ</t>
        </is>
      </c>
      <c r="E12" s="10" t="inlineStr">
        <is>
          <t>активен</t>
        </is>
      </c>
      <c r="F12" s="10" t="inlineStr">
        <is>
          <t>2022–2026</t>
        </is>
      </c>
      <c r="G12" s="10" t="n">
        <v>5</v>
      </c>
      <c r="H12" s="12" t="n">
        <v>74734</v>
      </c>
      <c r="I12" s="12" t="n">
        <v>1277373</v>
      </c>
      <c r="J12" s="12" t="n">
        <v>2001199</v>
      </c>
      <c r="K12" s="12" t="n">
        <v>2541224</v>
      </c>
      <c r="L12" s="12" t="n">
        <v>1468449.18</v>
      </c>
      <c r="M12" s="13">
        <f>SUM(H12:L12)</f>
        <v/>
      </c>
      <c r="N12" s="13">
        <f>L12/$C$5*(1-Y12)</f>
        <v/>
      </c>
      <c r="O12" s="14">
        <f>N12/(1-$C$6)-N12</f>
        <v/>
      </c>
      <c r="P12" s="13">
        <f>N12+O12</f>
        <v/>
      </c>
      <c r="Q12" s="14">
        <f>N12/(1-$C$7)-N12</f>
        <v/>
      </c>
      <c r="R12" s="15">
        <f>N12+Q12</f>
        <v/>
      </c>
      <c r="S12" s="14">
        <f>N12/(1-$C$8)-N12</f>
        <v/>
      </c>
      <c r="T12" s="15">
        <f>N12+S12</f>
        <v/>
      </c>
      <c r="U12" s="16">
        <f>R12-P12</f>
        <v/>
      </c>
      <c r="V12" s="16">
        <f>T12-P12</f>
        <v/>
      </c>
      <c r="W12" s="16">
        <f>T12-R12</f>
        <v/>
      </c>
      <c r="Y12" s="17" t="n">
        <v>0.06</v>
      </c>
    </row>
    <row r="13">
      <c r="A13" s="18" t="n">
        <v>2</v>
      </c>
      <c r="B13" s="19" t="inlineStr">
        <is>
          <t>Высочинский Даниил Сергеевич</t>
        </is>
      </c>
      <c r="C13" s="19" t="inlineStr">
        <is>
          <t>ТФМ (ОСП)</t>
        </is>
      </c>
      <c r="D13" s="18" t="inlineStr">
        <is>
          <t>БВ</t>
        </is>
      </c>
      <c r="E13" s="18" t="inlineStr">
        <is>
          <t>активен</t>
        </is>
      </c>
      <c r="F13" s="18" t="inlineStr">
        <is>
          <t>2022–2026</t>
        </is>
      </c>
      <c r="G13" s="18" t="n">
        <v>5</v>
      </c>
      <c r="H13" s="20" t="n">
        <v>43489</v>
      </c>
      <c r="I13" s="20" t="n">
        <v>715306.13</v>
      </c>
      <c r="J13" s="20" t="n">
        <v>1582317</v>
      </c>
      <c r="K13" s="20" t="n">
        <v>1778297</v>
      </c>
      <c r="L13" s="20" t="n">
        <v>1146293</v>
      </c>
      <c r="M13" s="21">
        <f>SUM(H13:L13)</f>
        <v/>
      </c>
      <c r="N13" s="21">
        <f>L13/$C$5*(1-Y13)</f>
        <v/>
      </c>
      <c r="O13" s="22">
        <f>N13/(1-$C$6)-N13</f>
        <v/>
      </c>
      <c r="P13" s="21">
        <f>N13+O13</f>
        <v/>
      </c>
      <c r="Q13" s="22">
        <f>N13/(1-$C$7)-N13</f>
        <v/>
      </c>
      <c r="R13" s="23">
        <f>N13+Q13</f>
        <v/>
      </c>
      <c r="S13" s="22">
        <f>N13/(1-$C$8)-N13</f>
        <v/>
      </c>
      <c r="T13" s="23">
        <f>N13+S13</f>
        <v/>
      </c>
      <c r="U13" s="24">
        <f>R13-P13</f>
        <v/>
      </c>
      <c r="V13" s="24">
        <f>T13-P13</f>
        <v/>
      </c>
      <c r="W13" s="24">
        <f>T13-R13</f>
        <v/>
      </c>
      <c r="Y13" s="17" t="n">
        <v>0.06</v>
      </c>
    </row>
    <row r="14">
      <c r="A14" s="10" t="n">
        <v>3</v>
      </c>
      <c r="B14" s="11" t="inlineStr">
        <is>
          <t>Дроздова Мария Глебовна</t>
        </is>
      </c>
      <c r="C14" s="11" t="inlineStr">
        <is>
          <t>ТФМ (ОСП)</t>
        </is>
      </c>
      <c r="D14" s="10" t="inlineStr">
        <is>
          <t>БВ</t>
        </is>
      </c>
      <c r="E14" s="10" t="inlineStr">
        <is>
          <t>активен</t>
        </is>
      </c>
      <c r="F14" s="10" t="inlineStr">
        <is>
          <t>2022–2026</t>
        </is>
      </c>
      <c r="G14" s="10" t="n">
        <v>5</v>
      </c>
      <c r="H14" s="12" t="n">
        <v>41064</v>
      </c>
      <c r="I14" s="12" t="n">
        <v>637553</v>
      </c>
      <c r="J14" s="12" t="n">
        <v>1442457</v>
      </c>
      <c r="K14" s="12" t="n">
        <v>1784722</v>
      </c>
      <c r="L14" s="12" t="n">
        <v>1222167</v>
      </c>
      <c r="M14" s="13">
        <f>SUM(H14:L14)</f>
        <v/>
      </c>
      <c r="N14" s="13">
        <f>L14/$C$5*(1-Y14)</f>
        <v/>
      </c>
      <c r="O14" s="14">
        <f>N14/(1-$C$6)-N14</f>
        <v/>
      </c>
      <c r="P14" s="13">
        <f>N14+O14</f>
        <v/>
      </c>
      <c r="Q14" s="14">
        <f>N14/(1-$C$7)-N14</f>
        <v/>
      </c>
      <c r="R14" s="15">
        <f>N14+Q14</f>
        <v/>
      </c>
      <c r="S14" s="14">
        <f>N14/(1-$C$8)-N14</f>
        <v/>
      </c>
      <c r="T14" s="15">
        <f>N14+S14</f>
        <v/>
      </c>
      <c r="U14" s="16">
        <f>R14-P14</f>
        <v/>
      </c>
      <c r="V14" s="16">
        <f>T14-P14</f>
        <v/>
      </c>
      <c r="W14" s="16">
        <f>T14-R14</f>
        <v/>
      </c>
      <c r="Y14" s="17" t="n">
        <v>0.06</v>
      </c>
    </row>
    <row r="15">
      <c r="A15" s="18" t="n">
        <v>4</v>
      </c>
      <c r="B15" s="19" t="inlineStr">
        <is>
          <t>Кузьмина Елена Игоревна</t>
        </is>
      </c>
      <c r="C15" s="19" t="inlineStr">
        <is>
          <t>ТФМ (ОСП)</t>
        </is>
      </c>
      <c r="D15" s="18" t="inlineStr">
        <is>
          <t>БВ</t>
        </is>
      </c>
      <c r="E15" s="18" t="inlineStr">
        <is>
          <t>активен</t>
        </is>
      </c>
      <c r="F15" s="18" t="inlineStr">
        <is>
          <t>2022–2026</t>
        </is>
      </c>
      <c r="G15" s="18" t="n">
        <v>5</v>
      </c>
      <c r="H15" s="20" t="n">
        <v>59574</v>
      </c>
      <c r="I15" s="20" t="n">
        <v>100638</v>
      </c>
      <c r="J15" s="20" t="n">
        <v>1253297</v>
      </c>
      <c r="K15" s="20" t="n">
        <v>115745</v>
      </c>
      <c r="L15" s="20" t="n">
        <v>1062722</v>
      </c>
      <c r="M15" s="21">
        <f>SUM(H15:L15)</f>
        <v/>
      </c>
      <c r="N15" s="21">
        <f>L15/$C$5*(1-Y15)</f>
        <v/>
      </c>
      <c r="O15" s="22">
        <f>N15/(1-$C$6)-N15</f>
        <v/>
      </c>
      <c r="P15" s="21">
        <f>N15+O15</f>
        <v/>
      </c>
      <c r="Q15" s="22">
        <f>N15/(1-$C$7)-N15</f>
        <v/>
      </c>
      <c r="R15" s="23">
        <f>N15+Q15</f>
        <v/>
      </c>
      <c r="S15" s="22">
        <f>N15/(1-$C$8)-N15</f>
        <v/>
      </c>
      <c r="T15" s="23">
        <f>N15+S15</f>
        <v/>
      </c>
      <c r="U15" s="24">
        <f>R15-P15</f>
        <v/>
      </c>
      <c r="V15" s="24">
        <f>T15-P15</f>
        <v/>
      </c>
      <c r="W15" s="24">
        <f>T15-R15</f>
        <v/>
      </c>
      <c r="Y15" s="17" t="n">
        <v>0.06</v>
      </c>
    </row>
    <row r="16">
      <c r="A16" s="10" t="n">
        <v>5</v>
      </c>
      <c r="B16" s="11" t="inlineStr">
        <is>
          <t>Гатиатуллина Марина Эдуардовна</t>
        </is>
      </c>
      <c r="C16" s="11" t="inlineStr">
        <is>
          <t>Fansy</t>
        </is>
      </c>
      <c r="D16" s="10" t="inlineStr">
        <is>
          <t>БВ</t>
        </is>
      </c>
      <c r="E16" s="10" t="inlineStr">
        <is>
          <t>активен</t>
        </is>
      </c>
      <c r="F16" s="10" t="inlineStr">
        <is>
          <t>2023–2026</t>
        </is>
      </c>
      <c r="G16" s="10" t="n">
        <v>4</v>
      </c>
      <c r="H16" s="12" t="n">
        <v>0</v>
      </c>
      <c r="I16" s="12" t="n">
        <v>269105.17</v>
      </c>
      <c r="J16" s="12" t="n">
        <v>1743298</v>
      </c>
      <c r="K16" s="12" t="n">
        <v>1991245.01</v>
      </c>
      <c r="L16" s="12" t="n">
        <v>1192011.1</v>
      </c>
      <c r="M16" s="13">
        <f>SUM(H16:L16)</f>
        <v/>
      </c>
      <c r="N16" s="13">
        <f>L16/$C$5*(1-Y16)</f>
        <v/>
      </c>
      <c r="O16" s="14">
        <f>N16/(1-$C$6)-N16</f>
        <v/>
      </c>
      <c r="P16" s="13">
        <f>N16+O16</f>
        <v/>
      </c>
      <c r="Q16" s="14">
        <f>N16/(1-$C$7)-N16</f>
        <v/>
      </c>
      <c r="R16" s="15">
        <f>N16+Q16</f>
        <v/>
      </c>
      <c r="S16" s="14">
        <f>N16/(1-$C$8)-N16</f>
        <v/>
      </c>
      <c r="T16" s="15">
        <f>N16+S16</f>
        <v/>
      </c>
      <c r="U16" s="16">
        <f>R16-P16</f>
        <v/>
      </c>
      <c r="V16" s="16">
        <f>T16-P16</f>
        <v/>
      </c>
      <c r="W16" s="16">
        <f>T16-R16</f>
        <v/>
      </c>
      <c r="Y16" s="17" t="n">
        <v>0.06</v>
      </c>
    </row>
    <row r="17">
      <c r="A17" s="18" t="n">
        <v>6</v>
      </c>
      <c r="B17" s="19" t="inlineStr">
        <is>
          <t>Оглезнева Полина Сергеевна</t>
        </is>
      </c>
      <c r="C17" s="19" t="inlineStr">
        <is>
          <t>ТФМ (ОСП)</t>
        </is>
      </c>
      <c r="D17" s="18" t="inlineStr">
        <is>
          <t>БВ</t>
        </is>
      </c>
      <c r="E17" s="18" t="inlineStr">
        <is>
          <t>активен</t>
        </is>
      </c>
      <c r="F17" s="18" t="inlineStr">
        <is>
          <t>2023–2026</t>
        </is>
      </c>
      <c r="G17" s="18" t="n">
        <v>4</v>
      </c>
      <c r="H17" s="20" t="n">
        <v>0</v>
      </c>
      <c r="I17" s="20" t="n">
        <v>140852</v>
      </c>
      <c r="J17" s="20" t="n">
        <v>205851</v>
      </c>
      <c r="K17" s="20" t="n">
        <v>2326991</v>
      </c>
      <c r="L17" s="20" t="n">
        <v>1574518</v>
      </c>
      <c r="M17" s="21">
        <f>SUM(H17:L17)</f>
        <v/>
      </c>
      <c r="N17" s="21">
        <f>L17/$C$5*(1-Y17)</f>
        <v/>
      </c>
      <c r="O17" s="22">
        <f>N17/(1-$C$6)-N17</f>
        <v/>
      </c>
      <c r="P17" s="21">
        <f>N17+O17</f>
        <v/>
      </c>
      <c r="Q17" s="22">
        <f>N17/(1-$C$7)-N17</f>
        <v/>
      </c>
      <c r="R17" s="23">
        <f>N17+Q17</f>
        <v/>
      </c>
      <c r="S17" s="22">
        <f>N17/(1-$C$8)-N17</f>
        <v/>
      </c>
      <c r="T17" s="23">
        <f>N17+S17</f>
        <v/>
      </c>
      <c r="U17" s="24">
        <f>R17-P17</f>
        <v/>
      </c>
      <c r="V17" s="24">
        <f>T17-P17</f>
        <v/>
      </c>
      <c r="W17" s="24">
        <f>T17-R17</f>
        <v/>
      </c>
      <c r="Y17" s="17" t="n">
        <v>0.06</v>
      </c>
    </row>
    <row r="18">
      <c r="A18" s="10" t="n">
        <v>7</v>
      </c>
      <c r="B18" s="11" t="inlineStr">
        <is>
          <t>Бобрышева Татьяна Сергеевна</t>
        </is>
      </c>
      <c r="C18" s="11" t="inlineStr">
        <is>
          <t>ТФМ (ПО)</t>
        </is>
      </c>
      <c r="D18" s="10" t="inlineStr">
        <is>
          <t>БВ</t>
        </is>
      </c>
      <c r="E18" s="10" t="inlineStr">
        <is>
          <t>активен</t>
        </is>
      </c>
      <c r="F18" s="10" t="inlineStr">
        <is>
          <t>2023–2026</t>
        </is>
      </c>
      <c r="G18" s="10" t="n">
        <v>4</v>
      </c>
      <c r="H18" s="12" t="n">
        <v>0</v>
      </c>
      <c r="I18" s="12" t="n">
        <v>554372.52</v>
      </c>
      <c r="J18" s="12" t="n">
        <v>1016796.76</v>
      </c>
      <c r="K18" s="12" t="n">
        <v>1505710.52</v>
      </c>
      <c r="L18" s="12" t="n">
        <v>1082430.98</v>
      </c>
      <c r="M18" s="13">
        <f>SUM(H18:L18)</f>
        <v/>
      </c>
      <c r="N18" s="13">
        <f>L18/$C$5*(1-Y18)</f>
        <v/>
      </c>
      <c r="O18" s="14">
        <f>N18/(1-$C$6)-N18</f>
        <v/>
      </c>
      <c r="P18" s="13">
        <f>N18+O18</f>
        <v/>
      </c>
      <c r="Q18" s="14">
        <f>N18/(1-$C$7)-N18</f>
        <v/>
      </c>
      <c r="R18" s="15">
        <f>N18+Q18</f>
        <v/>
      </c>
      <c r="S18" s="14">
        <f>N18/(1-$C$8)-N18</f>
        <v/>
      </c>
      <c r="T18" s="15">
        <f>N18+S18</f>
        <v/>
      </c>
      <c r="U18" s="16">
        <f>R18-P18</f>
        <v/>
      </c>
      <c r="V18" s="16">
        <f>T18-P18</f>
        <v/>
      </c>
      <c r="W18" s="16">
        <f>T18-R18</f>
        <v/>
      </c>
      <c r="Y18" s="17" t="n">
        <v>0.06</v>
      </c>
    </row>
    <row r="19">
      <c r="A19" s="18" t="n">
        <v>8</v>
      </c>
      <c r="B19" s="19" t="inlineStr">
        <is>
          <t>Абдуллина Аделина Линаровна</t>
        </is>
      </c>
      <c r="C19" s="19" t="inlineStr">
        <is>
          <t>Fansy</t>
        </is>
      </c>
      <c r="D19" s="18" t="inlineStr">
        <is>
          <t>БВ</t>
        </is>
      </c>
      <c r="E19" s="18" t="inlineStr">
        <is>
          <t>активен</t>
        </is>
      </c>
      <c r="F19" s="18" t="inlineStr">
        <is>
          <t>2023–2026</t>
        </is>
      </c>
      <c r="G19" s="18" t="n">
        <v>4</v>
      </c>
      <c r="H19" s="20" t="n">
        <v>0</v>
      </c>
      <c r="I19" s="20" t="n">
        <v>129104.22</v>
      </c>
      <c r="J19" s="20" t="n">
        <v>690632</v>
      </c>
      <c r="K19" s="20" t="n">
        <v>1072320</v>
      </c>
      <c r="L19" s="20" t="n">
        <v>755000</v>
      </c>
      <c r="M19" s="21">
        <f>SUM(H19:L19)</f>
        <v/>
      </c>
      <c r="N19" s="21">
        <f>L19/$C$5*(1-Y19)</f>
        <v/>
      </c>
      <c r="O19" s="22">
        <f>N19/(1-$C$6)-N19</f>
        <v/>
      </c>
      <c r="P19" s="21">
        <f>N19+O19</f>
        <v/>
      </c>
      <c r="Q19" s="22">
        <f>N19/(1-$C$7)-N19</f>
        <v/>
      </c>
      <c r="R19" s="23">
        <f>N19+Q19</f>
        <v/>
      </c>
      <c r="S19" s="22">
        <f>N19/(1-$C$8)-N19</f>
        <v/>
      </c>
      <c r="T19" s="23">
        <f>N19+S19</f>
        <v/>
      </c>
      <c r="U19" s="24">
        <f>R19-P19</f>
        <v/>
      </c>
      <c r="V19" s="24">
        <f>T19-P19</f>
        <v/>
      </c>
      <c r="W19" s="24">
        <f>T19-R19</f>
        <v/>
      </c>
      <c r="Y19" s="17" t="n">
        <v>0</v>
      </c>
    </row>
    <row r="20">
      <c r="A20" s="10" t="n">
        <v>9</v>
      </c>
      <c r="B20" s="11" t="inlineStr">
        <is>
          <t>Демакова Дарья</t>
        </is>
      </c>
      <c r="C20" s="11" t="inlineStr">
        <is>
          <t>ТХ</t>
        </is>
      </c>
      <c r="D20" s="10" t="inlineStr">
        <is>
          <t>БВ</t>
        </is>
      </c>
      <c r="E20" s="10" t="inlineStr">
        <is>
          <t>активен</t>
        </is>
      </c>
      <c r="F20" s="10" t="inlineStr">
        <is>
          <t>2024–2026</t>
        </is>
      </c>
      <c r="G20" s="10" t="n">
        <v>3</v>
      </c>
      <c r="H20" s="12" t="n">
        <v>0</v>
      </c>
      <c r="I20" s="12" t="n">
        <v>0</v>
      </c>
      <c r="J20" s="12" t="n">
        <v>582823.1800000001</v>
      </c>
      <c r="K20" s="12" t="n">
        <v>1530724</v>
      </c>
      <c r="L20" s="12" t="n">
        <v>1167329</v>
      </c>
      <c r="M20" s="13">
        <f>SUM(H20:L20)</f>
        <v/>
      </c>
      <c r="N20" s="13">
        <f>L20/$C$5*(1-Y20)</f>
        <v/>
      </c>
      <c r="O20" s="14">
        <f>N20/(1-$C$6)-N20</f>
        <v/>
      </c>
      <c r="P20" s="13">
        <f>N20+O20</f>
        <v/>
      </c>
      <c r="Q20" s="14">
        <f>N20/(1-$C$7)-N20</f>
        <v/>
      </c>
      <c r="R20" s="15">
        <f>N20+Q20</f>
        <v/>
      </c>
      <c r="S20" s="14">
        <f>N20/(1-$C$8)-N20</f>
        <v/>
      </c>
      <c r="T20" s="15">
        <f>N20+S20</f>
        <v/>
      </c>
      <c r="U20" s="16">
        <f>R20-P20</f>
        <v/>
      </c>
      <c r="V20" s="16">
        <f>T20-P20</f>
        <v/>
      </c>
      <c r="W20" s="16">
        <f>T20-R20</f>
        <v/>
      </c>
      <c r="Y20" s="17" t="n">
        <v>0.06</v>
      </c>
    </row>
    <row r="21">
      <c r="A21" s="18" t="n">
        <v>10</v>
      </c>
      <c r="B21" s="19" t="inlineStr">
        <is>
          <t>Кузнецова Светлана Дмитриевна</t>
        </is>
      </c>
      <c r="C21" s="19" t="inlineStr">
        <is>
          <t>ТФМ (ПО)</t>
        </is>
      </c>
      <c r="D21" s="18" t="inlineStr">
        <is>
          <t>БВ</t>
        </is>
      </c>
      <c r="E21" s="18" t="inlineStr">
        <is>
          <t>активен</t>
        </is>
      </c>
      <c r="F21" s="18" t="inlineStr">
        <is>
          <t>2024–2026</t>
        </is>
      </c>
      <c r="G21" s="18" t="n">
        <v>3</v>
      </c>
      <c r="H21" s="20" t="n">
        <v>0</v>
      </c>
      <c r="I21" s="20" t="n">
        <v>0</v>
      </c>
      <c r="J21" s="20" t="n">
        <v>1425506.19</v>
      </c>
      <c r="K21" s="20" t="n">
        <v>109043</v>
      </c>
      <c r="L21" s="20" t="n">
        <v>1145357.79</v>
      </c>
      <c r="M21" s="21">
        <f>SUM(H21:L21)</f>
        <v/>
      </c>
      <c r="N21" s="21">
        <f>L21/$C$5*(1-Y21)</f>
        <v/>
      </c>
      <c r="O21" s="22">
        <f>N21/(1-$C$6)-N21</f>
        <v/>
      </c>
      <c r="P21" s="21">
        <f>N21+O21</f>
        <v/>
      </c>
      <c r="Q21" s="22">
        <f>N21/(1-$C$7)-N21</f>
        <v/>
      </c>
      <c r="R21" s="23">
        <f>N21+Q21</f>
        <v/>
      </c>
      <c r="S21" s="22">
        <f>N21/(1-$C$8)-N21</f>
        <v/>
      </c>
      <c r="T21" s="23">
        <f>N21+S21</f>
        <v/>
      </c>
      <c r="U21" s="24">
        <f>R21-P21</f>
        <v/>
      </c>
      <c r="V21" s="24">
        <f>T21-P21</f>
        <v/>
      </c>
      <c r="W21" s="24">
        <f>T21-R21</f>
        <v/>
      </c>
      <c r="Y21" s="17" t="n">
        <v>0.06</v>
      </c>
    </row>
    <row r="22">
      <c r="A22" s="10" t="n">
        <v>11</v>
      </c>
      <c r="B22" s="11" t="inlineStr">
        <is>
          <t>Нуруллина Анжелика Альбертовна</t>
        </is>
      </c>
      <c r="C22" s="11" t="inlineStr">
        <is>
          <t>Fansy</t>
        </is>
      </c>
      <c r="D22" s="10" t="inlineStr">
        <is>
          <t>БВ</t>
        </is>
      </c>
      <c r="E22" s="10" t="inlineStr">
        <is>
          <t>активен</t>
        </is>
      </c>
      <c r="F22" s="10" t="inlineStr">
        <is>
          <t>2024–2026</t>
        </is>
      </c>
      <c r="G22" s="10" t="n">
        <v>3</v>
      </c>
      <c r="H22" s="12" t="n">
        <v>0</v>
      </c>
      <c r="I22" s="12" t="n">
        <v>0</v>
      </c>
      <c r="J22" s="12" t="n">
        <v>338830</v>
      </c>
      <c r="K22" s="12" t="n">
        <v>1331065</v>
      </c>
      <c r="L22" s="12" t="n">
        <v>741701</v>
      </c>
      <c r="M22" s="13">
        <f>SUM(H22:L22)</f>
        <v/>
      </c>
      <c r="N22" s="13">
        <f>L22/$C$5*(1-Y22)</f>
        <v/>
      </c>
      <c r="O22" s="14">
        <f>N22/(1-$C$6)-N22</f>
        <v/>
      </c>
      <c r="P22" s="13">
        <f>N22+O22</f>
        <v/>
      </c>
      <c r="Q22" s="14">
        <f>N22/(1-$C$7)-N22</f>
        <v/>
      </c>
      <c r="R22" s="15">
        <f>N22+Q22</f>
        <v/>
      </c>
      <c r="S22" s="14">
        <f>N22/(1-$C$8)-N22</f>
        <v/>
      </c>
      <c r="T22" s="15">
        <f>N22+S22</f>
        <v/>
      </c>
      <c r="U22" s="16">
        <f>R22-P22</f>
        <v/>
      </c>
      <c r="V22" s="16">
        <f>T22-P22</f>
        <v/>
      </c>
      <c r="W22" s="16">
        <f>T22-R22</f>
        <v/>
      </c>
      <c r="Y22" s="17" t="n">
        <v>0.06</v>
      </c>
    </row>
    <row r="23">
      <c r="A23" s="18" t="n">
        <v>12</v>
      </c>
      <c r="B23" s="19" t="inlineStr">
        <is>
          <t>Тупико Олег Николаевич</t>
        </is>
      </c>
      <c r="C23" s="19" t="inlineStr">
        <is>
          <t>ГК (общие)</t>
        </is>
      </c>
      <c r="D23" s="18" t="inlineStr">
        <is>
          <t>БВ</t>
        </is>
      </c>
      <c r="E23" s="18" t="inlineStr">
        <is>
          <t>активен</t>
        </is>
      </c>
      <c r="F23" s="18" t="inlineStr">
        <is>
          <t>2024–2026</t>
        </is>
      </c>
      <c r="G23" s="18" t="n">
        <v>3</v>
      </c>
      <c r="H23" s="20" t="n">
        <v>0</v>
      </c>
      <c r="I23" s="20" t="n">
        <v>0</v>
      </c>
      <c r="J23" s="20" t="n">
        <v>259907</v>
      </c>
      <c r="K23" s="20" t="n">
        <v>337036</v>
      </c>
      <c r="L23" s="20" t="n">
        <v>1219304</v>
      </c>
      <c r="M23" s="21">
        <f>SUM(H23:L23)</f>
        <v/>
      </c>
      <c r="N23" s="21">
        <f>L23/$C$5*(1-Y23)</f>
        <v/>
      </c>
      <c r="O23" s="22">
        <f>N23/(1-$C$6)-N23</f>
        <v/>
      </c>
      <c r="P23" s="21">
        <f>N23+O23</f>
        <v/>
      </c>
      <c r="Q23" s="22">
        <f>N23/(1-$C$7)-N23</f>
        <v/>
      </c>
      <c r="R23" s="23">
        <f>N23+Q23</f>
        <v/>
      </c>
      <c r="S23" s="22">
        <f>N23/(1-$C$8)-N23</f>
        <v/>
      </c>
      <c r="T23" s="23">
        <f>N23+S23</f>
        <v/>
      </c>
      <c r="U23" s="24">
        <f>R23-P23</f>
        <v/>
      </c>
      <c r="V23" s="24">
        <f>T23-P23</f>
        <v/>
      </c>
      <c r="W23" s="24">
        <f>T23-R23</f>
        <v/>
      </c>
      <c r="Y23" s="17" t="n">
        <v>0.06</v>
      </c>
    </row>
    <row r="24">
      <c r="A24" s="10" t="n">
        <v>13</v>
      </c>
      <c r="B24" s="11" t="inlineStr">
        <is>
          <t>Лукьянова Вера Константиновна</t>
        </is>
      </c>
      <c r="C24" s="11" t="inlineStr">
        <is>
          <t>ТФМ (ПО)</t>
        </is>
      </c>
      <c r="D24" s="10" t="inlineStr">
        <is>
          <t>БВ</t>
        </is>
      </c>
      <c r="E24" s="10" t="inlineStr">
        <is>
          <t>активен</t>
        </is>
      </c>
      <c r="F24" s="10" t="inlineStr">
        <is>
          <t>2024–2026</t>
        </is>
      </c>
      <c r="G24" s="10" t="n">
        <v>3</v>
      </c>
      <c r="H24" s="12" t="n">
        <v>0</v>
      </c>
      <c r="I24" s="12" t="n">
        <v>0</v>
      </c>
      <c r="J24" s="12" t="n">
        <v>141702</v>
      </c>
      <c r="K24" s="12" t="n">
        <v>73617</v>
      </c>
      <c r="L24" s="12" t="n">
        <v>973404</v>
      </c>
      <c r="M24" s="13">
        <f>SUM(H24:L24)</f>
        <v/>
      </c>
      <c r="N24" s="13">
        <f>L24/$C$5*(1-Y24)</f>
        <v/>
      </c>
      <c r="O24" s="14">
        <f>N24/(1-$C$6)-N24</f>
        <v/>
      </c>
      <c r="P24" s="13">
        <f>N24+O24</f>
        <v/>
      </c>
      <c r="Q24" s="14">
        <f>N24/(1-$C$7)-N24</f>
        <v/>
      </c>
      <c r="R24" s="15">
        <f>N24+Q24</f>
        <v/>
      </c>
      <c r="S24" s="14">
        <f>N24/(1-$C$8)-N24</f>
        <v/>
      </c>
      <c r="T24" s="15">
        <f>N24+S24</f>
        <v/>
      </c>
      <c r="U24" s="16">
        <f>R24-P24</f>
        <v/>
      </c>
      <c r="V24" s="16">
        <f>T24-P24</f>
        <v/>
      </c>
      <c r="W24" s="16">
        <f>T24-R24</f>
        <v/>
      </c>
      <c r="Y24" s="17" t="n">
        <v>0.06</v>
      </c>
    </row>
    <row r="25">
      <c r="A25" s="18" t="n">
        <v>14</v>
      </c>
      <c r="B25" s="19" t="inlineStr">
        <is>
          <t>Левашева Анна Алексеевна</t>
        </is>
      </c>
      <c r="C25" s="19" t="inlineStr">
        <is>
          <t>ТФМ (ПО)</t>
        </is>
      </c>
      <c r="D25" s="18" t="inlineStr">
        <is>
          <t>БВ</t>
        </is>
      </c>
      <c r="E25" s="18" t="inlineStr">
        <is>
          <t>активен</t>
        </is>
      </c>
      <c r="F25" s="18" t="inlineStr">
        <is>
          <t>2025–2026</t>
        </is>
      </c>
      <c r="G25" s="18" t="n">
        <v>2</v>
      </c>
      <c r="H25" s="20" t="n">
        <v>0</v>
      </c>
      <c r="I25" s="20" t="n">
        <v>0</v>
      </c>
      <c r="J25" s="20" t="n">
        <v>0</v>
      </c>
      <c r="K25" s="20" t="n">
        <v>798831.01</v>
      </c>
      <c r="L25" s="20" t="n">
        <v>1362100.09</v>
      </c>
      <c r="M25" s="21">
        <f>SUM(H25:L25)</f>
        <v/>
      </c>
      <c r="N25" s="21">
        <f>L25/$C$5*(1-Y25)</f>
        <v/>
      </c>
      <c r="O25" s="22">
        <f>N25/(1-$C$6)-N25</f>
        <v/>
      </c>
      <c r="P25" s="21">
        <f>N25+O25</f>
        <v/>
      </c>
      <c r="Q25" s="22">
        <f>N25/(1-$C$7)-N25</f>
        <v/>
      </c>
      <c r="R25" s="23">
        <f>N25+Q25</f>
        <v/>
      </c>
      <c r="S25" s="22">
        <f>N25/(1-$C$8)-N25</f>
        <v/>
      </c>
      <c r="T25" s="23">
        <f>N25+S25</f>
        <v/>
      </c>
      <c r="U25" s="24">
        <f>R25-P25</f>
        <v/>
      </c>
      <c r="V25" s="24">
        <f>T25-P25</f>
        <v/>
      </c>
      <c r="W25" s="24">
        <f>T25-R25</f>
        <v/>
      </c>
      <c r="Y25" s="17" t="n">
        <v>0.06</v>
      </c>
    </row>
    <row r="26">
      <c r="A26" s="10" t="n">
        <v>15</v>
      </c>
      <c r="B26" s="11" t="inlineStr">
        <is>
          <t>Капустина Вероника Сергеевна</t>
        </is>
      </c>
      <c r="C26" s="11" t="inlineStr">
        <is>
          <t>ТФМ (ОСК)</t>
        </is>
      </c>
      <c r="D26" s="10" t="inlineStr">
        <is>
          <t>БВ</t>
        </is>
      </c>
      <c r="E26" s="10" t="inlineStr">
        <is>
          <t>активен</t>
        </is>
      </c>
      <c r="F26" s="10" t="inlineStr">
        <is>
          <t>2025–2026</t>
        </is>
      </c>
      <c r="G26" s="10" t="n">
        <v>2</v>
      </c>
      <c r="H26" s="12" t="n">
        <v>0</v>
      </c>
      <c r="I26" s="12" t="n">
        <v>0</v>
      </c>
      <c r="J26" s="12" t="n">
        <v>0</v>
      </c>
      <c r="K26" s="12" t="n">
        <v>214440.3</v>
      </c>
      <c r="L26" s="12" t="n">
        <v>1228052.73</v>
      </c>
      <c r="M26" s="13">
        <f>SUM(H26:L26)</f>
        <v/>
      </c>
      <c r="N26" s="13">
        <f>L26/$C$5*(1-Y26)</f>
        <v/>
      </c>
      <c r="O26" s="14">
        <f>N26/(1-$C$6)-N26</f>
        <v/>
      </c>
      <c r="P26" s="13">
        <f>N26+O26</f>
        <v/>
      </c>
      <c r="Q26" s="14">
        <f>N26/(1-$C$7)-N26</f>
        <v/>
      </c>
      <c r="R26" s="15">
        <f>N26+Q26</f>
        <v/>
      </c>
      <c r="S26" s="14">
        <f>N26/(1-$C$8)-N26</f>
        <v/>
      </c>
      <c r="T26" s="15">
        <f>N26+S26</f>
        <v/>
      </c>
      <c r="U26" s="16">
        <f>R26-P26</f>
        <v/>
      </c>
      <c r="V26" s="16">
        <f>T26-P26</f>
        <v/>
      </c>
      <c r="W26" s="16">
        <f>T26-R26</f>
        <v/>
      </c>
      <c r="Y26" s="17" t="n">
        <v>0.06</v>
      </c>
    </row>
    <row r="27">
      <c r="A27" s="25" t="n"/>
      <c r="B27" s="26" t="inlineStr">
        <is>
          <t>Итого БВ</t>
        </is>
      </c>
      <c r="C27" s="25" t="n"/>
      <c r="D27" s="25" t="n"/>
      <c r="E27" s="25" t="n"/>
      <c r="F27" s="25" t="n"/>
      <c r="G27" s="25" t="n"/>
      <c r="H27" s="27">
        <f>SUM(H12:H26)</f>
        <v/>
      </c>
      <c r="I27" s="27">
        <f>SUM(I12:I26)</f>
        <v/>
      </c>
      <c r="J27" s="27">
        <f>SUM(J12:J26)</f>
        <v/>
      </c>
      <c r="K27" s="27">
        <f>SUM(K12:K26)</f>
        <v/>
      </c>
      <c r="L27" s="27">
        <f>SUM(L12:L26)</f>
        <v/>
      </c>
      <c r="M27" s="27">
        <f>SUM(M12:M26)</f>
        <v/>
      </c>
      <c r="N27" s="27">
        <f>SUM(N12:N26)</f>
        <v/>
      </c>
      <c r="O27" s="27">
        <f>SUM(O12:O26)</f>
        <v/>
      </c>
      <c r="P27" s="27">
        <f>SUM(P12:P26)</f>
        <v/>
      </c>
      <c r="Q27" s="27">
        <f>SUM(Q12:Q26)</f>
        <v/>
      </c>
      <c r="R27" s="27">
        <f>SUM(R12:R26)</f>
        <v/>
      </c>
      <c r="S27" s="27">
        <f>SUM(S12:S26)</f>
        <v/>
      </c>
      <c r="T27" s="27">
        <f>SUM(T12:T26)</f>
        <v/>
      </c>
      <c r="U27" s="27">
        <f>SUM(U12:U26)</f>
        <v/>
      </c>
      <c r="V27" s="27">
        <f>SUM(V12:V26)</f>
        <v/>
      </c>
      <c r="W27" s="27">
        <f>SUM(W12:W26)</f>
        <v/>
      </c>
    </row>
    <row r="29">
      <c r="A29" s="8" t="inlineStr">
        <is>
          <t>АС — 4 чел.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10" t="n">
        <v>16</v>
      </c>
      <c r="B30" s="11" t="inlineStr">
        <is>
          <t>Грудинин Алексей Сергеевич</t>
        </is>
      </c>
      <c r="C30" s="11" t="inlineStr">
        <is>
          <t>ТФМ (ПО)</t>
        </is>
      </c>
      <c r="D30" s="10" t="inlineStr">
        <is>
          <t>АС</t>
        </is>
      </c>
      <c r="E30" s="10" t="inlineStr">
        <is>
          <t>активен</t>
        </is>
      </c>
      <c r="F30" s="10" t="inlineStr">
        <is>
          <t>2022–2026</t>
        </is>
      </c>
      <c r="G30" s="10" t="n">
        <v>5</v>
      </c>
      <c r="H30" s="12" t="n">
        <v>267577.88</v>
      </c>
      <c r="I30" s="12" t="n">
        <v>960405.97</v>
      </c>
      <c r="J30" s="12" t="n">
        <v>1372957.36</v>
      </c>
      <c r="K30" s="12" t="n">
        <v>1558585.08</v>
      </c>
      <c r="L30" s="12" t="n">
        <v>938053.12</v>
      </c>
      <c r="M30" s="13">
        <f>SUM(H30:L30)</f>
        <v/>
      </c>
      <c r="N30" s="13">
        <f>L30/$C$5*(1-Y30)</f>
        <v/>
      </c>
      <c r="O30" s="14">
        <f>N30/(1-$C$6)-N30</f>
        <v/>
      </c>
      <c r="P30" s="13">
        <f>N30+O30</f>
        <v/>
      </c>
      <c r="Q30" s="14">
        <f>N30/(1-$C$7)-N30</f>
        <v/>
      </c>
      <c r="R30" s="15">
        <f>N30+Q30</f>
        <v/>
      </c>
      <c r="S30" s="14">
        <f>N30/(1-$C$8)-N30</f>
        <v/>
      </c>
      <c r="T30" s="15">
        <f>N30+S30</f>
        <v/>
      </c>
      <c r="U30" s="16">
        <f>R30-P30</f>
        <v/>
      </c>
      <c r="V30" s="16">
        <f>T30-P30</f>
        <v/>
      </c>
      <c r="W30" s="16">
        <f>T30-R30</f>
        <v/>
      </c>
      <c r="Y30" s="17" t="n">
        <v>0.06</v>
      </c>
    </row>
    <row r="31">
      <c r="A31" s="18" t="n">
        <v>17</v>
      </c>
      <c r="B31" s="19" t="inlineStr">
        <is>
          <t>Репетенко Инна Эдуардовна</t>
        </is>
      </c>
      <c r="C31" s="19" t="inlineStr">
        <is>
          <t>ТФМ (ОРБ)</t>
        </is>
      </c>
      <c r="D31" s="18" t="inlineStr">
        <is>
          <t>АС</t>
        </is>
      </c>
      <c r="E31" s="18" t="inlineStr">
        <is>
          <t>активен</t>
        </is>
      </c>
      <c r="F31" s="18" t="inlineStr">
        <is>
          <t>2022–2026</t>
        </is>
      </c>
      <c r="G31" s="18" t="n">
        <v>5</v>
      </c>
      <c r="H31" s="20" t="n">
        <v>112190</v>
      </c>
      <c r="I31" s="20" t="n">
        <v>246600</v>
      </c>
      <c r="J31" s="20" t="n">
        <v>415655.93</v>
      </c>
      <c r="K31" s="20" t="n">
        <v>142973.52</v>
      </c>
      <c r="L31" s="20" t="n">
        <v>905821.35</v>
      </c>
      <c r="M31" s="21">
        <f>SUM(H31:L31)</f>
        <v/>
      </c>
      <c r="N31" s="21">
        <f>L31/$C$5*(1-Y31)</f>
        <v/>
      </c>
      <c r="O31" s="22">
        <f>N31/(1-$C$6)-N31</f>
        <v/>
      </c>
      <c r="P31" s="21">
        <f>N31+O31</f>
        <v/>
      </c>
      <c r="Q31" s="22">
        <f>N31/(1-$C$7)-N31</f>
        <v/>
      </c>
      <c r="R31" s="23">
        <f>N31+Q31</f>
        <v/>
      </c>
      <c r="S31" s="22">
        <f>N31/(1-$C$8)-N31</f>
        <v/>
      </c>
      <c r="T31" s="23">
        <f>N31+S31</f>
        <v/>
      </c>
      <c r="U31" s="24">
        <f>R31-P31</f>
        <v/>
      </c>
      <c r="V31" s="24">
        <f>T31-P31</f>
        <v/>
      </c>
      <c r="W31" s="24">
        <f>T31-R31</f>
        <v/>
      </c>
      <c r="Y31" s="17" t="n">
        <v>0.06</v>
      </c>
    </row>
    <row r="32">
      <c r="A32" s="10" t="n">
        <v>18</v>
      </c>
      <c r="B32" s="11" t="inlineStr">
        <is>
          <t>Жиркова Валентина Александровна</t>
        </is>
      </c>
      <c r="C32" s="11" t="inlineStr">
        <is>
          <t>ТФМ (ПО)</t>
        </is>
      </c>
      <c r="D32" s="10" t="inlineStr">
        <is>
          <t>АС</t>
        </is>
      </c>
      <c r="E32" s="10" t="inlineStr">
        <is>
          <t>активен</t>
        </is>
      </c>
      <c r="F32" s="10" t="inlineStr">
        <is>
          <t>2023–2026</t>
        </is>
      </c>
      <c r="G32" s="10" t="n">
        <v>4</v>
      </c>
      <c r="H32" s="12" t="n">
        <v>0</v>
      </c>
      <c r="I32" s="12" t="n">
        <v>257222.24</v>
      </c>
      <c r="J32" s="12" t="n">
        <v>1497661</v>
      </c>
      <c r="K32" s="12" t="n">
        <v>2201639.5</v>
      </c>
      <c r="L32" s="12" t="n">
        <v>1656517.19</v>
      </c>
      <c r="M32" s="13">
        <f>SUM(H32:L32)</f>
        <v/>
      </c>
      <c r="N32" s="13">
        <f>L32/$C$5*(1-Y32)</f>
        <v/>
      </c>
      <c r="O32" s="14">
        <f>N32/(1-$C$6)-N32</f>
        <v/>
      </c>
      <c r="P32" s="13">
        <f>N32+O32</f>
        <v/>
      </c>
      <c r="Q32" s="14">
        <f>N32/(1-$C$7)-N32</f>
        <v/>
      </c>
      <c r="R32" s="15">
        <f>N32+Q32</f>
        <v/>
      </c>
      <c r="S32" s="14">
        <f>N32/(1-$C$8)-N32</f>
        <v/>
      </c>
      <c r="T32" s="15">
        <f>N32+S32</f>
        <v/>
      </c>
      <c r="U32" s="16">
        <f>R32-P32</f>
        <v/>
      </c>
      <c r="V32" s="16">
        <f>T32-P32</f>
        <v/>
      </c>
      <c r="W32" s="16">
        <f>T32-R32</f>
        <v/>
      </c>
      <c r="Y32" s="17" t="n">
        <v>0.06</v>
      </c>
    </row>
    <row r="33">
      <c r="A33" s="18" t="n">
        <v>19</v>
      </c>
      <c r="B33" s="19" t="inlineStr">
        <is>
          <t>Возмищева Ксения Дмитриевна</t>
        </is>
      </c>
      <c r="C33" s="19" t="inlineStr">
        <is>
          <t>ТФМ (ОРБ)</t>
        </is>
      </c>
      <c r="D33" s="18" t="inlineStr">
        <is>
          <t>АС</t>
        </is>
      </c>
      <c r="E33" s="18" t="inlineStr">
        <is>
          <t>активен</t>
        </is>
      </c>
      <c r="F33" s="18" t="inlineStr">
        <is>
          <t>2024–2026</t>
        </is>
      </c>
      <c r="G33" s="18" t="n">
        <v>3</v>
      </c>
      <c r="H33" s="20" t="n">
        <v>0</v>
      </c>
      <c r="I33" s="20" t="n">
        <v>0</v>
      </c>
      <c r="J33" s="20" t="n">
        <v>333311.66</v>
      </c>
      <c r="K33" s="20" t="n">
        <v>1347175.74</v>
      </c>
      <c r="L33" s="20" t="n">
        <v>1267879.25</v>
      </c>
      <c r="M33" s="21">
        <f>SUM(H33:L33)</f>
        <v/>
      </c>
      <c r="N33" s="21">
        <f>L33/$C$5*(1-Y33)</f>
        <v/>
      </c>
      <c r="O33" s="22">
        <f>N33/(1-$C$6)-N33</f>
        <v/>
      </c>
      <c r="P33" s="21">
        <f>N33+O33</f>
        <v/>
      </c>
      <c r="Q33" s="22">
        <f>N33/(1-$C$7)-N33</f>
        <v/>
      </c>
      <c r="R33" s="23">
        <f>N33+Q33</f>
        <v/>
      </c>
      <c r="S33" s="22">
        <f>N33/(1-$C$8)-N33</f>
        <v/>
      </c>
      <c r="T33" s="23">
        <f>N33+S33</f>
        <v/>
      </c>
      <c r="U33" s="24">
        <f>R33-P33</f>
        <v/>
      </c>
      <c r="V33" s="24">
        <f>T33-P33</f>
        <v/>
      </c>
      <c r="W33" s="24">
        <f>T33-R33</f>
        <v/>
      </c>
      <c r="Y33" s="17" t="n">
        <v>0.06</v>
      </c>
    </row>
    <row r="34">
      <c r="A34" s="25" t="n"/>
      <c r="B34" s="26" t="inlineStr">
        <is>
          <t>Итого АС</t>
        </is>
      </c>
      <c r="C34" s="25" t="n"/>
      <c r="D34" s="25" t="n"/>
      <c r="E34" s="25" t="n"/>
      <c r="F34" s="25" t="n"/>
      <c r="G34" s="25" t="n"/>
      <c r="H34" s="27">
        <f>SUM(H30:H33)</f>
        <v/>
      </c>
      <c r="I34" s="27">
        <f>SUM(I30:I33)</f>
        <v/>
      </c>
      <c r="J34" s="27">
        <f>SUM(J30:J33)</f>
        <v/>
      </c>
      <c r="K34" s="27">
        <f>SUM(K30:K33)</f>
        <v/>
      </c>
      <c r="L34" s="27">
        <f>SUM(L30:L33)</f>
        <v/>
      </c>
      <c r="M34" s="27">
        <f>SUM(M30:M33)</f>
        <v/>
      </c>
      <c r="N34" s="27">
        <f>SUM(N30:N33)</f>
        <v/>
      </c>
      <c r="O34" s="27">
        <f>SUM(O30:O33)</f>
        <v/>
      </c>
      <c r="P34" s="27">
        <f>SUM(P30:P33)</f>
        <v/>
      </c>
      <c r="Q34" s="27">
        <f>SUM(Q30:Q33)</f>
        <v/>
      </c>
      <c r="R34" s="27">
        <f>SUM(R30:R33)</f>
        <v/>
      </c>
      <c r="S34" s="27">
        <f>SUM(S30:S33)</f>
        <v/>
      </c>
      <c r="T34" s="27">
        <f>SUM(T30:T33)</f>
        <v/>
      </c>
      <c r="U34" s="27">
        <f>SUM(U30:U33)</f>
        <v/>
      </c>
      <c r="V34" s="27">
        <f>SUM(V30:V33)</f>
        <v/>
      </c>
      <c r="W34" s="27">
        <f>SUM(W30:W33)</f>
        <v/>
      </c>
    </row>
    <row r="36">
      <c r="A36" s="8" t="inlineStr">
        <is>
          <t>ИП МТ — 1 чел.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>
      <c r="A37" s="10" t="n">
        <v>20</v>
      </c>
      <c r="B37" s="11" t="inlineStr">
        <is>
          <t>Злобин Николай Алексеевич</t>
        </is>
      </c>
      <c r="C37" s="11" t="inlineStr">
        <is>
          <t>Fansy</t>
        </is>
      </c>
      <c r="D37" s="10" t="inlineStr">
        <is>
          <t>ИП МТ</t>
        </is>
      </c>
      <c r="E37" s="10" t="inlineStr">
        <is>
          <t>активен</t>
        </is>
      </c>
      <c r="F37" s="10" t="inlineStr">
        <is>
          <t>2023–2026</t>
        </is>
      </c>
      <c r="G37" s="10" t="n">
        <v>4</v>
      </c>
      <c r="H37" s="12" t="n">
        <v>0</v>
      </c>
      <c r="I37" s="12" t="n">
        <v>231383</v>
      </c>
      <c r="J37" s="12" t="n">
        <v>2343163.34</v>
      </c>
      <c r="K37" s="12" t="n">
        <v>2601170</v>
      </c>
      <c r="L37" s="12" t="n">
        <v>1832861.81</v>
      </c>
      <c r="M37" s="13">
        <f>SUM(H37:L37)</f>
        <v/>
      </c>
      <c r="N37" s="13">
        <f>L37/$C$5*(1-Y37)</f>
        <v/>
      </c>
      <c r="O37" s="14">
        <f>N37/(1-$C$6)-N37</f>
        <v/>
      </c>
      <c r="P37" s="13">
        <f>N37+O37</f>
        <v/>
      </c>
      <c r="Q37" s="14">
        <f>N37/(1-$C$7)-N37</f>
        <v/>
      </c>
      <c r="R37" s="15">
        <f>N37+Q37</f>
        <v/>
      </c>
      <c r="S37" s="14">
        <f>N37/(1-$C$8)-N37</f>
        <v/>
      </c>
      <c r="T37" s="15">
        <f>N37+S37</f>
        <v/>
      </c>
      <c r="U37" s="16">
        <f>R37-P37</f>
        <v/>
      </c>
      <c r="V37" s="16">
        <f>T37-P37</f>
        <v/>
      </c>
      <c r="W37" s="16">
        <f>T37-R37</f>
        <v/>
      </c>
      <c r="Y37" s="17" t="n">
        <v>0.06</v>
      </c>
    </row>
    <row r="38">
      <c r="A38" s="25" t="n"/>
      <c r="B38" s="26" t="inlineStr">
        <is>
          <t>Итого ИП МТ</t>
        </is>
      </c>
      <c r="C38" s="25" t="n"/>
      <c r="D38" s="25" t="n"/>
      <c r="E38" s="25" t="n"/>
      <c r="F38" s="25" t="n"/>
      <c r="G38" s="25" t="n"/>
      <c r="H38" s="27">
        <f>SUM(H37:H37)</f>
        <v/>
      </c>
      <c r="I38" s="27">
        <f>SUM(I37:I37)</f>
        <v/>
      </c>
      <c r="J38" s="27">
        <f>SUM(J37:J37)</f>
        <v/>
      </c>
      <c r="K38" s="27">
        <f>SUM(K37:K37)</f>
        <v/>
      </c>
      <c r="L38" s="27">
        <f>SUM(L37:L37)</f>
        <v/>
      </c>
      <c r="M38" s="27">
        <f>SUM(M37:M37)</f>
        <v/>
      </c>
      <c r="N38" s="27">
        <f>SUM(N37:N37)</f>
        <v/>
      </c>
      <c r="O38" s="27">
        <f>SUM(O37:O37)</f>
        <v/>
      </c>
      <c r="P38" s="27">
        <f>SUM(P37:P37)</f>
        <v/>
      </c>
      <c r="Q38" s="27">
        <f>SUM(Q37:Q37)</f>
        <v/>
      </c>
      <c r="R38" s="27">
        <f>SUM(R37:R37)</f>
        <v/>
      </c>
      <c r="S38" s="27">
        <f>SUM(S37:S37)</f>
        <v/>
      </c>
      <c r="T38" s="27">
        <f>SUM(T37:T37)</f>
        <v/>
      </c>
      <c r="U38" s="27">
        <f>SUM(U37:U37)</f>
        <v/>
      </c>
      <c r="V38" s="27">
        <f>SUM(V37:V37)</f>
        <v/>
      </c>
      <c r="W38" s="27">
        <f>SUM(W37:W37)</f>
        <v/>
      </c>
    </row>
    <row r="40">
      <c r="A40" s="28" t="n"/>
      <c r="B40" s="29" t="inlineStr">
        <is>
          <t>ВСЕГО (20 чел.)</t>
        </is>
      </c>
      <c r="C40" s="28" t="n"/>
      <c r="D40" s="28" t="n"/>
      <c r="E40" s="28" t="n"/>
      <c r="F40" s="28" t="n"/>
      <c r="G40" s="28" t="n"/>
      <c r="H40" s="30">
        <f>H27+H34+H38</f>
        <v/>
      </c>
      <c r="I40" s="30">
        <f>I27+I34+I38</f>
        <v/>
      </c>
      <c r="J40" s="30">
        <f>J27+J34+J38</f>
        <v/>
      </c>
      <c r="K40" s="30">
        <f>K27+K34+K38</f>
        <v/>
      </c>
      <c r="L40" s="30">
        <f>L27+L34+L38</f>
        <v/>
      </c>
      <c r="M40" s="30">
        <f>M27+M34+M38</f>
        <v/>
      </c>
      <c r="N40" s="30">
        <f>N27+N34+N38</f>
        <v/>
      </c>
      <c r="O40" s="30">
        <f>O27+O34+O38</f>
        <v/>
      </c>
      <c r="P40" s="30">
        <f>P27+P34+P38</f>
        <v/>
      </c>
      <c r="Q40" s="30">
        <f>Q27+Q34+Q38</f>
        <v/>
      </c>
      <c r="R40" s="30">
        <f>R27+R34+R38</f>
        <v/>
      </c>
      <c r="S40" s="30">
        <f>S27+S34+S38</f>
        <v/>
      </c>
      <c r="T40" s="30">
        <f>T27+T34+T38</f>
        <v/>
      </c>
      <c r="U40" s="30">
        <f>U27+U34+U38</f>
        <v/>
      </c>
      <c r="V40" s="30">
        <f>V27+V34+V38</f>
        <v/>
      </c>
      <c r="W40" s="30">
        <f>W27+W34+W38</f>
        <v/>
      </c>
    </row>
    <row r="42">
      <c r="A42" s="31" t="inlineStr">
        <is>
          <t>ПЛАНИРОВАНИЕ</t>
        </is>
      </c>
    </row>
    <row r="43" ht="32" customHeight="1">
      <c r="A43" s="7" t="inlineStr">
        <is>
          <t>Юр. лицо</t>
        </is>
      </c>
      <c r="B43" s="7" t="inlineStr">
        <is>
          <t>Чел.</t>
        </is>
      </c>
      <c r="C43" s="7" t="inlineStr">
        <is>
          <t>НПД 6%: в месяц</t>
        </is>
      </c>
      <c r="D43" s="7" t="inlineStr">
        <is>
          <t>НПД 6%: 12 мес.</t>
        </is>
      </c>
      <c r="E43" s="7" t="inlineStr">
        <is>
          <t>УСН 7%: в месяц</t>
        </is>
      </c>
      <c r="F43" s="7" t="inlineStr">
        <is>
          <t>УСН 7%: 12 мес.</t>
        </is>
      </c>
      <c r="G43" s="7" t="inlineStr">
        <is>
          <t>АУСН 8%: в месяц</t>
        </is>
      </c>
      <c r="H43" s="7" t="inlineStr">
        <is>
          <t>АУСН 8%: 12 мес.</t>
        </is>
      </c>
      <c r="I43" s="7" t="inlineStr">
        <is>
          <t>УСН − НПД за год</t>
        </is>
      </c>
      <c r="J43" s="7" t="inlineStr">
        <is>
          <t>АУСН − НПД за год</t>
        </is>
      </c>
    </row>
    <row r="44">
      <c r="A44" s="32" t="inlineStr">
        <is>
          <t>БВ</t>
        </is>
      </c>
      <c r="B44" s="33" t="n">
        <v>15</v>
      </c>
      <c r="C44" s="34">
        <f>P27</f>
        <v/>
      </c>
      <c r="D44" s="35">
        <f>P27*12</f>
        <v/>
      </c>
      <c r="E44" s="34">
        <f>R27</f>
        <v/>
      </c>
      <c r="F44" s="35">
        <f>R27*12</f>
        <v/>
      </c>
      <c r="G44" s="34">
        <f>T27</f>
        <v/>
      </c>
      <c r="H44" s="35">
        <f>T27*12</f>
        <v/>
      </c>
      <c r="I44" s="35">
        <f>U27*12</f>
        <v/>
      </c>
      <c r="J44" s="35">
        <f>V27*12</f>
        <v/>
      </c>
    </row>
    <row r="45">
      <c r="A45" s="32" t="inlineStr">
        <is>
          <t>АС</t>
        </is>
      </c>
      <c r="B45" s="33" t="n">
        <v>4</v>
      </c>
      <c r="C45" s="34">
        <f>P34</f>
        <v/>
      </c>
      <c r="D45" s="35">
        <f>P34*12</f>
        <v/>
      </c>
      <c r="E45" s="34">
        <f>R34</f>
        <v/>
      </c>
      <c r="F45" s="35">
        <f>R34*12</f>
        <v/>
      </c>
      <c r="G45" s="34">
        <f>T34</f>
        <v/>
      </c>
      <c r="H45" s="35">
        <f>T34*12</f>
        <v/>
      </c>
      <c r="I45" s="35">
        <f>U34*12</f>
        <v/>
      </c>
      <c r="J45" s="35">
        <f>V34*12</f>
        <v/>
      </c>
    </row>
    <row r="46">
      <c r="A46" s="32" t="inlineStr">
        <is>
          <t>ИП МТ</t>
        </is>
      </c>
      <c r="B46" s="33" t="n">
        <v>1</v>
      </c>
      <c r="C46" s="34">
        <f>P38</f>
        <v/>
      </c>
      <c r="D46" s="35">
        <f>P38*12</f>
        <v/>
      </c>
      <c r="E46" s="34">
        <f>R38</f>
        <v/>
      </c>
      <c r="F46" s="35">
        <f>R38*12</f>
        <v/>
      </c>
      <c r="G46" s="34">
        <f>T38</f>
        <v/>
      </c>
      <c r="H46" s="35">
        <f>T38*12</f>
        <v/>
      </c>
      <c r="I46" s="35">
        <f>U38*12</f>
        <v/>
      </c>
      <c r="J46" s="35">
        <f>V38*12</f>
        <v/>
      </c>
    </row>
    <row r="47">
      <c r="A47" s="36" t="inlineStr">
        <is>
          <t>ИТОГО</t>
        </is>
      </c>
      <c r="B47" s="37" t="n">
        <v>20</v>
      </c>
      <c r="C47" s="38">
        <f>P40</f>
        <v/>
      </c>
      <c r="D47" s="38">
        <f>P40*12</f>
        <v/>
      </c>
      <c r="E47" s="38">
        <f>R40</f>
        <v/>
      </c>
      <c r="F47" s="38">
        <f>R40*12</f>
        <v/>
      </c>
      <c r="G47" s="38">
        <f>T40</f>
        <v/>
      </c>
      <c r="H47" s="38">
        <f>T40*12</f>
        <v/>
      </c>
      <c r="I47" s="38">
        <f>U40*12</f>
        <v/>
      </c>
      <c r="J47" s="38">
        <f>V40*12</f>
        <v/>
      </c>
    </row>
    <row r="49">
      <c r="A49" s="39" t="inlineStr">
        <is>
          <t>Примечания</t>
        </is>
      </c>
    </row>
    <row r="50">
      <c r="A50" s="2" t="inlineStr">
        <is>
          <t>1. Сценарии гипотетические: те же люди и те же суммы «на руки», но выплаты оформляются как ИП — на УСН «доходы» 7% либо на АУСН «доходы» 8%, вместо действующего режима НПД.</t>
        </is>
      </c>
    </row>
    <row r="51">
      <c r="A51" s="2" t="inlineStr">
        <is>
          <t>2. База «Среднемес. на руки 2026» перенесена из предыдущей таблицы: «Итого 2026» ÷ 7 × (1 − фактическая ставка НПД). Фактическая ставка по каждому — в скрытом столбце Y.</t>
        </is>
      </c>
    </row>
    <row r="52">
      <c r="A52" s="2" t="inlineStr">
        <is>
          <t>3. Налог считается сверху, чтобы человек получил ту же сумму на руки: выплата = на руки ÷ (1 − ставка); налог = выплата − на руки.</t>
        </is>
      </c>
    </row>
    <row r="53">
      <c r="A53" s="2" t="inlineStr">
        <is>
          <t>4. Столбцы 2022–2026 и «Итого 2022–2026» оставлены как есть — это фактические данные исходника в режиме НПД, они не пересчитываются под сценарии.</t>
        </is>
      </c>
    </row>
    <row r="54">
      <c r="A54" s="2" t="inlineStr">
        <is>
          <t>5. Столбец «НПД 6%» — действующий режим, приведён для сравнения. У 19 человек он совпадает с фактической выплатой 2026 года. Исключение — Абдуллина: её фактическая ставка НПД 0%, поэтому в реальности она получает 107 857 ₽, а не 114 742 ₽; в столбце показан расчёт по единой ставке 6% для сопоставимости.</t>
        </is>
      </c>
    </row>
    <row r="55">
      <c r="A55" s="2" t="inlineStr">
        <is>
          <t>6. Комиссия платформы 4dev (3%) и сбор ЮЛ Сингапура (2,5%) в этом расчёте не участвуют по условию задачи.</t>
        </is>
      </c>
    </row>
    <row r="56">
      <c r="A56" s="2" t="inlineStr">
        <is>
          <t>7. Ключевое отличие режимов: на УСН ИП дополнительно платит страховые взносы за себя (фиксированные + 1% с дохода свыше 300 000 ₽); на АУСН страховые взносы за себя не уплачиваются. В этой таблице взносы не показаны — учитывайте их отдельно при сравнении.</t>
        </is>
      </c>
    </row>
    <row r="57">
      <c r="A57" s="2" t="inlineStr">
        <is>
          <t>8. У АУСН есть ограничения: лимит дохода, численность до 5 человек, обязательный расчётный счёт в уполномоченном банке, режим доступен не во всех регионах. Применимость нужно проверять по каждому ИП.</t>
        </is>
      </c>
    </row>
    <row r="58">
      <c r="A58" s="2" t="inlineStr">
        <is>
          <t>9. Ставки НПД, УСН и АУСН — в ячейках C6, C7 и C8. При изменении любой из них пересчитывается вся таблица и блок планирования.</t>
        </is>
      </c>
    </row>
    <row r="59">
      <c r="A59" s="2" t="inlineStr">
        <is>
          <t>10. Левашева и Капустина получают выплаты 2 года (2025–2026) — под критерий «более 2 лет» не подходят, включены по отдельной просьбе.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2026-07-31T11:17:44Z</dcterms:created>
  <dcterms:modified xsi:type="dcterms:W3CDTF">2026-07-31T11:17:44Z</dcterms:modified>
</cp:coreProperties>
</file>