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ка" sheetId="1" state="visible" r:id="rId3"/>
    <sheet name="Суммы" sheetId="2" state="visible" r:id="rId4"/>
    <sheet name="Даты" sheetId="3" state="visible" r:id="rId5"/>
    <sheet name="Склады" sheetId="4" state="visible" r:id="rId6"/>
    <sheet name="Комментарии" sheetId="5" state="visible" r:id="rId7"/>
    <sheet name="Только в УНФ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<sst xmlns="http://schemas.openxmlformats.org/spreadsheetml/2006/main" count="122" uniqueCount="92">
  <si>
    <t xml:space="preserve">Сверка поступлений: Бухгалтерия vs УНФ</t>
  </si>
  <si>
    <t xml:space="preserve">Показатель</t>
  </si>
  <si>
    <t xml:space="preserve">Кол-во</t>
  </si>
  <si>
    <t xml:space="preserve">Где смотреть</t>
  </si>
  <si>
    <t xml:space="preserve">Строк в файле «бух.xls» (512c9963)</t>
  </si>
  <si>
    <t xml:space="preserve">Строк в файле «унф.xls» (44970f48)</t>
  </si>
  <si>
    <t xml:space="preserve">Совпадающих документов (по номеру)</t>
  </si>
  <si>
    <t xml:space="preserve">Расхождения по сумме</t>
  </si>
  <si>
    <t xml:space="preserve">лист «Суммы»</t>
  </si>
  <si>
    <t xml:space="preserve">Расхождения по дате</t>
  </si>
  <si>
    <t xml:space="preserve">лист «Даты»</t>
  </si>
  <si>
    <t xml:space="preserve">Расхождения во входящем номере</t>
  </si>
  <si>
    <t xml:space="preserve">—</t>
  </si>
  <si>
    <t xml:space="preserve">Расхождения по складу</t>
  </si>
  <si>
    <t xml:space="preserve">лист «Склады»</t>
  </si>
  <si>
    <t xml:space="preserve">Расхождения в комментарии</t>
  </si>
  <si>
    <t xml:space="preserve">лист «Комментарии»</t>
  </si>
  <si>
    <t xml:space="preserve">Документы только в УНФ</t>
  </si>
  <si>
    <t xml:space="preserve">лист «Только в УНФ»</t>
  </si>
  <si>
    <t xml:space="preserve">Документы только в Бухгалтерии</t>
  </si>
  <si>
    <t xml:space="preserve">Суммы, ₽</t>
  </si>
  <si>
    <t xml:space="preserve">Итого Бухгалтерия</t>
  </si>
  <si>
    <t xml:space="preserve">Итого УНФ</t>
  </si>
  <si>
    <t xml:space="preserve">Разница УНФ − Бух</t>
  </si>
  <si>
    <t xml:space="preserve">  в т.ч. документы только в УНФ</t>
  </si>
  <si>
    <t xml:space="preserve">  в т.ч. разница сумм (НДС 22%)</t>
  </si>
  <si>
    <t xml:space="preserve">Проверка (должно быть 0)</t>
  </si>
  <si>
    <t xml:space="preserve">Примечания:</t>
  </si>
  <si>
    <t xml:space="preserve">• Суммы Бух/УНФ по итогам взяты из исходных файлов (сумма колонки «Сумма»).</t>
  </si>
  <si>
    <t xml:space="preserve">• В Бухгалтерии 5 документов отражены без НДС 22% (УНФ = Бух × 1,22).</t>
  </si>
  <si>
    <t xml:space="preserve">• 00НФ-000211 и 00НФ-000260 в УНФ помечены «дубль» и в Бухгалтерию не попали.</t>
  </si>
  <si>
    <t xml:space="preserve">• 00НФ-000212 и 00НФ-000282 в УНФ помечены «дубль», но в Бухгалтерии есть — проверить.</t>
  </si>
  <si>
    <t xml:space="preserve">• В Бух у 00НФ-000196 «Счет-фактура» = «Отсутствует», у 00НФ-000225 — не заполнено.</t>
  </si>
  <si>
    <t xml:space="preserve">Расхождения по сумме (в УНФ ровно ×1.22 от Бухгалтерии)</t>
  </si>
  <si>
    <t xml:space="preserve">Номер</t>
  </si>
  <si>
    <t xml:space="preserve">Контрагент</t>
  </si>
  <si>
    <t xml:space="preserve">Сумма Бух</t>
  </si>
  <si>
    <t xml:space="preserve">Сумма УНФ</t>
  </si>
  <si>
    <t xml:space="preserve">Разница (УНФ−Бух)</t>
  </si>
  <si>
    <t xml:space="preserve">Коэф. УНФ/Бух</t>
  </si>
  <si>
    <t xml:space="preserve">00НФ-000276</t>
  </si>
  <si>
    <t xml:space="preserve">СЕЛЕКТИС ООО</t>
  </si>
  <si>
    <t xml:space="preserve">00НФ-000279</t>
  </si>
  <si>
    <t xml:space="preserve">Обособленное подразделение  "ДНС Ритейл ООО</t>
  </si>
  <si>
    <t xml:space="preserve">00НФ-000280</t>
  </si>
  <si>
    <t xml:space="preserve">ДНС РИТЕЙЛ ООО</t>
  </si>
  <si>
    <t xml:space="preserve">00НФ-000281</t>
  </si>
  <si>
    <t xml:space="preserve">00НФ-000308</t>
  </si>
  <si>
    <t xml:space="preserve">ГЕТСИ ЛОГИСТИК ООО (ЛО)</t>
  </si>
  <si>
    <t xml:space="preserve">Расхождения по дате документа</t>
  </si>
  <si>
    <t xml:space="preserve">Дата Бух</t>
  </si>
  <si>
    <t xml:space="preserve">Дата УНФ</t>
  </si>
  <si>
    <t xml:space="preserve">Комментарий Бух</t>
  </si>
  <si>
    <t xml:space="preserve">00НФ-000246</t>
  </si>
  <si>
    <t xml:space="preserve">БЕРКС ООО</t>
  </si>
  <si>
    <t xml:space="preserve">30.07.2026</t>
  </si>
  <si>
    <t xml:space="preserve">03.08.2026</t>
  </si>
  <si>
    <t xml:space="preserve">коррекция до 1 102 888,39-дата изменена на 30.07,для списания</t>
  </si>
  <si>
    <t xml:space="preserve">00НФ-000258</t>
  </si>
  <si>
    <t xml:space="preserve">18.08.2026</t>
  </si>
  <si>
    <t xml:space="preserve">20.08.2026</t>
  </si>
  <si>
    <t xml:space="preserve">Склад Бух</t>
  </si>
  <si>
    <t xml:space="preserve">Склад УНФ</t>
  </si>
  <si>
    <t xml:space="preserve">00НФ-000190</t>
  </si>
  <si>
    <t xml:space="preserve">БРЕНД ТРЕЙД ООО</t>
  </si>
  <si>
    <t xml:space="preserve">Основной склад Зеллеон</t>
  </si>
  <si>
    <t xml:space="preserve">Склад Z ОС</t>
  </si>
  <si>
    <t xml:space="preserve">Основной склад ИП</t>
  </si>
  <si>
    <t xml:space="preserve">Расхождения в комментарии (в т.ч. пометки «дубль»)</t>
  </si>
  <si>
    <t xml:space="preserve">Комментарий УНФ</t>
  </si>
  <si>
    <t xml:space="preserve">00НФ-000212</t>
  </si>
  <si>
    <t xml:space="preserve">(пусто)</t>
  </si>
  <si>
    <t xml:space="preserve">дубль</t>
  </si>
  <si>
    <t xml:space="preserve">коррекция до 1 102 888,39</t>
  </si>
  <si>
    <t xml:space="preserve">00НФ-000282</t>
  </si>
  <si>
    <t xml:space="preserve">ЭЛТЕКС СПБ ООО</t>
  </si>
  <si>
    <t xml:space="preserve">Документы, которых нет в Бухгалтерии (есть только в УНФ)</t>
  </si>
  <si>
    <t xml:space="preserve">Дата</t>
  </si>
  <si>
    <t xml:space="preserve">Поставщик</t>
  </si>
  <si>
    <t xml:space="preserve">Сумма</t>
  </si>
  <si>
    <t xml:space="preserve">Склад</t>
  </si>
  <si>
    <t xml:space="preserve">00НФ-000211</t>
  </si>
  <si>
    <t xml:space="preserve">15.07.2026</t>
  </si>
  <si>
    <t xml:space="preserve">КАРИН ООО</t>
  </si>
  <si>
    <t xml:space="preserve">дублдь</t>
  </si>
  <si>
    <t xml:space="preserve">00НФ-000260</t>
  </si>
  <si>
    <t xml:space="preserve">31.08.2026</t>
  </si>
  <si>
    <t xml:space="preserve">00НФ-000318</t>
  </si>
  <si>
    <t xml:space="preserve">30.09.2026</t>
  </si>
  <si>
    <t xml:space="preserve">ЛИКАРД ООО</t>
  </si>
  <si>
    <t xml:space="preserve">00НФ-000319</t>
  </si>
  <si>
    <t xml:space="preserve">Итого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</si>
</sst>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305496"/>
        <bgColor rgb="FF1F3864"/>
      </patternFill>
    </fill>
    <fill>
      <patternFill patternType="solid">
        <fgColor rgb="FFFCE4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24"/>
  </cols>
  <sheetData>
    <row r="1" customFormat="false" ht="21.75" hidden="false" customHeight="tru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4" t="n">
        <v>114</v>
      </c>
      <c r="C4" s="5"/>
    </row>
    <row r="5" customFormat="false" ht="15" hidden="false" customHeight="false" outlineLevel="0" collapsed="false">
      <c r="A5" s="3" t="s">
        <v>5</v>
      </c>
      <c r="B5" s="4" t="n">
        <v>118</v>
      </c>
      <c r="C5" s="5"/>
    </row>
    <row r="6" customFormat="false" ht="15" hidden="false" customHeight="false" outlineLevel="0" collapsed="false">
      <c r="A6" s="3" t="s">
        <v>6</v>
      </c>
      <c r="B6" s="4" t="n">
        <v>114</v>
      </c>
      <c r="C6" s="5"/>
    </row>
    <row r="7" customFormat="false" ht="15" hidden="false" customHeight="false" outlineLevel="0" collapsed="false">
      <c r="A7" s="3" t="s">
        <v>7</v>
      </c>
      <c r="B7" s="4" t="n">
        <f aca="false">COUNTA(Суммы!A4:A200)</f>
        <v>5</v>
      </c>
      <c r="C7" s="5" t="s">
        <v>8</v>
      </c>
    </row>
    <row r="8" customFormat="false" ht="15" hidden="false" customHeight="false" outlineLevel="0" collapsed="false">
      <c r="A8" s="3" t="s">
        <v>9</v>
      </c>
      <c r="B8" s="4" t="n">
        <f aca="false">COUNTA(Даты!A4:A200)</f>
        <v>2</v>
      </c>
      <c r="C8" s="5" t="s">
        <v>10</v>
      </c>
    </row>
    <row r="9" customFormat="false" ht="15" hidden="false" customHeight="false" outlineLevel="0" collapsed="false">
      <c r="A9" s="3" t="s">
        <v>11</v>
      </c>
      <c r="B9" s="4" t="n">
        <v>0</v>
      </c>
      <c r="C9" s="5" t="s">
        <v>12</v>
      </c>
    </row>
    <row r="10" customFormat="false" ht="15" hidden="false" customHeight="false" outlineLevel="0" collapsed="false">
      <c r="A10" s="3" t="s">
        <v>13</v>
      </c>
      <c r="B10" s="4" t="n">
        <f aca="false">COUNTA(Склады!A4:A200)</f>
        <v>2</v>
      </c>
      <c r="C10" s="5" t="s">
        <v>14</v>
      </c>
    </row>
    <row r="11" customFormat="false" ht="15" hidden="false" customHeight="false" outlineLevel="0" collapsed="false">
      <c r="A11" s="3" t="s">
        <v>15</v>
      </c>
      <c r="B11" s="4" t="n">
        <f aca="false">COUNTA(Комментарии!A4:A200)</f>
        <v>3</v>
      </c>
      <c r="C11" s="5" t="s">
        <v>16</v>
      </c>
    </row>
    <row r="12" customFormat="false" ht="15" hidden="false" customHeight="false" outlineLevel="0" collapsed="false">
      <c r="A12" s="3" t="s">
        <v>17</v>
      </c>
      <c r="B12" s="4" t="n">
        <f aca="false">COUNTA('Только в УНФ'!A4:A200)</f>
        <v>4</v>
      </c>
      <c r="C12" s="5" t="s">
        <v>18</v>
      </c>
    </row>
    <row r="13" customFormat="false" ht="15" hidden="false" customHeight="false" outlineLevel="0" collapsed="false">
      <c r="A13" s="3" t="s">
        <v>19</v>
      </c>
      <c r="B13" s="4" t="n">
        <v>0</v>
      </c>
      <c r="C13" s="5" t="s">
        <v>12</v>
      </c>
    </row>
    <row r="15" customFormat="false" ht="15" hidden="false" customHeight="false" outlineLevel="0" collapsed="false">
      <c r="A15" s="6" t="s">
        <v>20</v>
      </c>
    </row>
    <row r="16" customFormat="false" ht="15" hidden="false" customHeight="false" outlineLevel="0" collapsed="false">
      <c r="A16" s="3" t="s">
        <v>21</v>
      </c>
      <c r="B16" s="7" t="n">
        <v>51709044.85</v>
      </c>
    </row>
    <row r="17" customFormat="false" ht="15" hidden="false" customHeight="false" outlineLevel="0" collapsed="false">
      <c r="A17" s="3" t="s">
        <v>22</v>
      </c>
      <c r="B17" s="7" t="n">
        <v>54006071.24</v>
      </c>
    </row>
    <row r="18" customFormat="false" ht="15" hidden="false" customHeight="false" outlineLevel="0" collapsed="false">
      <c r="A18" s="3" t="s">
        <v>23</v>
      </c>
      <c r="B18" s="7" t="n">
        <f aca="false">B17-B16</f>
        <v>2297026.39</v>
      </c>
    </row>
    <row r="19" customFormat="false" ht="15" hidden="false" customHeight="false" outlineLevel="0" collapsed="false">
      <c r="A19" s="3" t="s">
        <v>24</v>
      </c>
      <c r="B19" s="7" t="n">
        <f aca="false">'Только в УНФ'!D8</f>
        <v>2158737.53</v>
      </c>
    </row>
    <row r="20" customFormat="false" ht="15" hidden="false" customHeight="false" outlineLevel="0" collapsed="false">
      <c r="A20" s="3" t="s">
        <v>25</v>
      </c>
      <c r="B20" s="7" t="n">
        <f aca="false">SUM(Суммы!E4:E200)</f>
        <v>138288.86</v>
      </c>
    </row>
    <row r="21" customFormat="false" ht="15" hidden="false" customHeight="false" outlineLevel="0" collapsed="false">
      <c r="A21" s="3" t="s">
        <v>26</v>
      </c>
      <c r="B21" s="7" t="n">
        <f aca="false">ROUND(B18-B19-B20,2)</f>
        <v>0</v>
      </c>
    </row>
    <row r="23" customFormat="false" ht="15" hidden="false" customHeight="false" outlineLevel="0" collapsed="false">
      <c r="A23" s="6" t="s">
        <v>27</v>
      </c>
    </row>
    <row r="24" customFormat="false" ht="15" hidden="false" customHeight="false" outlineLevel="0" collapsed="false">
      <c r="A24" s="8" t="s">
        <v>28</v>
      </c>
    </row>
    <row r="25" customFormat="false" ht="15" hidden="false" customHeight="false" outlineLevel="0" collapsed="false">
      <c r="A25" s="8" t="s">
        <v>29</v>
      </c>
    </row>
    <row r="26" customFormat="false" ht="15" hidden="false" customHeight="false" outlineLevel="0" collapsed="false">
      <c r="A26" s="8" t="s">
        <v>30</v>
      </c>
    </row>
    <row r="27" customFormat="false" ht="15" hidden="false" customHeight="false" outlineLevel="0" collapsed="false">
      <c r="A27" s="8" t="s">
        <v>31</v>
      </c>
    </row>
    <row r="28" customFormat="false" ht="15" hidden="false" customHeight="false" outlineLevel="0" collapsed="false">
      <c r="A28" s="8" t="s">
        <v>32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21.75" hidden="false" customHeight="true" outlineLevel="0" collapsed="false">
      <c r="A1" s="1" t="s">
        <v>33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34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</row>
    <row r="4" customFormat="false" ht="15" hidden="false" customHeight="false" outlineLevel="0" collapsed="false">
      <c r="A4" s="5" t="s">
        <v>40</v>
      </c>
      <c r="B4" s="3" t="s">
        <v>41</v>
      </c>
      <c r="C4" s="9" t="n">
        <v>162049.18</v>
      </c>
      <c r="D4" s="9" t="n">
        <v>197700</v>
      </c>
      <c r="E4" s="10" t="n">
        <f aca="false">D4-C4</f>
        <v>35650.82</v>
      </c>
      <c r="F4" s="5" t="n">
        <f aca="false">ROUND(D4/C4,2)</f>
        <v>1.22</v>
      </c>
    </row>
    <row r="5" customFormat="false" ht="15" hidden="false" customHeight="false" outlineLevel="0" collapsed="false">
      <c r="A5" s="5" t="s">
        <v>42</v>
      </c>
      <c r="B5" s="3" t="s">
        <v>43</v>
      </c>
      <c r="C5" s="9" t="n">
        <v>112126.23</v>
      </c>
      <c r="D5" s="9" t="n">
        <v>136794</v>
      </c>
      <c r="E5" s="10" t="n">
        <f aca="false">D5-C5</f>
        <v>24667.77</v>
      </c>
      <c r="F5" s="5" t="n">
        <f aca="false">ROUND(D5/C5,2)</f>
        <v>1.22</v>
      </c>
    </row>
    <row r="6" customFormat="false" ht="15" hidden="false" customHeight="false" outlineLevel="0" collapsed="false">
      <c r="A6" s="5" t="s">
        <v>44</v>
      </c>
      <c r="B6" s="3" t="s">
        <v>45</v>
      </c>
      <c r="C6" s="9" t="n">
        <v>125397.54</v>
      </c>
      <c r="D6" s="9" t="n">
        <v>152985</v>
      </c>
      <c r="E6" s="10" t="n">
        <f aca="false">D6-C6</f>
        <v>27587.46</v>
      </c>
      <c r="F6" s="5" t="n">
        <f aca="false">ROUND(D6/C6,2)</f>
        <v>1.22</v>
      </c>
    </row>
    <row r="7" customFormat="false" ht="15" hidden="false" customHeight="false" outlineLevel="0" collapsed="false">
      <c r="A7" s="5" t="s">
        <v>46</v>
      </c>
      <c r="B7" s="3" t="s">
        <v>45</v>
      </c>
      <c r="C7" s="9" t="n">
        <v>175556.56</v>
      </c>
      <c r="D7" s="9" t="n">
        <v>214179</v>
      </c>
      <c r="E7" s="10" t="n">
        <f aca="false">D7-C7</f>
        <v>38622.44</v>
      </c>
      <c r="F7" s="5" t="n">
        <f aca="false">ROUND(D7/C7,2)</f>
        <v>1.22</v>
      </c>
    </row>
    <row r="8" customFormat="false" ht="15" hidden="false" customHeight="false" outlineLevel="0" collapsed="false">
      <c r="A8" s="5" t="s">
        <v>47</v>
      </c>
      <c r="B8" s="3" t="s">
        <v>48</v>
      </c>
      <c r="C8" s="9" t="n">
        <v>53456.21</v>
      </c>
      <c r="D8" s="9" t="n">
        <v>65216.58</v>
      </c>
      <c r="E8" s="10" t="n">
        <f aca="false">D8-C8</f>
        <v>11760.37</v>
      </c>
      <c r="F8" s="5" t="n">
        <f aca="false">ROUND(D8/C8,2)</f>
        <v>1.22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2"/>
    <col collapsed="false" customWidth="true" hidden="false" outlineLevel="0" max="4" min="3" style="0" width="16"/>
    <col collapsed="false" customWidth="true" hidden="false" outlineLevel="0" max="5" min="5" style="0" width="60"/>
  </cols>
  <sheetData>
    <row r="1" customFormat="false" ht="21.75" hidden="false" customHeight="true" outlineLevel="0" collapsed="false">
      <c r="A1" s="1" t="s">
        <v>49</v>
      </c>
      <c r="B1" s="1"/>
      <c r="C1" s="1"/>
      <c r="D1" s="1"/>
      <c r="E1" s="1"/>
    </row>
    <row r="3" customFormat="false" ht="15" hidden="false" customHeight="false" outlineLevel="0" collapsed="false">
      <c r="A3" s="2" t="s">
        <v>34</v>
      </c>
      <c r="B3" s="2" t="s">
        <v>35</v>
      </c>
      <c r="C3" s="2" t="s">
        <v>50</v>
      </c>
      <c r="D3" s="2" t="s">
        <v>51</v>
      </c>
      <c r="E3" s="2" t="s">
        <v>52</v>
      </c>
    </row>
    <row r="4" customFormat="false" ht="15" hidden="false" customHeight="false" outlineLevel="0" collapsed="false">
      <c r="A4" s="5" t="s">
        <v>53</v>
      </c>
      <c r="B4" s="3" t="s">
        <v>54</v>
      </c>
      <c r="C4" s="11" t="s">
        <v>55</v>
      </c>
      <c r="D4" s="11" t="s">
        <v>56</v>
      </c>
      <c r="E4" s="3" t="s">
        <v>57</v>
      </c>
    </row>
    <row r="5" customFormat="false" ht="15" hidden="false" customHeight="false" outlineLevel="0" collapsed="false">
      <c r="A5" s="5" t="s">
        <v>58</v>
      </c>
      <c r="B5" s="3" t="s">
        <v>54</v>
      </c>
      <c r="C5" s="11" t="s">
        <v>59</v>
      </c>
      <c r="D5" s="11" t="s">
        <v>60</v>
      </c>
      <c r="E5" s="3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2"/>
    <col collapsed="false" customWidth="true" hidden="false" outlineLevel="0" max="4" min="3" style="0" width="26"/>
  </cols>
  <sheetData>
    <row r="1" customFormat="false" ht="21.75" hidden="false" customHeight="true" outlineLevel="0" collapsed="false">
      <c r="A1" s="1" t="s">
        <v>13</v>
      </c>
      <c r="B1" s="1"/>
      <c r="C1" s="1"/>
      <c r="D1" s="1"/>
    </row>
    <row r="3" customFormat="false" ht="15" hidden="false" customHeight="false" outlineLevel="0" collapsed="false">
      <c r="A3" s="2" t="s">
        <v>34</v>
      </c>
      <c r="B3" s="2" t="s">
        <v>35</v>
      </c>
      <c r="C3" s="2" t="s">
        <v>61</v>
      </c>
      <c r="D3" s="2" t="s">
        <v>62</v>
      </c>
    </row>
    <row r="4" customFormat="false" ht="15" hidden="false" customHeight="false" outlineLevel="0" collapsed="false">
      <c r="A4" s="5" t="s">
        <v>63</v>
      </c>
      <c r="B4" s="3" t="s">
        <v>64</v>
      </c>
      <c r="C4" s="11" t="s">
        <v>65</v>
      </c>
      <c r="D4" s="11" t="s">
        <v>66</v>
      </c>
    </row>
    <row r="5" customFormat="false" ht="15" hidden="false" customHeight="false" outlineLevel="0" collapsed="false">
      <c r="A5" s="5" t="s">
        <v>46</v>
      </c>
      <c r="B5" s="3" t="s">
        <v>45</v>
      </c>
      <c r="C5" s="11" t="s">
        <v>65</v>
      </c>
      <c r="D5" s="11" t="s">
        <v>67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2"/>
    <col collapsed="false" customWidth="true" hidden="false" outlineLevel="0" max="3" min="3" style="0" width="50"/>
    <col collapsed="false" customWidth="true" hidden="false" outlineLevel="0" max="4" min="4" style="0" width="40"/>
  </cols>
  <sheetData>
    <row r="1" customFormat="false" ht="21.75" hidden="false" customHeight="true" outlineLevel="0" collapsed="false">
      <c r="A1" s="1" t="s">
        <v>68</v>
      </c>
      <c r="B1" s="1"/>
      <c r="C1" s="1"/>
      <c r="D1" s="1"/>
    </row>
    <row r="3" customFormat="false" ht="15" hidden="false" customHeight="false" outlineLevel="0" collapsed="false">
      <c r="A3" s="2" t="s">
        <v>34</v>
      </c>
      <c r="B3" s="2" t="s">
        <v>35</v>
      </c>
      <c r="C3" s="2" t="s">
        <v>52</v>
      </c>
      <c r="D3" s="2" t="s">
        <v>69</v>
      </c>
    </row>
    <row r="4" customFormat="false" ht="15" hidden="false" customHeight="false" outlineLevel="0" collapsed="false">
      <c r="A4" s="5" t="s">
        <v>70</v>
      </c>
      <c r="B4" s="3" t="s">
        <v>43</v>
      </c>
      <c r="C4" s="12" t="s">
        <v>71</v>
      </c>
      <c r="D4" s="12" t="s">
        <v>72</v>
      </c>
    </row>
    <row r="5" customFormat="false" ht="15" hidden="false" customHeight="false" outlineLevel="0" collapsed="false">
      <c r="A5" s="5" t="s">
        <v>53</v>
      </c>
      <c r="B5" s="3" t="s">
        <v>54</v>
      </c>
      <c r="C5" s="12" t="s">
        <v>57</v>
      </c>
      <c r="D5" s="12" t="s">
        <v>73</v>
      </c>
    </row>
    <row r="6" customFormat="false" ht="15" hidden="false" customHeight="false" outlineLevel="0" collapsed="false">
      <c r="A6" s="5" t="s">
        <v>74</v>
      </c>
      <c r="B6" s="3" t="s">
        <v>75</v>
      </c>
      <c r="C6" s="12" t="s">
        <v>71</v>
      </c>
      <c r="D6" s="12" t="s">
        <v>72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20"/>
  </cols>
  <sheetData>
    <row r="1" customFormat="false" ht="21.75" hidden="false" customHeight="true" outlineLevel="0" collapsed="false">
      <c r="A1" s="1" t="s">
        <v>76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34</v>
      </c>
      <c r="B3" s="2" t="s">
        <v>77</v>
      </c>
      <c r="C3" s="2" t="s">
        <v>78</v>
      </c>
      <c r="D3" s="2" t="s">
        <v>79</v>
      </c>
      <c r="E3" s="2" t="s">
        <v>80</v>
      </c>
      <c r="F3" s="2" t="s">
        <v>69</v>
      </c>
    </row>
    <row r="4" customFormat="false" ht="15" hidden="false" customHeight="false" outlineLevel="0" collapsed="false">
      <c r="A4" s="11" t="s">
        <v>81</v>
      </c>
      <c r="B4" s="5" t="s">
        <v>82</v>
      </c>
      <c r="C4" s="3" t="s">
        <v>83</v>
      </c>
      <c r="D4" s="10" t="n">
        <v>17995.23</v>
      </c>
      <c r="E4" s="5" t="s">
        <v>65</v>
      </c>
      <c r="F4" s="5" t="s">
        <v>84</v>
      </c>
    </row>
    <row r="5" customFormat="false" ht="15" hidden="false" customHeight="false" outlineLevel="0" collapsed="false">
      <c r="A5" s="11" t="s">
        <v>85</v>
      </c>
      <c r="B5" s="5" t="s">
        <v>86</v>
      </c>
      <c r="C5" s="3" t="s">
        <v>54</v>
      </c>
      <c r="D5" s="10" t="n">
        <v>2092208.77</v>
      </c>
      <c r="E5" s="5" t="s">
        <v>65</v>
      </c>
      <c r="F5" s="5" t="s">
        <v>72</v>
      </c>
    </row>
    <row r="6" customFormat="false" ht="15" hidden="false" customHeight="false" outlineLevel="0" collapsed="false">
      <c r="A6" s="11" t="s">
        <v>87</v>
      </c>
      <c r="B6" s="5" t="s">
        <v>88</v>
      </c>
      <c r="C6" s="3" t="s">
        <v>89</v>
      </c>
      <c r="D6" s="10" t="n">
        <v>47349.79</v>
      </c>
      <c r="E6" s="5" t="s">
        <v>67</v>
      </c>
      <c r="F6" s="5"/>
    </row>
    <row r="7" customFormat="false" ht="15" hidden="false" customHeight="false" outlineLevel="0" collapsed="false">
      <c r="A7" s="11" t="s">
        <v>90</v>
      </c>
      <c r="B7" s="5" t="s">
        <v>88</v>
      </c>
      <c r="C7" s="3" t="s">
        <v>89</v>
      </c>
      <c r="D7" s="10" t="n">
        <v>1183.74</v>
      </c>
      <c r="E7" s="5" t="s">
        <v>67</v>
      </c>
      <c r="F7" s="5"/>
    </row>
    <row r="8" customFormat="false" ht="15" hidden="false" customHeight="false" outlineLevel="0" collapsed="false">
      <c r="C8" s="6" t="s">
        <v>91</v>
      </c>
      <c r="D8" s="13" t="n">
        <f aca="false">SUM(D4:D7)</f>
        <v>2158737.53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2026-10-10T13:46:06Z</dcterms:created>
  <dc:creator>openpyxl</dc:creator>
  <dc:description/>
  <dc:language>en-US</dc:language>
  <cp:lastModifiedBy/>
  <dcterms:modified xsi:type="dcterms:W3CDTF">2026-10-10T13:46:06Z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